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externalLinks/externalLink7.xml" ContentType="application/vnd.openxmlformats-officedocument.spreadsheetml.externalLink+xml"/>
  <Override PartName="/xl/externalLinks/externalLink18.xml" ContentType="application/vnd.openxmlformats-officedocument.spreadsheetml.externalLink+xml"/>
  <Override PartName="/xl/charts/chart2.xml" ContentType="application/vnd.openxmlformats-officedocument.drawingml.chart+xml"/>
  <Override PartName="/xl/drawings/drawing4.xml" ContentType="application/vnd.openxmlformats-officedocument.drawingml.chartshap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20.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externalLinks/externalLink10.xml" ContentType="application/vnd.openxmlformats-officedocument.spreadsheetml.externalLink+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10.xml" ContentType="application/vnd.openxmlformats-officedocument.drawingml.chart+xml"/>
  <Override PartName="/xl/externalLinks/externalLink8.xml" ContentType="application/vnd.openxmlformats-officedocument.spreadsheetml.externalLink+xml"/>
  <Override PartName="/xl/externalLinks/externalLink19.xml" ContentType="application/vnd.openxmlformats-officedocument.spreadsheetml.externalLink+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externalLinks/externalLink6.xml" ContentType="application/vnd.openxmlformats-officedocument.spreadsheetml.externalLink+xml"/>
  <Override PartName="/xl/externalLinks/externalLink17.xml" ContentType="application/vnd.openxmlformats-officedocument.spreadsheetml.externalLink+xml"/>
  <Override PartName="/xl/charts/chart3.xml" ContentType="application/vnd.openxmlformats-officedocument.drawingml.chart+xml"/>
  <Override PartName="/xl/drawings/drawing5.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workbookPr/>
  <bookViews>
    <workbookView xWindow="0" yWindow="0" windowWidth="20385" windowHeight="8370" tabRatio="343" firstSheet="4" activeTab="4"/>
  </bookViews>
  <sheets>
    <sheet name="PMT" sheetId="1" state="hidden" r:id="rId1"/>
    <sheet name="TT PAYNTER CHART_1a (2)" sheetId="2" state="hidden" r:id="rId2"/>
    <sheet name="CX743" sheetId="3" r:id="rId3"/>
    <sheet name="N35X(N352)" sheetId="8" r:id="rId4"/>
    <sheet name="u375" sheetId="11" r:id="rId5"/>
    <sheet name="Chart1" sheetId="14" state="hidden" r:id="rId6"/>
    <sheet name="Sheet1" sheetId="16" state="hidden" r:id="rId7"/>
    <sheet name="Sheet2" sheetId="17" state="hidden" r:id="rId8"/>
    <sheet name="Sheet3" sheetId="18" state="hidden" r:id="rId9"/>
    <sheet name="Sheet4" sheetId="19" state="hidden" r:id="rId10"/>
    <sheet name="Sheet5" sheetId="20" state="hidden"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s>
  <definedNames>
    <definedName name="\g" localSheetId="2">'[1]#REF'!#REF!</definedName>
    <definedName name="\g" localSheetId="3">'[1]#REF'!#REF!</definedName>
    <definedName name="\g" localSheetId="0">'[1]#REF'!#REF!</definedName>
    <definedName name="\g" localSheetId="1">'[1]#REF'!#REF!</definedName>
    <definedName name="\g">'[1]#REF'!#REF!</definedName>
    <definedName name="\m" localSheetId="2">#REF!</definedName>
    <definedName name="\m" localSheetId="3">#REF!</definedName>
    <definedName name="\m" localSheetId="0">#REF!</definedName>
    <definedName name="\m" localSheetId="1">#REF!</definedName>
    <definedName name="\m">#REF!</definedName>
    <definedName name="_1_0" localSheetId="2">'[1]#REF'!#REF!</definedName>
    <definedName name="_1_0" localSheetId="3">'[1]#REF'!#REF!</definedName>
    <definedName name="_1_0" localSheetId="0">'[1]#REF'!#REF!</definedName>
    <definedName name="_1_0" localSheetId="1">'[1]#REF'!#REF!</definedName>
    <definedName name="_1_0">'[1]#REF'!#REF!</definedName>
    <definedName name="_10_0_0Print_Area" localSheetId="2">[1]USD!#REF!</definedName>
    <definedName name="_10_0_0Print_Area" localSheetId="3">[1]USD!#REF!</definedName>
    <definedName name="_10_0_0Print_Area" localSheetId="0">[1]USD!#REF!</definedName>
    <definedName name="_10_0_0Print_Area" localSheetId="1">[1]USD!#REF!</definedName>
    <definedName name="_10_0_0Print_Area">[1]USD!#REF!</definedName>
    <definedName name="_12_5_0svc" localSheetId="2">#REF!</definedName>
    <definedName name="_12_5_0svc" localSheetId="3">#REF!</definedName>
    <definedName name="_12_5_0svc" localSheetId="0">#REF!</definedName>
    <definedName name="_12_5_0svc" localSheetId="1">#REF!</definedName>
    <definedName name="_12_5_0svc">#REF!</definedName>
    <definedName name="_14_5__svc" localSheetId="2">#REF!</definedName>
    <definedName name="_14_5__svc" localSheetId="3">#REF!</definedName>
    <definedName name="_14_5__svc" localSheetId="0">#REF!</definedName>
    <definedName name="_14_5__svc" localSheetId="1">#REF!</definedName>
    <definedName name="_14_5__svc">#REF!</definedName>
    <definedName name="_16Print_Area" localSheetId="2">[1]USD!#REF!</definedName>
    <definedName name="_16Print_Area" localSheetId="3">[1]USD!#REF!</definedName>
    <definedName name="_16Print_Area" localSheetId="0">[1]USD!#REF!</definedName>
    <definedName name="_16Print_Area" localSheetId="1">[1]USD!#REF!</definedName>
    <definedName name="_16Print_Area">[1]USD!#REF!</definedName>
    <definedName name="_2_" localSheetId="2">'[1]#REF'!#REF!</definedName>
    <definedName name="_2_" localSheetId="3">'[1]#REF'!#REF!</definedName>
    <definedName name="_2_" localSheetId="0">'[1]#REF'!#REF!</definedName>
    <definedName name="_2_" localSheetId="1">'[1]#REF'!#REF!</definedName>
    <definedName name="_2_">'[1]#REF'!#REF!</definedName>
    <definedName name="_2_0" localSheetId="2">'[1]#REF'!#REF!</definedName>
    <definedName name="_2_0" localSheetId="3">'[1]#REF'!#REF!</definedName>
    <definedName name="_2_0" localSheetId="0">'[1]#REF'!#REF!</definedName>
    <definedName name="_2_0" localSheetId="1">'[1]#REF'!#REF!</definedName>
    <definedName name="_2_0">'[1]#REF'!#REF!</definedName>
    <definedName name="_3_0_0Print_Area" localSheetId="2">[1]USD!#REF!</definedName>
    <definedName name="_3_0_0Print_Area" localSheetId="3">[1]USD!#REF!</definedName>
    <definedName name="_3_0_0Print_Area" localSheetId="0">[1]USD!#REF!</definedName>
    <definedName name="_3_0_0Print_Area" localSheetId="1">[1]USD!#REF!</definedName>
    <definedName name="_3_0_0Print_Area">[1]USD!#REF!</definedName>
    <definedName name="_4_" localSheetId="2">'[1]#REF'!#REF!</definedName>
    <definedName name="_4_" localSheetId="3">'[1]#REF'!#REF!</definedName>
    <definedName name="_4_" localSheetId="0">'[1]#REF'!#REF!</definedName>
    <definedName name="_4_" localSheetId="1">'[1]#REF'!#REF!</definedName>
    <definedName name="_4_">'[1]#REF'!#REF!</definedName>
    <definedName name="_4_5_0svc" localSheetId="2">#REF!</definedName>
    <definedName name="_4_5_0svc" localSheetId="3">#REF!</definedName>
    <definedName name="_4_5_0svc" localSheetId="0">#REF!</definedName>
    <definedName name="_4_5_0svc" localSheetId="1">#REF!</definedName>
    <definedName name="_4_5_0svc">#REF!</definedName>
    <definedName name="_6_0" localSheetId="2">'[1]#REF'!#REF!</definedName>
    <definedName name="_6_0" localSheetId="3">'[1]#REF'!#REF!</definedName>
    <definedName name="_6_0" localSheetId="0">'[1]#REF'!#REF!</definedName>
    <definedName name="_6_0" localSheetId="1">'[1]#REF'!#REF!</definedName>
    <definedName name="_6_0">'[1]#REF'!#REF!</definedName>
    <definedName name="_8_0" localSheetId="2">'[1]#REF'!#REF!</definedName>
    <definedName name="_8_0" localSheetId="3">'[1]#REF'!#REF!</definedName>
    <definedName name="_8_0" localSheetId="0">'[1]#REF'!#REF!</definedName>
    <definedName name="_8_0" localSheetId="1">'[1]#REF'!#REF!</definedName>
    <definedName name="_8_0">'[1]#REF'!#REF!</definedName>
    <definedName name="_xlnm._FilterDatabase" localSheetId="2" hidden="1">'CX743'!$A$48:$KA$154</definedName>
    <definedName name="_xlnm._FilterDatabase" localSheetId="3" hidden="1">'N35X(N352)'!$A$49:$FD$101</definedName>
    <definedName name="_xlnm._FilterDatabase" localSheetId="0" hidden="1">#REF!</definedName>
    <definedName name="_xlnm._FilterDatabase" localSheetId="1" hidden="1">'TT PAYNTER CHART_1a (2)'!$A$48:$BS$164</definedName>
    <definedName name="_xlnm._FilterDatabase" localSheetId="4" hidden="1">'u375'!$A$49:$FC$89</definedName>
    <definedName name="_xlnm._FilterDatabase" hidden="1">#REF!</definedName>
    <definedName name="_JAN033" localSheetId="2">#REF!</definedName>
    <definedName name="_JAN033" localSheetId="3">#REF!</definedName>
    <definedName name="_JAN033" localSheetId="0">#REF!</definedName>
    <definedName name="_JAN033" localSheetId="1">#REF!</definedName>
    <definedName name="_JAN033">#REF!</definedName>
    <definedName name="_lwi2" localSheetId="2">#REF!</definedName>
    <definedName name="_lwi2" localSheetId="3">#REF!</definedName>
    <definedName name="_lwi2" localSheetId="0">#REF!</definedName>
    <definedName name="_lwi2" localSheetId="1">#REF!</definedName>
    <definedName name="_lwi2">#REF!</definedName>
    <definedName name="_PF41" localSheetId="2">#REF!</definedName>
    <definedName name="_PF41" localSheetId="3">#REF!</definedName>
    <definedName name="_PF41" localSheetId="0">#REF!</definedName>
    <definedName name="_PF41" localSheetId="1">#REF!</definedName>
    <definedName name="_PF41">#REF!</definedName>
    <definedName name="_PF42" localSheetId="2">#REF!</definedName>
    <definedName name="_PF42" localSheetId="3">#REF!</definedName>
    <definedName name="_PF42" localSheetId="0">#REF!</definedName>
    <definedName name="_PF42" localSheetId="1">#REF!</definedName>
    <definedName name="_PF42">#REF!</definedName>
    <definedName name="_PF43" localSheetId="2">#REF!</definedName>
    <definedName name="_PF43" localSheetId="3">#REF!</definedName>
    <definedName name="_PF43" localSheetId="0">#REF!</definedName>
    <definedName name="_PF43" localSheetId="1">#REF!</definedName>
    <definedName name="_PF43">#REF!</definedName>
    <definedName name="_te31" localSheetId="2">#REF!</definedName>
    <definedName name="_te31" localSheetId="3">#REF!</definedName>
    <definedName name="_te31" localSheetId="0">#REF!</definedName>
    <definedName name="_te31" localSheetId="1">#REF!</definedName>
    <definedName name="_te31">#REF!</definedName>
    <definedName name="_te32" localSheetId="2">#REF!</definedName>
    <definedName name="_te32" localSheetId="3">#REF!</definedName>
    <definedName name="_te32" localSheetId="0">#REF!</definedName>
    <definedName name="_te32" localSheetId="1">#REF!</definedName>
    <definedName name="_te32">#REF!</definedName>
    <definedName name="_te41" localSheetId="2">#REF!</definedName>
    <definedName name="_te41" localSheetId="3">#REF!</definedName>
    <definedName name="_te41" localSheetId="0">#REF!</definedName>
    <definedName name="_te41" localSheetId="1">#REF!</definedName>
    <definedName name="_te41">#REF!</definedName>
    <definedName name="_te42" localSheetId="2">#REF!</definedName>
    <definedName name="_te42" localSheetId="3">#REF!</definedName>
    <definedName name="_te42" localSheetId="0">#REF!</definedName>
    <definedName name="_te42" localSheetId="1">#REF!</definedName>
    <definedName name="_te42">#REF!</definedName>
    <definedName name="A" localSheetId="2">#REF!</definedName>
    <definedName name="A" localSheetId="3">#REF!</definedName>
    <definedName name="A" localSheetId="0">#REF!</definedName>
    <definedName name="A" localSheetId="1">#REF!</definedName>
    <definedName name="A">#REF!</definedName>
    <definedName name="Access_Button" hidden="1">"master_Sheet1_List"</definedName>
    <definedName name="AccessDatabase" hidden="1">"C:\My Documents\2000 budget model\reporting\master.mdb"</definedName>
    <definedName name="Addtolist" localSheetId="2">[2]!Addtolist</definedName>
    <definedName name="Addtolist" localSheetId="3">[2]!Addtolist</definedName>
    <definedName name="Addtolist" localSheetId="1">[2]!Addtolist</definedName>
    <definedName name="Addtolist">[2]!Addtolist</definedName>
    <definedName name="aLL" localSheetId="2">#REF!</definedName>
    <definedName name="aLL" localSheetId="3">#REF!</definedName>
    <definedName name="aLL" localSheetId="0">#REF!</definedName>
    <definedName name="aLL" localSheetId="1">#REF!</definedName>
    <definedName name="aLL">#REF!</definedName>
    <definedName name="all_reports" localSheetId="2">#REF!,#REF!</definedName>
    <definedName name="all_reports" localSheetId="3">#REF!,#REF!</definedName>
    <definedName name="all_reports" localSheetId="0">#REF!,#REF!</definedName>
    <definedName name="all_reports" localSheetId="1">#REF!,#REF!</definedName>
    <definedName name="all_reports">#REF!,#REF!</definedName>
    <definedName name="anscount" hidden="1">1</definedName>
    <definedName name="avgtotal" localSheetId="2">#REF!</definedName>
    <definedName name="avgtotal" localSheetId="3">#REF!</definedName>
    <definedName name="avgtotal" localSheetId="0">#REF!</definedName>
    <definedName name="avgtotal" localSheetId="1">#REF!</definedName>
    <definedName name="avgtotal">#REF!</definedName>
    <definedName name="b" localSheetId="2">'[3]Ford Options'!#REF!</definedName>
    <definedName name="b" localSheetId="3">'[3]Ford Options'!#REF!</definedName>
    <definedName name="b" localSheetId="1">'[3]Ford Options'!#REF!</definedName>
    <definedName name="b">'[3]Ford Options'!#REF!</definedName>
    <definedName name="b_rc" localSheetId="2">#REF!</definedName>
    <definedName name="b_rc" localSheetId="3">#REF!</definedName>
    <definedName name="b_rc" localSheetId="0">#REF!</definedName>
    <definedName name="b_rc" localSheetId="1">#REF!</definedName>
    <definedName name="b_rc">#REF!</definedName>
    <definedName name="b_sf" localSheetId="2">#REF!</definedName>
    <definedName name="b_sf" localSheetId="3">#REF!</definedName>
    <definedName name="b_sf" localSheetId="0">#REF!</definedName>
    <definedName name="b_sf" localSheetId="1">#REF!</definedName>
    <definedName name="b_sf">#REF!</definedName>
    <definedName name="b_tr" localSheetId="2">#REF!</definedName>
    <definedName name="b_tr" localSheetId="3">#REF!</definedName>
    <definedName name="b_tr" localSheetId="0">#REF!</definedName>
    <definedName name="b_tr" localSheetId="1">#REF!</definedName>
    <definedName name="b_tr">#REF!</definedName>
    <definedName name="b_ul" localSheetId="2">#REF!</definedName>
    <definedName name="b_ul" localSheetId="3">#REF!</definedName>
    <definedName name="b_ul" localSheetId="0">#REF!</definedName>
    <definedName name="b_ul" localSheetId="1">#REF!</definedName>
    <definedName name="b_ul">#REF!</definedName>
    <definedName name="base" localSheetId="2">#REF!</definedName>
    <definedName name="base" localSheetId="3">#REF!</definedName>
    <definedName name="base" localSheetId="0">#REF!</definedName>
    <definedName name="base" localSheetId="1">#REF!</definedName>
    <definedName name="base">#REF!</definedName>
    <definedName name="base_dl_table">'[4]Wage Calculations'!$A$227:$B$241</definedName>
    <definedName name="bom" localSheetId="2">#REF!</definedName>
    <definedName name="bom" localSheetId="3">#REF!</definedName>
    <definedName name="bom" localSheetId="0">#REF!</definedName>
    <definedName name="bom" localSheetId="1">#REF!</definedName>
    <definedName name="bom">#REF!</definedName>
    <definedName name="BUFFALO_TOTAL" localSheetId="2">[5]SN951999!#REF!</definedName>
    <definedName name="BUFFALO_TOTAL" localSheetId="3">[5]SN951999!#REF!</definedName>
    <definedName name="BUFFALO_TOTAL" localSheetId="0">[5]SN951999!#REF!</definedName>
    <definedName name="BUFFALO_TOTAL" localSheetId="1">[5]SN951999!#REF!</definedName>
    <definedName name="BUFFALO_TOTAL">[5]SN951999!#REF!</definedName>
    <definedName name="BURDEN_RATES_FOR_PRESS">'[4]Wage Calculations'!$A$195:$P$197</definedName>
    <definedName name="calyr93" localSheetId="2">'[1]XLS Avg Rev'!#REF!</definedName>
    <definedName name="calyr93" localSheetId="3">'[1]XLS Avg Rev'!#REF!</definedName>
    <definedName name="calyr93" localSheetId="1">'[1]XLS Avg Rev'!#REF!</definedName>
    <definedName name="calyr93">'[1]XLS Avg Rev'!#REF!</definedName>
    <definedName name="calyr94" localSheetId="2">'[1]XLS Avg Rev'!#REF!</definedName>
    <definedName name="calyr94" localSheetId="3">'[1]XLS Avg Rev'!#REF!</definedName>
    <definedName name="calyr94" localSheetId="1">'[1]XLS Avg Rev'!#REF!</definedName>
    <definedName name="calyr94">'[1]XLS Avg Rev'!#REF!</definedName>
    <definedName name="canada" localSheetId="2">#REF!</definedName>
    <definedName name="canada" localSheetId="3">#REF!</definedName>
    <definedName name="canada" localSheetId="0">#REF!</definedName>
    <definedName name="canada" localSheetId="1">#REF!</definedName>
    <definedName name="canada">#REF!</definedName>
    <definedName name="CancelDialog1" localSheetId="2">[2]!CancelDialog1</definedName>
    <definedName name="CancelDialog1" localSheetId="3">[2]!CancelDialog1</definedName>
    <definedName name="CancelDialog1" localSheetId="1">[2]!CancelDialog1</definedName>
    <definedName name="CancelDialog1">[2]!CancelDialog1</definedName>
    <definedName name="cargotot" localSheetId="2">#REF!</definedName>
    <definedName name="cargotot" localSheetId="3">#REF!</definedName>
    <definedName name="cargotot" localSheetId="0">#REF!</definedName>
    <definedName name="cargotot" localSheetId="1">#REF!</definedName>
    <definedName name="cargotot">#REF!</definedName>
    <definedName name="carline">[6]variable!$C$6</definedName>
    <definedName name="change_notice" localSheetId="2">#REF!</definedName>
    <definedName name="change_notice" localSheetId="3">#REF!</definedName>
    <definedName name="change_notice" localSheetId="0">#REF!</definedName>
    <definedName name="change_notice" localSheetId="1">#REF!</definedName>
    <definedName name="change_notice">#REF!</definedName>
    <definedName name="chas11" localSheetId="2">#REF!</definedName>
    <definedName name="chas11" localSheetId="3">#REF!</definedName>
    <definedName name="chas11" localSheetId="0">#REF!</definedName>
    <definedName name="chas11" localSheetId="1">#REF!</definedName>
    <definedName name="chas11">#REF!</definedName>
    <definedName name="chas12" localSheetId="2">#REF!</definedName>
    <definedName name="chas12" localSheetId="3">#REF!</definedName>
    <definedName name="chas12" localSheetId="0">#REF!</definedName>
    <definedName name="chas12" localSheetId="1">#REF!</definedName>
    <definedName name="chas12">#REF!</definedName>
    <definedName name="chas1t1" localSheetId="2">#REF!</definedName>
    <definedName name="chas1t1" localSheetId="3">#REF!</definedName>
    <definedName name="chas1t1" localSheetId="0">#REF!</definedName>
    <definedName name="chas1t1" localSheetId="1">#REF!</definedName>
    <definedName name="chas1t1">#REF!</definedName>
    <definedName name="chas1t2" localSheetId="2">[7]CH1!#REF!</definedName>
    <definedName name="chas1t2" localSheetId="3">[7]CH1!#REF!</definedName>
    <definedName name="chas1t2" localSheetId="1">[7]CH1!#REF!</definedName>
    <definedName name="chas1t2">[7]CH1!#REF!</definedName>
    <definedName name="chas21" localSheetId="2">#REF!</definedName>
    <definedName name="chas21" localSheetId="3">#REF!</definedName>
    <definedName name="chas21" localSheetId="0">#REF!</definedName>
    <definedName name="chas21" localSheetId="1">#REF!</definedName>
    <definedName name="chas21">#REF!</definedName>
    <definedName name="chas22" localSheetId="2">#REF!</definedName>
    <definedName name="chas22" localSheetId="3">#REF!</definedName>
    <definedName name="chas22" localSheetId="0">#REF!</definedName>
    <definedName name="chas22" localSheetId="1">#REF!</definedName>
    <definedName name="chas22">#REF!</definedName>
    <definedName name="chas2t1" localSheetId="2">#REF!</definedName>
    <definedName name="chas2t1" localSheetId="3">#REF!</definedName>
    <definedName name="chas2t1" localSheetId="0">#REF!</definedName>
    <definedName name="chas2t1" localSheetId="1">#REF!</definedName>
    <definedName name="chas2t1">#REF!</definedName>
    <definedName name="chas2t2" localSheetId="2">[7]CH2!#REF!</definedName>
    <definedName name="chas2t2" localSheetId="3">[7]CH2!#REF!</definedName>
    <definedName name="chas2t2" localSheetId="1">[7]CH2!#REF!</definedName>
    <definedName name="chas2t2">[7]CH2!#REF!</definedName>
    <definedName name="chas31" localSheetId="2">#REF!</definedName>
    <definedName name="chas31" localSheetId="3">#REF!</definedName>
    <definedName name="chas31" localSheetId="0">#REF!</definedName>
    <definedName name="chas31" localSheetId="1">#REF!</definedName>
    <definedName name="chas31">#REF!</definedName>
    <definedName name="chas32" localSheetId="2">#REF!</definedName>
    <definedName name="chas32" localSheetId="3">#REF!</definedName>
    <definedName name="chas32" localSheetId="0">#REF!</definedName>
    <definedName name="chas32" localSheetId="1">#REF!</definedName>
    <definedName name="chas32">#REF!</definedName>
    <definedName name="chas3t1" localSheetId="2">#REF!</definedName>
    <definedName name="chas3t1" localSheetId="3">#REF!</definedName>
    <definedName name="chas3t1" localSheetId="0">#REF!</definedName>
    <definedName name="chas3t1" localSheetId="1">#REF!</definedName>
    <definedName name="chas3t1">#REF!</definedName>
    <definedName name="chas3t2" localSheetId="2">#REF!</definedName>
    <definedName name="chas3t2" localSheetId="3">#REF!</definedName>
    <definedName name="chas3t2" localSheetId="0">#REF!</definedName>
    <definedName name="chas3t2" localSheetId="1">#REF!</definedName>
    <definedName name="chas3t2">#REF!</definedName>
    <definedName name="CHICAGO_TOTAL" localSheetId="2">[5]SN951999!#REF!</definedName>
    <definedName name="CHICAGO_TOTAL" localSheetId="3">[5]SN951999!#REF!</definedName>
    <definedName name="CHICAGO_TOTAL" localSheetId="1">[5]SN951999!#REF!</definedName>
    <definedName name="CHICAGO_TOTAL">[5]SN951999!#REF!</definedName>
    <definedName name="Clear_1A_ADJ" localSheetId="2">#REF!,#REF!,#REF!,#REF!,#REF!,#REF!,#REF!,#REF!,#REF!,#REF!,#REF!,#REF!</definedName>
    <definedName name="Clear_1A_ADJ" localSheetId="3">#REF!,#REF!,#REF!,#REF!,#REF!,#REF!,#REF!,#REF!,#REF!,#REF!,#REF!,#REF!</definedName>
    <definedName name="Clear_1A_ADJ" localSheetId="0">#REF!,#REF!,#REF!,#REF!,#REF!,#REF!,#REF!,#REF!,#REF!,#REF!,#REF!,#REF!</definedName>
    <definedName name="Clear_1A_ADJ" localSheetId="1">#REF!,#REF!,#REF!,#REF!,#REF!,#REF!,#REF!,#REF!,#REF!,#REF!,#REF!,#REF!</definedName>
    <definedName name="Clear_1A_ADJ">#REF!,#REF!,#REF!,#REF!,#REF!,#REF!,#REF!,#REF!,#REF!,#REF!,#REF!,#REF!</definedName>
    <definedName name="clear_input" localSheetId="2">#REF!,#REF!</definedName>
    <definedName name="clear_input" localSheetId="3">#REF!,#REF!</definedName>
    <definedName name="clear_input" localSheetId="0">#REF!,#REF!</definedName>
    <definedName name="clear_input" localSheetId="1">#REF!,#REF!</definedName>
    <definedName name="clear_input">#REF!,#REF!</definedName>
    <definedName name="Clear_K_INPUT" localSheetId="2">#REF!,#REF!,#REF!,#REF!,#REF!</definedName>
    <definedName name="Clear_K_INPUT" localSheetId="3">#REF!,#REF!,#REF!,#REF!,#REF!</definedName>
    <definedName name="Clear_K_INPUT" localSheetId="0">#REF!,#REF!,#REF!,#REF!,#REF!</definedName>
    <definedName name="Clear_K_INPUT" localSheetId="1">#REF!,#REF!,#REF!,#REF!,#REF!</definedName>
    <definedName name="Clear_K_INPUT">#REF!,#REF!,#REF!,#REF!,#REF!</definedName>
    <definedName name="Clear_K_LABOR" localSheetId="2">#REF!,#REF!,#REF!,#REF!,#REF!,#REF!,#REF!,#REF!,#REF!,#REF!,#REF!,#REF!,#REF!,#REF!,#REF!,#REF!,#REF!,#REF!,#REF!,#REF!,#REF!,#REF!</definedName>
    <definedName name="Clear_K_LABOR" localSheetId="3">#REF!,#REF!,#REF!,#REF!,#REF!,#REF!,#REF!,#REF!,#REF!,#REF!,#REF!,#REF!,#REF!,#REF!,#REF!,#REF!,#REF!,#REF!,#REF!,#REF!,#REF!,#REF!</definedName>
    <definedName name="Clear_K_LABOR" localSheetId="0">#REF!,#REF!,#REF!,#REF!,#REF!,#REF!,#REF!,#REF!,#REF!,#REF!,#REF!,#REF!,#REF!,#REF!,#REF!,#REF!,#REF!,#REF!,#REF!,#REF!,#REF!,#REF!</definedName>
    <definedName name="Clear_K_LABOR" localSheetId="1">#REF!,#REF!,#REF!,#REF!,#REF!,#REF!,#REF!,#REF!,#REF!,#REF!,#REF!,#REF!,#REF!,#REF!,#REF!,#REF!,#REF!,#REF!,#REF!,#REF!,#REF!,#REF!</definedName>
    <definedName name="Clear_K_LABOR">#REF!,#REF!,#REF!,#REF!,#REF!,#REF!,#REF!,#REF!,#REF!,#REF!,#REF!,#REF!,#REF!,#REF!,#REF!,#REF!,#REF!,#REF!,#REF!,#REF!,#REF!,#REF!</definedName>
    <definedName name="Clear_MO2635A" localSheetId="2">#REF!,#REF!,#REF!,#REF!,#REF!,#REF!,#REF!,#REF!,#REF!,#REF!,#REF!,#REF!,#REF!,[8]!MO2635A</definedName>
    <definedName name="Clear_MO2635A" localSheetId="3">#REF!,#REF!,#REF!,#REF!,#REF!,#REF!,#REF!,#REF!,#REF!,#REF!,#REF!,#REF!,#REF!,[8]!MO2635A</definedName>
    <definedName name="Clear_MO2635A" localSheetId="0">#REF!,#REF!,#REF!,#REF!,#REF!,#REF!,#REF!,#REF!,#REF!,#REF!,#REF!,#REF!,#REF!,[8]!MO2635A</definedName>
    <definedName name="Clear_MO2635A" localSheetId="1">#REF!,#REF!,#REF!,#REF!,#REF!,#REF!,#REF!,#REF!,#REF!,#REF!,#REF!,#REF!,#REF!,[8]!MO2635A</definedName>
    <definedName name="Clear_MO2635A">#REF!,#REF!,#REF!,#REF!,#REF!,#REF!,#REF!,#REF!,#REF!,#REF!,#REF!,#REF!,#REF!,[8]!MO2635A</definedName>
    <definedName name="Clear_RECONMPS" localSheetId="2">#REF!,#REF!,#REF!,#REF!,#REF!,#REF!,#REF!,#REF!,#REF!,#REF!,#REF!,#REF!,#REF!,#REF!,#REF!,#REF!,#REF!,#REF!,#REF!</definedName>
    <definedName name="Clear_RECONMPS" localSheetId="3">#REF!,#REF!,#REF!,#REF!,#REF!,#REF!,#REF!,#REF!,#REF!,#REF!,#REF!,#REF!,#REF!,#REF!,#REF!,#REF!,#REF!,#REF!,#REF!</definedName>
    <definedName name="Clear_RECONMPS" localSheetId="0">#REF!,#REF!,#REF!,#REF!,#REF!,#REF!,#REF!,#REF!,#REF!,#REF!,#REF!,#REF!,#REF!,#REF!,#REF!,#REF!,#REF!,#REF!,#REF!</definedName>
    <definedName name="Clear_RECONMPS" localSheetId="1">#REF!,#REF!,#REF!,#REF!,#REF!,#REF!,#REF!,#REF!,#REF!,#REF!,#REF!,#REF!,#REF!,#REF!,#REF!,#REF!,#REF!,#REF!,#REF!</definedName>
    <definedName name="Clear_RECONMPS">#REF!,#REF!,#REF!,#REF!,#REF!,#REF!,#REF!,#REF!,#REF!,#REF!,#REF!,#REF!,#REF!,#REF!,#REF!,#REF!,#REF!,#REF!,#REF!</definedName>
    <definedName name="CONTINENTALLINERATE" localSheetId="2">#REF!</definedName>
    <definedName name="CONTINENTALLINERATE" localSheetId="3">#REF!</definedName>
    <definedName name="CONTINENTALLINERATE" localSheetId="0">#REF!</definedName>
    <definedName name="CONTINENTALLINERATE" localSheetId="1">#REF!</definedName>
    <definedName name="CONTINENTALLINERATE">#REF!</definedName>
    <definedName name="CONTOT" localSheetId="2">#REF!</definedName>
    <definedName name="CONTOT" localSheetId="3">#REF!</definedName>
    <definedName name="CONTOT" localSheetId="0">#REF!</definedName>
    <definedName name="CONTOT" localSheetId="1">#REF!</definedName>
    <definedName name="CONTOT">#REF!</definedName>
    <definedName name="CONTST" localSheetId="2">#REF!</definedName>
    <definedName name="CONTST" localSheetId="3">#REF!</definedName>
    <definedName name="CONTST" localSheetId="0">#REF!</definedName>
    <definedName name="CONTST" localSheetId="1">#REF!</definedName>
    <definedName name="CONTST">#REF!</definedName>
    <definedName name="conversiontot" localSheetId="2">#REF!</definedName>
    <definedName name="conversiontot" localSheetId="3">#REF!</definedName>
    <definedName name="conversiontot" localSheetId="0">#REF!</definedName>
    <definedName name="conversiontot" localSheetId="1">#REF!</definedName>
    <definedName name="conversiontot">#REF!</definedName>
    <definedName name="Cost_Table" localSheetId="2">#REF!</definedName>
    <definedName name="Cost_Table" localSheetId="3">#REF!</definedName>
    <definedName name="Cost_Table" localSheetId="0">#REF!</definedName>
    <definedName name="Cost_Table" localSheetId="1">#REF!</definedName>
    <definedName name="Cost_Table">#REF!</definedName>
    <definedName name="costnewnd" localSheetId="2">#REF!</definedName>
    <definedName name="costnewnd" localSheetId="3">#REF!</definedName>
    <definedName name="costnewnd" localSheetId="0">#REF!</definedName>
    <definedName name="costnewnd" localSheetId="1">#REF!</definedName>
    <definedName name="costnewnd">#REF!</definedName>
    <definedName name="cutawaytot" localSheetId="2">#REF!</definedName>
    <definedName name="cutawaytot" localSheetId="3">#REF!</definedName>
    <definedName name="cutawaytot" localSheetId="0">#REF!</definedName>
    <definedName name="cutawaytot" localSheetId="1">#REF!</definedName>
    <definedName name="cutawaytot">#REF!</definedName>
    <definedName name="cuttotal" localSheetId="2">#REF!</definedName>
    <definedName name="cuttotal" localSheetId="3">#REF!</definedName>
    <definedName name="cuttotal" localSheetId="0">#REF!</definedName>
    <definedName name="cuttotal" localSheetId="1">#REF!</definedName>
    <definedName name="cuttotal">#REF!</definedName>
    <definedName name="d_rc" localSheetId="2">#REF!</definedName>
    <definedName name="d_rc" localSheetId="3">#REF!</definedName>
    <definedName name="d_rc" localSheetId="0">#REF!</definedName>
    <definedName name="d_rc" localSheetId="1">#REF!</definedName>
    <definedName name="d_rc">#REF!</definedName>
    <definedName name="d_sf" localSheetId="2">#REF!</definedName>
    <definedName name="d_sf" localSheetId="3">#REF!</definedName>
    <definedName name="d_sf" localSheetId="0">#REF!</definedName>
    <definedName name="d_sf" localSheetId="1">#REF!</definedName>
    <definedName name="d_sf">#REF!</definedName>
    <definedName name="d_tr" localSheetId="2">#REF!</definedName>
    <definedName name="d_tr" localSheetId="3">#REF!</definedName>
    <definedName name="d_tr" localSheetId="0">#REF!</definedName>
    <definedName name="d_tr" localSheetId="1">#REF!</definedName>
    <definedName name="d_tr">#REF!</definedName>
    <definedName name="d_ul" localSheetId="2">#REF!</definedName>
    <definedName name="d_ul" localSheetId="3">#REF!</definedName>
    <definedName name="d_ul" localSheetId="0">#REF!</definedName>
    <definedName name="d_ul" localSheetId="1">#REF!</definedName>
    <definedName name="d_ul">#REF!</definedName>
    <definedName name="DAGENHAM_TOTAL" localSheetId="2">[5]SN951999!#REF!</definedName>
    <definedName name="DAGENHAM_TOTAL" localSheetId="3">[5]SN951999!#REF!</definedName>
    <definedName name="DAGENHAM_TOTAL" localSheetId="1">[5]SN951999!#REF!</definedName>
    <definedName name="DAGENHAM_TOTAL">[5]SN951999!#REF!</definedName>
    <definedName name="_xlnm.Database" localSheetId="2" hidden="1">#REF!</definedName>
    <definedName name="_xlnm.Database" localSheetId="3" hidden="1">#REF!</definedName>
    <definedName name="_xlnm.Database" localSheetId="0" hidden="1">#REF!</definedName>
    <definedName name="_xlnm.Database" localSheetId="1" hidden="1">#REF!</definedName>
    <definedName name="_xlnm.Database" hidden="1">#REF!</definedName>
    <definedName name="Dates" localSheetId="2">#REF!</definedName>
    <definedName name="Dates" localSheetId="3">#REF!</definedName>
    <definedName name="Dates" localSheetId="0">#REF!</definedName>
    <definedName name="Dates" localSheetId="1">#REF!</definedName>
    <definedName name="Dates">#REF!</definedName>
    <definedName name="DEARBORN_TOTAL" localSheetId="2">[5]SN951999!#REF!</definedName>
    <definedName name="DEARBORN_TOTAL" localSheetId="3">[5]SN951999!#REF!</definedName>
    <definedName name="DEARBORN_TOTAL" localSheetId="1">[5]SN951999!#REF!</definedName>
    <definedName name="DEARBORN_TOTAL">[5]SN951999!#REF!</definedName>
    <definedName name="Deletefromlist" localSheetId="2">[2]!Deletefromlist</definedName>
    <definedName name="Deletefromlist" localSheetId="3">[2]!Deletefromlist</definedName>
    <definedName name="Deletefromlist" localSheetId="1">[2]!Deletefromlist</definedName>
    <definedName name="Deletefromlist">[2]!Deletefromlist</definedName>
    <definedName name="DESC" localSheetId="2">#REF!</definedName>
    <definedName name="DESC" localSheetId="3">#REF!</definedName>
    <definedName name="DESC" localSheetId="0">#REF!</definedName>
    <definedName name="DESC" localSheetId="1">#REF!</definedName>
    <definedName name="DESC">#REF!</definedName>
    <definedName name="DEW98LINERATE" localSheetId="2">#REF!</definedName>
    <definedName name="DEW98LINERATE" localSheetId="3">#REF!</definedName>
    <definedName name="DEW98LINERATE" localSheetId="0">#REF!</definedName>
    <definedName name="DEW98LINERATE" localSheetId="1">#REF!</definedName>
    <definedName name="DEW98LINERATE">#REF!</definedName>
    <definedName name="DropDown1">"DropDown1"</definedName>
    <definedName name="Duty_rate_F_ROW">[9]INPUT!$G$21</definedName>
    <definedName name="Duty_rate_M_ROW">[9]INPUT!$G$25</definedName>
    <definedName name="e5502003" localSheetId="2">#REF!</definedName>
    <definedName name="e5502003" localSheetId="3">#REF!</definedName>
    <definedName name="e5502003" localSheetId="0">#REF!</definedName>
    <definedName name="e5502003" localSheetId="1">#REF!</definedName>
    <definedName name="e5502003">#REF!</definedName>
    <definedName name="EB" localSheetId="2">#REF!</definedName>
    <definedName name="EB" localSheetId="3">#REF!</definedName>
    <definedName name="EB" localSheetId="0">#REF!</definedName>
    <definedName name="EB" localSheetId="1">#REF!</definedName>
    <definedName name="EB">#REF!</definedName>
    <definedName name="econ" localSheetId="2">#REF!</definedName>
    <definedName name="econ" localSheetId="3">#REF!</definedName>
    <definedName name="econ" localSheetId="0">#REF!</definedName>
    <definedName name="econ" localSheetId="1">#REF!</definedName>
    <definedName name="econ">#REF!</definedName>
    <definedName name="EUR_12MOS" localSheetId="2">[5]SN951999!#REF!</definedName>
    <definedName name="EUR_12MOS" localSheetId="3">[5]SN951999!#REF!</definedName>
    <definedName name="EUR_12MOS" localSheetId="1">[5]SN951999!#REF!</definedName>
    <definedName name="EUR_12MOS">[5]SN951999!#REF!</definedName>
    <definedName name="EUR_24MOS" localSheetId="2">[5]SN951999!#REF!</definedName>
    <definedName name="EUR_24MOS" localSheetId="3">[5]SN951999!#REF!</definedName>
    <definedName name="EUR_24MOS" localSheetId="1">[5]SN951999!#REF!</definedName>
    <definedName name="EUR_24MOS">[5]SN951999!#REF!</definedName>
    <definedName name="EUR_36MOS" localSheetId="2">[5]SN951999!#REF!</definedName>
    <definedName name="EUR_36MOS" localSheetId="3">[5]SN951999!#REF!</definedName>
    <definedName name="EUR_36MOS" localSheetId="1">[5]SN951999!#REF!</definedName>
    <definedName name="EUR_36MOS">[5]SN951999!#REF!</definedName>
    <definedName name="EUR_AUTH_LOSS" localSheetId="2">#REF!</definedName>
    <definedName name="EUR_AUTH_LOSS" localSheetId="3">#REF!</definedName>
    <definedName name="EUR_AUTH_LOSS" localSheetId="0">#REF!</definedName>
    <definedName name="EUR_AUTH_LOSS" localSheetId="1">#REF!</definedName>
    <definedName name="EUR_AUTH_LOSS">#REF!</definedName>
    <definedName name="EUR_BP_No_ofDieSets" localSheetId="2">#REF!</definedName>
    <definedName name="EUR_BP_No_ofDieSets" localSheetId="3">#REF!</definedName>
    <definedName name="EUR_BP_No_ofDieSets" localSheetId="0">#REF!</definedName>
    <definedName name="EUR_BP_No_ofDieSets" localSheetId="1">#REF!</definedName>
    <definedName name="EUR_BP_No_ofDieSets">#REF!</definedName>
    <definedName name="EUR_BPDIESET" localSheetId="2">#REF!</definedName>
    <definedName name="EUR_BPDIESET" localSheetId="3">#REF!</definedName>
    <definedName name="EUR_BPDIESET" localSheetId="0">#REF!</definedName>
    <definedName name="EUR_BPDIESET" localSheetId="1">#REF!</definedName>
    <definedName name="EUR_BPDIESET">#REF!</definedName>
    <definedName name="EUR_BPDIESET_HRS" localSheetId="2">#REF!</definedName>
    <definedName name="EUR_BPDIESET_HRS" localSheetId="3">#REF!</definedName>
    <definedName name="EUR_BPDIESET_HRS" localSheetId="0">#REF!</definedName>
    <definedName name="EUR_BPDIESET_HRS" localSheetId="1">#REF!</definedName>
    <definedName name="EUR_BPDIESET_HRS">#REF!</definedName>
    <definedName name="EUR_CAL_PLUS" localSheetId="2">[5]SN951999!#REF!</definedName>
    <definedName name="EUR_CAL_PLUS" localSheetId="3">[5]SN951999!#REF!</definedName>
    <definedName name="EUR_CAL_PLUS" localSheetId="1">[5]SN951999!#REF!</definedName>
    <definedName name="EUR_CAL_PLUS">[5]SN951999!#REF!</definedName>
    <definedName name="EUR_CAL0" localSheetId="2">[5]SN951999!#REF!</definedName>
    <definedName name="EUR_CAL0" localSheetId="3">[5]SN951999!#REF!</definedName>
    <definedName name="EUR_CAL0" localSheetId="1">[5]SN951999!#REF!</definedName>
    <definedName name="EUR_CAL0">[5]SN951999!#REF!</definedName>
    <definedName name="EUR_CAL1" localSheetId="2">[5]SN951999!#REF!</definedName>
    <definedName name="EUR_CAL1" localSheetId="3">[5]SN951999!#REF!</definedName>
    <definedName name="EUR_CAL1" localSheetId="1">[5]SN951999!#REF!</definedName>
    <definedName name="EUR_CAL1">[5]SN951999!#REF!</definedName>
    <definedName name="EUR_CAL2" localSheetId="2">[5]SN951999!#REF!</definedName>
    <definedName name="EUR_CAL2" localSheetId="3">[5]SN951999!#REF!</definedName>
    <definedName name="EUR_CAL2" localSheetId="1">[5]SN951999!#REF!</definedName>
    <definedName name="EUR_CAL2">[5]SN951999!#REF!</definedName>
    <definedName name="EUR_CAL3" localSheetId="2">[5]SN951999!#REF!</definedName>
    <definedName name="EUR_CAL3" localSheetId="3">[5]SN951999!#REF!</definedName>
    <definedName name="EUR_CAL3" localSheetId="1">[5]SN951999!#REF!</definedName>
    <definedName name="EUR_CAL3">[5]SN951999!#REF!</definedName>
    <definedName name="EUR_ContainedRA" localSheetId="2">#REF!</definedName>
    <definedName name="EUR_ContainedRA" localSheetId="3">#REF!</definedName>
    <definedName name="EUR_ContainedRA" localSheetId="0">#REF!</definedName>
    <definedName name="EUR_ContainedRA" localSheetId="1">#REF!</definedName>
    <definedName name="EUR_ContainedRA">#REF!</definedName>
    <definedName name="EUR_CostPTruck" localSheetId="2">#REF!</definedName>
    <definedName name="EUR_CostPTruck" localSheetId="3">#REF!</definedName>
    <definedName name="EUR_CostPTruck" localSheetId="0">#REF!</definedName>
    <definedName name="EUR_CostPTruck" localSheetId="1">#REF!</definedName>
    <definedName name="EUR_CostPTruck">#REF!</definedName>
    <definedName name="eur_current_jph">'[10]Input Worksheet'!$D$22</definedName>
    <definedName name="EUR_DUNN" localSheetId="2">#REF!</definedName>
    <definedName name="EUR_DUNN" localSheetId="3">#REF!</definedName>
    <definedName name="EUR_DUNN" localSheetId="0">#REF!</definedName>
    <definedName name="EUR_DUNN" localSheetId="1">#REF!</definedName>
    <definedName name="EUR_DUNN">#REF!</definedName>
    <definedName name="EUR_Facility" localSheetId="2">#REF!</definedName>
    <definedName name="EUR_Facility" localSheetId="3">#REF!</definedName>
    <definedName name="EUR_Facility" localSheetId="0">#REF!</definedName>
    <definedName name="EUR_Facility" localSheetId="1">#REF!</definedName>
    <definedName name="EUR_Facility">#REF!</definedName>
    <definedName name="eur_JPH" localSheetId="2">[5]SN951999!#REF!</definedName>
    <definedName name="eur_JPH" localSheetId="3">[5]SN951999!#REF!</definedName>
    <definedName name="eur_JPH" localSheetId="1">[5]SN951999!#REF!</definedName>
    <definedName name="eur_JPH">[5]SN951999!#REF!</definedName>
    <definedName name="EUR_Material" localSheetId="2">#REF!</definedName>
    <definedName name="EUR_Material" localSheetId="3">#REF!</definedName>
    <definedName name="EUR_Material" localSheetId="0">#REF!</definedName>
    <definedName name="EUR_Material" localSheetId="1">#REF!</definedName>
    <definedName name="EUR_Material">#REF!</definedName>
    <definedName name="EUR_MaxLineLoad" localSheetId="2">#REF!</definedName>
    <definedName name="EUR_MaxLineLoad" localSheetId="3">#REF!</definedName>
    <definedName name="EUR_MaxLineLoad" localSheetId="0">#REF!</definedName>
    <definedName name="EUR_MaxLineLoad" localSheetId="1">#REF!</definedName>
    <definedName name="EUR_MaxLineLoad">#REF!</definedName>
    <definedName name="EUR_MH" localSheetId="2">#REF!</definedName>
    <definedName name="EUR_MH" localSheetId="3">#REF!</definedName>
    <definedName name="EUR_MH" localSheetId="0">#REF!</definedName>
    <definedName name="EUR_MH" localSheetId="1">#REF!</definedName>
    <definedName name="EUR_MH">#REF!</definedName>
    <definedName name="Eur_Operations" localSheetId="2">#REF!</definedName>
    <definedName name="Eur_Operations" localSheetId="3">#REF!</definedName>
    <definedName name="Eur_Operations" localSheetId="0">#REF!</definedName>
    <definedName name="Eur_Operations" localSheetId="1">#REF!</definedName>
    <definedName name="Eur_Operations">#REF!</definedName>
    <definedName name="Eur_PartSize" localSheetId="2">#REF!</definedName>
    <definedName name="Eur_PartSize" localSheetId="3">#REF!</definedName>
    <definedName name="Eur_PartSize" localSheetId="0">#REF!</definedName>
    <definedName name="Eur_PartSize" localSheetId="1">#REF!</definedName>
    <definedName name="Eur_PartSize">#REF!</definedName>
    <definedName name="EUR_PlantName" localSheetId="2">'[4]Wage Calculations'!#REF!</definedName>
    <definedName name="EUR_PlantName" localSheetId="3">'[4]Wage Calculations'!#REF!</definedName>
    <definedName name="EUR_PlantName" localSheetId="1">'[4]Wage Calculations'!#REF!</definedName>
    <definedName name="EUR_PlantName">'[4]Wage Calculations'!#REF!</definedName>
    <definedName name="EUR_PLUS3" localSheetId="2">[5]SN951999!#REF!</definedName>
    <definedName name="EUR_PLUS3" localSheetId="3">[5]SN951999!#REF!</definedName>
    <definedName name="EUR_PLUS3" localSheetId="1">[5]SN951999!#REF!</definedName>
    <definedName name="EUR_PLUS3">[5]SN951999!#REF!</definedName>
    <definedName name="EUR_PPR" localSheetId="2">#REF!</definedName>
    <definedName name="EUR_PPR" localSheetId="3">#REF!</definedName>
    <definedName name="EUR_PPR" localSheetId="0">#REF!</definedName>
    <definedName name="EUR_PPR" localSheetId="1">#REF!</definedName>
    <definedName name="EUR_PPR">#REF!</definedName>
    <definedName name="eur_racks" localSheetId="2">#REF!</definedName>
    <definedName name="eur_racks" localSheetId="3">#REF!</definedName>
    <definedName name="eur_racks" localSheetId="0">#REF!</definedName>
    <definedName name="eur_racks" localSheetId="1">#REF!</definedName>
    <definedName name="eur_racks">#REF!</definedName>
    <definedName name="EUR_rental_time" localSheetId="2">#REF!</definedName>
    <definedName name="EUR_rental_time" localSheetId="3">#REF!</definedName>
    <definedName name="EUR_rental_time" localSheetId="0">#REF!</definedName>
    <definedName name="EUR_rental_time" localSheetId="1">#REF!</definedName>
    <definedName name="EUR_rental_time">#REF!</definedName>
    <definedName name="EUR_RPT" localSheetId="2">#REF!</definedName>
    <definedName name="EUR_RPT" localSheetId="3">#REF!</definedName>
    <definedName name="EUR_RPT" localSheetId="0">#REF!</definedName>
    <definedName name="EUR_RPT" localSheetId="1">#REF!</definedName>
    <definedName name="EUR_RPT">#REF!</definedName>
    <definedName name="eur_run_time" localSheetId="2">[5]SN951999!#REF!</definedName>
    <definedName name="eur_run_time" localSheetId="3">[5]SN951999!#REF!</definedName>
    <definedName name="eur_run_time" localSheetId="1">[5]SN951999!#REF!</definedName>
    <definedName name="eur_run_time">[5]SN951999!#REF!</definedName>
    <definedName name="EUR_Surface" localSheetId="2">#REF!</definedName>
    <definedName name="EUR_Surface" localSheetId="3">#REF!</definedName>
    <definedName name="EUR_Surface" localSheetId="0">#REF!</definedName>
    <definedName name="EUR_Surface" localSheetId="1">#REF!</definedName>
    <definedName name="EUR_Surface">#REF!</definedName>
    <definedName name="EUR_Travel" localSheetId="2">#REF!</definedName>
    <definedName name="EUR_Travel" localSheetId="3">#REF!</definedName>
    <definedName name="EUR_Travel" localSheetId="0">#REF!</definedName>
    <definedName name="EUR_Travel" localSheetId="1">#REF!</definedName>
    <definedName name="EUR_Travel">#REF!</definedName>
    <definedName name="Europe_NBR" localSheetId="2">#REF!</definedName>
    <definedName name="Europe_NBR" localSheetId="3">#REF!</definedName>
    <definedName name="Europe_NBR" localSheetId="0">#REF!</definedName>
    <definedName name="Europe_NBR" localSheetId="1">#REF!</definedName>
    <definedName name="Europe_NBR">#REF!</definedName>
    <definedName name="ex_ec_factor">'[4]Wage Calculations'!$A$203:$P$222</definedName>
    <definedName name="ex_ec_plant">'[4]Wage Calculations'!$A$201:$P$202</definedName>
    <definedName name="ex_move">[9]INPUT!$B$2</definedName>
    <definedName name="explorercanada" localSheetId="2">#REF!</definedName>
    <definedName name="explorercanada" localSheetId="3">#REF!</definedName>
    <definedName name="explorercanada" localSheetId="0">#REF!</definedName>
    <definedName name="explorercanada" localSheetId="1">#REF!</definedName>
    <definedName name="explorercanada">#REF!</definedName>
    <definedName name="explorerus" localSheetId="2">#REF!</definedName>
    <definedName name="explorerus" localSheetId="3">#REF!</definedName>
    <definedName name="explorerus" localSheetId="0">#REF!</definedName>
    <definedName name="explorerus" localSheetId="1">#REF!</definedName>
    <definedName name="explorerus">#REF!</definedName>
    <definedName name="_xlnm.Extract">[11]DieCount!#REF!</definedName>
    <definedName name="extt2" localSheetId="2">[7]EX1!#REF!</definedName>
    <definedName name="extt2" localSheetId="3">[7]EX1!#REF!</definedName>
    <definedName name="extt2" localSheetId="1">[7]EX1!#REF!</definedName>
    <definedName name="extt2">[7]EX1!#REF!</definedName>
    <definedName name="Finished_Click" localSheetId="2">[12]!Finished_Click</definedName>
    <definedName name="Finished_Click" localSheetId="3">[12]!Finished_Click</definedName>
    <definedName name="Finished_Click" localSheetId="1">[12]!Finished_Click</definedName>
    <definedName name="Finished_Click">[12]!Finished_Click</definedName>
    <definedName name="First" localSheetId="2">[13]Rules!#REF!</definedName>
    <definedName name="First" localSheetId="3">[13]Rules!#REF!</definedName>
    <definedName name="First" localSheetId="1">[13]Rules!#REF!</definedName>
    <definedName name="First">[13]Rules!#REF!</definedName>
    <definedName name="First_Lower" localSheetId="2">[14]Colors!#REF!</definedName>
    <definedName name="First_Lower" localSheetId="3">[14]Colors!#REF!</definedName>
    <definedName name="First_Lower" localSheetId="1">[14]Colors!#REF!</definedName>
    <definedName name="First_Lower">[14]Colors!#REF!</definedName>
    <definedName name="FRAME_TOTAL" localSheetId="2">[5]SN951999!#REF!</definedName>
    <definedName name="FRAME_TOTAL" localSheetId="3">[5]SN951999!#REF!</definedName>
    <definedName name="FRAME_TOTAL" localSheetId="1">[5]SN951999!#REF!</definedName>
    <definedName name="FRAME_TOTAL">[5]SN951999!#REF!</definedName>
    <definedName name="GENK_TOTAL" localSheetId="2">[5]SN951999!#REF!</definedName>
    <definedName name="GENK_TOTAL" localSheetId="3">[5]SN951999!#REF!</definedName>
    <definedName name="GENK_TOTAL" localSheetId="1">[5]SN951999!#REF!</definedName>
    <definedName name="GENK_TOTAL">[5]SN951999!#REF!</definedName>
    <definedName name="H" localSheetId="2">#REF!</definedName>
    <definedName name="H" localSheetId="3">#REF!</definedName>
    <definedName name="H" localSheetId="0">#REF!</definedName>
    <definedName name="H" localSheetId="1">#REF!</definedName>
    <definedName name="H">#REF!</definedName>
    <definedName name="HALEWOOD_TOTAL" localSheetId="2">[5]SN951999!#REF!</definedName>
    <definedName name="HALEWOOD_TOTAL" localSheetId="3">[5]SN951999!#REF!</definedName>
    <definedName name="HALEWOOD_TOTAL" localSheetId="0">[5]SN951999!#REF!</definedName>
    <definedName name="HALEWOOD_TOTAL" localSheetId="1">[5]SN951999!#REF!</definedName>
    <definedName name="HALEWOOD_TOTAL">[5]SN951999!#REF!</definedName>
    <definedName name="hourlynd" localSheetId="2">#REF!</definedName>
    <definedName name="hourlynd" localSheetId="3">#REF!</definedName>
    <definedName name="hourlynd" localSheetId="0">#REF!</definedName>
    <definedName name="hourlynd" localSheetId="1">#REF!</definedName>
    <definedName name="hourlynd">#REF!</definedName>
    <definedName name="hsh">[15]!hsh</definedName>
    <definedName name="HTML1_1" hidden="1">"[pmt1ppl.xls]Sheet1!$B$1:$O$217"</definedName>
    <definedName name="HTML1_10" hidden="1">"estratte@tre011.ve.ford.com"</definedName>
    <definedName name="HTML1_11" hidden="1">-4146</definedName>
    <definedName name="HTML1_12" hidden="1">"H:\www\pmt1ppl.html"</definedName>
    <definedName name="HTML1_2" hidden="1">1</definedName>
    <definedName name="HTML1_3" hidden="1">"U152 PMT#1 PPL"</definedName>
    <definedName name="HTML1_4" hidden="1">"U152 Front End &amp; Underbody"</definedName>
    <definedName name="HTML1_5" hidden="1">""</definedName>
    <definedName name="HTML1_6" hidden="1">1</definedName>
    <definedName name="HTML1_7" hidden="1">1</definedName>
    <definedName name="HTML1_8" hidden="1">"8/2/96"</definedName>
    <definedName name="HTML1_9" hidden="1">"Eric Stratten"</definedName>
    <definedName name="HTML2_1" hidden="1">"[pmt1ppl.xls]Sheet1!$B$1:$F$217,$J$1:$J$217,$O$1:$O$217"</definedName>
    <definedName name="HTML2_10" hidden="1">"estratte@tre011.ve.ford.com"</definedName>
    <definedName name="HTML2_11" hidden="1">-4146</definedName>
    <definedName name="HTML2_12" hidden="1">"H:\www\pmt1ppl.html"</definedName>
    <definedName name="HTML2_2" hidden="1">1</definedName>
    <definedName name="HTML2_3" hidden="1">"U152 PMT#1 PPL"</definedName>
    <definedName name="HTML2_4" hidden="1">"U152 Front End &amp; Underbody"</definedName>
    <definedName name="HTML2_5" hidden="1">""</definedName>
    <definedName name="HTML2_6" hidden="1">1</definedName>
    <definedName name="HTML2_7" hidden="1">1</definedName>
    <definedName name="HTML2_8" hidden="1">"8/2/96"</definedName>
    <definedName name="HTML2_9" hidden="1">"Eric Stratten"</definedName>
    <definedName name="HTML3_1" hidden="1">"[pmt1ppl.xls]Sheet1!$A$1:$O$215"</definedName>
    <definedName name="HTML3_10" hidden="1">"estratte@tre011.ve.ford.com"</definedName>
    <definedName name="HTML3_11" hidden="1">-4146</definedName>
    <definedName name="HTML3_12" hidden="1">"H:\www\pmt1ppl.html"</definedName>
    <definedName name="HTML3_2" hidden="1">1</definedName>
    <definedName name="HTML3_3" hidden="1">"U152 PMT#1 PPL"</definedName>
    <definedName name="HTML3_4" hidden="1">"PMT#1 Program Parts List"</definedName>
    <definedName name="HTML3_5" hidden="1">""</definedName>
    <definedName name="HTML3_6" hidden="1">1</definedName>
    <definedName name="HTML3_7" hidden="1">1</definedName>
    <definedName name="HTML3_8" hidden="1">"8/26/96"</definedName>
    <definedName name="HTML3_9" hidden="1">"Eric Stratten"</definedName>
    <definedName name="HTMLCount" hidden="1">3</definedName>
    <definedName name="INPUT_AREA" localSheetId="2">#REF!,#REF!</definedName>
    <definedName name="INPUT_AREA" localSheetId="3">#REF!,#REF!</definedName>
    <definedName name="INPUT_AREA" localSheetId="0">#REF!,#REF!</definedName>
    <definedName name="INPUT_AREA" localSheetId="1">#REF!,#REF!</definedName>
    <definedName name="INPUT_AREA">#REF!,#REF!</definedName>
    <definedName name="jph" localSheetId="2">#REF!</definedName>
    <definedName name="jph" localSheetId="3">#REF!</definedName>
    <definedName name="jph" localSheetId="0">#REF!</definedName>
    <definedName name="jph" localSheetId="1">#REF!</definedName>
    <definedName name="jph">#REF!</definedName>
    <definedName name="jphnd" localSheetId="2">#REF!</definedName>
    <definedName name="jphnd" localSheetId="3">#REF!</definedName>
    <definedName name="jphnd" localSheetId="0">#REF!</definedName>
    <definedName name="jphnd" localSheetId="1">#REF!</definedName>
    <definedName name="jphnd">#REF!</definedName>
    <definedName name="kickoff" localSheetId="2">#REF!</definedName>
    <definedName name="kickoff" localSheetId="3">#REF!</definedName>
    <definedName name="kickoff" localSheetId="0">#REF!</definedName>
    <definedName name="kickoff" localSheetId="1">#REF!</definedName>
    <definedName name="kickoff">#REF!</definedName>
    <definedName name="LAMOSA_TOTAL" localSheetId="2">[5]SN951999!#REF!</definedName>
    <definedName name="LAMOSA_TOTAL" localSheetId="3">[5]SN951999!#REF!</definedName>
    <definedName name="LAMOSA_TOTAL" localSheetId="1">[5]SN951999!#REF!</definedName>
    <definedName name="LAMOSA_TOTAL">[5]SN951999!#REF!</definedName>
    <definedName name="Last" localSheetId="2">[13]Rules!#REF!</definedName>
    <definedName name="Last" localSheetId="3">[13]Rules!#REF!</definedName>
    <definedName name="Last" localSheetId="1">[13]Rules!#REF!</definedName>
    <definedName name="Last">[13]Rules!#REF!</definedName>
    <definedName name="Last_Lower" localSheetId="2">[14]Colors!#REF!</definedName>
    <definedName name="Last_Lower" localSheetId="3">[14]Colors!#REF!</definedName>
    <definedName name="Last_Lower" localSheetId="1">[14]Colors!#REF!</definedName>
    <definedName name="Last_Lower">[14]Colors!#REF!</definedName>
    <definedName name="lastCell" localSheetId="2">#REF!</definedName>
    <definedName name="lastCell" localSheetId="3">#REF!</definedName>
    <definedName name="lastCell" localSheetId="0">#REF!</definedName>
    <definedName name="lastCell" localSheetId="1">#REF!</definedName>
    <definedName name="lastCell">#REF!</definedName>
    <definedName name="lcurve" localSheetId="2">#REF!</definedName>
    <definedName name="lcurve" localSheetId="3">#REF!</definedName>
    <definedName name="lcurve" localSheetId="0">#REF!</definedName>
    <definedName name="lcurve" localSheetId="1">#REF!</definedName>
    <definedName name="lcurve">#REF!</definedName>
    <definedName name="lcurvend" localSheetId="2">#REF!</definedName>
    <definedName name="lcurvend" localSheetId="3">#REF!</definedName>
    <definedName name="lcurvend" localSheetId="0">#REF!</definedName>
    <definedName name="lcurvend" localSheetId="1">#REF!</definedName>
    <definedName name="lcurvend">#REF!</definedName>
    <definedName name="ldays" localSheetId="2">#REF!</definedName>
    <definedName name="ldays" localSheetId="3">#REF!</definedName>
    <definedName name="ldays" localSheetId="0">#REF!</definedName>
    <definedName name="ldays" localSheetId="1">#REF!</definedName>
    <definedName name="ldays">#REF!</definedName>
    <definedName name="ldaysnd" localSheetId="2">#REF!</definedName>
    <definedName name="ldaysnd" localSheetId="3">#REF!</definedName>
    <definedName name="ldaysnd" localSheetId="0">#REF!</definedName>
    <definedName name="ldaysnd" localSheetId="1">#REF!</definedName>
    <definedName name="ldaysnd">#REF!</definedName>
    <definedName name="lease_cost" localSheetId="2">#REF!</definedName>
    <definedName name="lease_cost" localSheetId="3">#REF!</definedName>
    <definedName name="lease_cost" localSheetId="0">#REF!</definedName>
    <definedName name="lease_cost" localSheetId="1">#REF!</definedName>
    <definedName name="lease_cost">#REF!</definedName>
    <definedName name="life" localSheetId="2">#REF!</definedName>
    <definedName name="life" localSheetId="3">#REF!</definedName>
    <definedName name="life" localSheetId="0">#REF!</definedName>
    <definedName name="life" localSheetId="1">#REF!</definedName>
    <definedName name="life">#REF!</definedName>
    <definedName name="Load_Eur" localSheetId="2">#REF!</definedName>
    <definedName name="Load_Eur" localSheetId="3">#REF!</definedName>
    <definedName name="Load_Eur" localSheetId="0">#REF!</definedName>
    <definedName name="Load_Eur" localSheetId="1">#REF!</definedName>
    <definedName name="Load_Eur">#REF!</definedName>
    <definedName name="LoadStudyData" localSheetId="2">[16]!LoadStudyData</definedName>
    <definedName name="LoadStudyData" localSheetId="3">[16]!LoadStudyData</definedName>
    <definedName name="LoadStudyData" localSheetId="1">[16]!LoadStudyData</definedName>
    <definedName name="LoadStudyData">[16]!LoadStudyData</definedName>
    <definedName name="lwi" localSheetId="2">#REF!</definedName>
    <definedName name="lwi" localSheetId="3">#REF!</definedName>
    <definedName name="lwi" localSheetId="0">#REF!</definedName>
    <definedName name="lwi" localSheetId="1">#REF!</definedName>
    <definedName name="lwi">#REF!</definedName>
    <definedName name="lwind" localSheetId="2">#REF!</definedName>
    <definedName name="lwind" localSheetId="3">#REF!</definedName>
    <definedName name="lwind" localSheetId="0">#REF!</definedName>
    <definedName name="lwind" localSheetId="1">#REF!</definedName>
    <definedName name="lwind">#REF!</definedName>
    <definedName name="ma_rc" localSheetId="2">#REF!</definedName>
    <definedName name="ma_rc" localSheetId="3">#REF!</definedName>
    <definedName name="ma_rc" localSheetId="0">#REF!</definedName>
    <definedName name="ma_rc" localSheetId="1">#REF!</definedName>
    <definedName name="ma_rc">#REF!</definedName>
    <definedName name="ma_sf" localSheetId="2">#REF!</definedName>
    <definedName name="ma_sf" localSheetId="3">#REF!</definedName>
    <definedName name="ma_sf" localSheetId="0">#REF!</definedName>
    <definedName name="ma_sf" localSheetId="1">#REF!</definedName>
    <definedName name="ma_sf">#REF!</definedName>
    <definedName name="ma_tr" localSheetId="2">#REF!</definedName>
    <definedName name="ma_tr" localSheetId="3">#REF!</definedName>
    <definedName name="ma_tr" localSheetId="0">#REF!</definedName>
    <definedName name="ma_tr" localSheetId="1">#REF!</definedName>
    <definedName name="ma_tr">#REF!</definedName>
    <definedName name="ma_ul" localSheetId="2">#REF!</definedName>
    <definedName name="ma_ul" localSheetId="3">#REF!</definedName>
    <definedName name="ma_ul" localSheetId="0">#REF!</definedName>
    <definedName name="ma_ul" localSheetId="1">#REF!</definedName>
    <definedName name="ma_ul">#REF!</definedName>
    <definedName name="master_Sheet1_List" localSheetId="2">'[17]Plant Monthly Actuals'!#REF!</definedName>
    <definedName name="master_Sheet1_List" localSheetId="3">'[17]Plant Monthly Actuals'!#REF!</definedName>
    <definedName name="master_Sheet1_List" localSheetId="1">'[17]Plant Monthly Actuals'!#REF!</definedName>
    <definedName name="master_Sheet1_List">'[17]Plant Monthly Actuals'!#REF!</definedName>
    <definedName name="MAUMEE_TOTAL" localSheetId="2">[5]SN951999!#REF!</definedName>
    <definedName name="MAUMEE_TOTAL" localSheetId="3">[5]SN951999!#REF!</definedName>
    <definedName name="MAUMEE_TOTAL" localSheetId="1">[5]SN951999!#REF!</definedName>
    <definedName name="MAUMEE_TOTAL">[5]SN951999!#REF!</definedName>
    <definedName name="Min_D1" localSheetId="2">[18]Features!#REF!</definedName>
    <definedName name="Min_D1" localSheetId="3">[18]Features!#REF!</definedName>
    <definedName name="Min_D1" localSheetId="1">[18]Features!#REF!</definedName>
    <definedName name="Min_D1">[18]Features!#REF!</definedName>
    <definedName name="Min_D2" localSheetId="2">[18]Features!#REF!</definedName>
    <definedName name="Min_D2" localSheetId="3">[18]Features!#REF!</definedName>
    <definedName name="Min_D2" localSheetId="1">[18]Features!#REF!</definedName>
    <definedName name="Min_D2">[18]Features!#REF!</definedName>
    <definedName name="mo_rc" localSheetId="2">#REF!</definedName>
    <definedName name="mo_rc" localSheetId="3">#REF!</definedName>
    <definedName name="mo_rc" localSheetId="0">#REF!</definedName>
    <definedName name="mo_rc" localSheetId="1">#REF!</definedName>
    <definedName name="mo_rc">#REF!</definedName>
    <definedName name="mo_sf" localSheetId="2">#REF!</definedName>
    <definedName name="mo_sf" localSheetId="3">#REF!</definedName>
    <definedName name="mo_sf" localSheetId="0">#REF!</definedName>
    <definedName name="mo_sf" localSheetId="1">#REF!</definedName>
    <definedName name="mo_sf">#REF!</definedName>
    <definedName name="mo_tr" localSheetId="2">#REF!</definedName>
    <definedName name="mo_tr" localSheetId="3">#REF!</definedName>
    <definedName name="mo_tr" localSheetId="0">#REF!</definedName>
    <definedName name="mo_tr" localSheetId="1">#REF!</definedName>
    <definedName name="mo_tr">#REF!</definedName>
    <definedName name="mo_ul" localSheetId="2">#REF!</definedName>
    <definedName name="mo_ul" localSheetId="3">#REF!</definedName>
    <definedName name="mo_ul" localSheetId="0">#REF!</definedName>
    <definedName name="mo_ul" localSheetId="1">#REF!</definedName>
    <definedName name="mo_ul">#REF!</definedName>
    <definedName name="modyear">[6]variable!$C$4</definedName>
    <definedName name="MONROE_TOTAL" localSheetId="2">[5]SN951999!#REF!</definedName>
    <definedName name="MONROE_TOTAL" localSheetId="3">[5]SN951999!#REF!</definedName>
    <definedName name="MONROE_TOTAL" localSheetId="1">[5]SN951999!#REF!</definedName>
    <definedName name="MONROE_TOTAL">[5]SN951999!#REF!</definedName>
    <definedName name="mountaineer" localSheetId="2">#REF!</definedName>
    <definedName name="mountaineer" localSheetId="3">#REF!</definedName>
    <definedName name="mountaineer" localSheetId="0">#REF!</definedName>
    <definedName name="mountaineer" localSheetId="1">#REF!</definedName>
    <definedName name="mountaineer">#REF!</definedName>
    <definedName name="MY" localSheetId="2">'[1]XLS Avg Rev'!#REF!</definedName>
    <definedName name="MY" localSheetId="3">'[1]XLS Avg Rev'!#REF!</definedName>
    <definedName name="MY" localSheetId="0">'[1]XLS Avg Rev'!#REF!</definedName>
    <definedName name="MY" localSheetId="1">'[1]XLS Avg Rev'!#REF!</definedName>
    <definedName name="MY">'[1]XLS Avg Rev'!#REF!</definedName>
    <definedName name="MYR" localSheetId="2">'[19]Fleet-Retail Split'!$A$12:$IV$13,'[19]Fleet-Retail Split'!$A$15:$IV$17,'[19]Fleet-Retail Split'!#REF!,'[19]Fleet-Retail Split'!#REF!,'[19]Fleet-Retail Split'!#REF!,'[19]Fleet-Retail Split'!#REF!,'[19]Fleet-Retail Split'!#REF!,'[19]Fleet-Retail Split'!#REF!,'[19]Fleet-Retail Split'!$A$97:$IV$98,'[19]Fleet-Retail Split'!$A$100:$IV$102,'[19]Fleet-Retail Split'!#REF!,'[19]Fleet-Retail Split'!#REF!,'[19]Fleet-Retail Split'!#REF!,'[19]Fleet-Retail Split'!#REF!,'[19]Fleet-Retail Split'!#REF!</definedName>
    <definedName name="MYR" localSheetId="3">'[19]Fleet-Retail Split'!$A$12:$IV$13,'[19]Fleet-Retail Split'!$A$15:$IV$17,'[19]Fleet-Retail Split'!#REF!,'[19]Fleet-Retail Split'!#REF!,'[19]Fleet-Retail Split'!#REF!,'[19]Fleet-Retail Split'!#REF!,'[19]Fleet-Retail Split'!#REF!,'[19]Fleet-Retail Split'!#REF!,'[19]Fleet-Retail Split'!$A$97:$IV$98,'[19]Fleet-Retail Split'!$A$100:$IV$102,'[19]Fleet-Retail Split'!#REF!,'[19]Fleet-Retail Split'!#REF!,'[19]Fleet-Retail Split'!#REF!,'[19]Fleet-Retail Split'!#REF!,'[19]Fleet-Retail Split'!#REF!</definedName>
    <definedName name="MYR" localSheetId="1">'[19]Fleet-Retail Split'!$A$12:$IV$13,'[19]Fleet-Retail Split'!$A$15:$IV$17,'[19]Fleet-Retail Split'!#REF!,'[19]Fleet-Retail Split'!#REF!,'[19]Fleet-Retail Split'!#REF!,'[19]Fleet-Retail Split'!#REF!,'[19]Fleet-Retail Split'!#REF!,'[19]Fleet-Retail Split'!#REF!,'[19]Fleet-Retail Split'!$A$97:$IV$98,'[19]Fleet-Retail Split'!$A$100:$IV$102,'[19]Fleet-Retail Split'!#REF!,'[19]Fleet-Retail Split'!#REF!,'[19]Fleet-Retail Split'!#REF!,'[19]Fleet-Retail Split'!#REF!,'[19]Fleet-Retail Split'!#REF!</definedName>
    <definedName name="MYR">'[19]Fleet-Retail Split'!$A$12:$IV$13,'[19]Fleet-Retail Split'!$A$15:$IV$17,'[19]Fleet-Retail Split'!#REF!,'[19]Fleet-Retail Split'!#REF!,'[19]Fleet-Retail Split'!#REF!,'[19]Fleet-Retail Split'!#REF!,'[19]Fleet-Retail Split'!#REF!,'[19]Fleet-Retail Split'!#REF!,'[19]Fleet-Retail Split'!$A$97:$IV$98,'[19]Fleet-Retail Split'!$A$100:$IV$102,'[19]Fleet-Retail Split'!#REF!,'[19]Fleet-Retail Split'!#REF!,'[19]Fleet-Retail Split'!#REF!,'[19]Fleet-Retail Split'!#REF!,'[19]Fleet-Retail Split'!#REF!</definedName>
    <definedName name="N_CPT_ASSY">'[4]Wage Calculations'!$G$48</definedName>
    <definedName name="N_CPT_ASSY_NBR">'[4]Wage Calculations'!$G$49</definedName>
    <definedName name="NA_12MOS" localSheetId="2">[5]SN951999!#REF!</definedName>
    <definedName name="NA_12MOS" localSheetId="3">[5]SN951999!#REF!</definedName>
    <definedName name="NA_12MOS" localSheetId="1">[5]SN951999!#REF!</definedName>
    <definedName name="NA_12MOS">[5]SN951999!#REF!</definedName>
    <definedName name="NA_24MOS" localSheetId="2">[5]SN951999!#REF!</definedName>
    <definedName name="NA_24MOS" localSheetId="3">[5]SN951999!#REF!</definedName>
    <definedName name="NA_24MOS" localSheetId="1">[5]SN951999!#REF!</definedName>
    <definedName name="NA_24MOS">[5]SN951999!#REF!</definedName>
    <definedName name="NA_36MOS" localSheetId="2">[5]SN951999!#REF!</definedName>
    <definedName name="NA_36MOS" localSheetId="3">[5]SN951999!#REF!</definedName>
    <definedName name="NA_36MOS" localSheetId="1">[5]SN951999!#REF!</definedName>
    <definedName name="NA_36MOS">[5]SN951999!#REF!</definedName>
    <definedName name="NA_BP_No_ofDieSets" localSheetId="2">#REF!</definedName>
    <definedName name="NA_BP_No_ofDieSets" localSheetId="3">#REF!</definedName>
    <definedName name="NA_BP_No_ofDieSets" localSheetId="0">#REF!</definedName>
    <definedName name="NA_BP_No_ofDieSets" localSheetId="1">#REF!</definedName>
    <definedName name="NA_BP_No_ofDieSets">#REF!</definedName>
    <definedName name="NA_BPDIESET_HRS" localSheetId="2">#REF!</definedName>
    <definedName name="NA_BPDIESET_HRS" localSheetId="3">#REF!</definedName>
    <definedName name="NA_BPDIESET_HRS" localSheetId="0">#REF!</definedName>
    <definedName name="NA_BPDIESET_HRS" localSheetId="1">#REF!</definedName>
    <definedName name="NA_BPDIESET_HRS">#REF!</definedName>
    <definedName name="NA_CAL_PLUS" localSheetId="2">[5]SN951999!#REF!</definedName>
    <definedName name="NA_CAL_PLUS" localSheetId="3">[5]SN951999!#REF!</definedName>
    <definedName name="NA_CAL_PLUS" localSheetId="1">[5]SN951999!#REF!</definedName>
    <definedName name="NA_CAL_PLUS">[5]SN951999!#REF!</definedName>
    <definedName name="NA_CAL0" localSheetId="2">[5]SN951999!#REF!</definedName>
    <definedName name="NA_CAL0" localSheetId="3">[5]SN951999!#REF!</definedName>
    <definedName name="NA_CAL0" localSheetId="1">[5]SN951999!#REF!</definedName>
    <definedName name="NA_CAL0">[5]SN951999!#REF!</definedName>
    <definedName name="NA_CAL1" localSheetId="2">[5]SN951999!#REF!</definedName>
    <definedName name="NA_CAL1" localSheetId="3">[5]SN951999!#REF!</definedName>
    <definedName name="NA_CAL1" localSheetId="1">[5]SN951999!#REF!</definedName>
    <definedName name="NA_CAL1">[5]SN951999!#REF!</definedName>
    <definedName name="NA_CAL2" localSheetId="2">[5]SN951999!#REF!</definedName>
    <definedName name="NA_CAL2" localSheetId="3">[5]SN951999!#REF!</definedName>
    <definedName name="NA_CAL2" localSheetId="1">[5]SN951999!#REF!</definedName>
    <definedName name="NA_CAL2">[5]SN951999!#REF!</definedName>
    <definedName name="NA_CAL3" localSheetId="2">[5]SN951999!#REF!</definedName>
    <definedName name="NA_CAL3" localSheetId="3">[5]SN951999!#REF!</definedName>
    <definedName name="NA_CAL3" localSheetId="1">[5]SN951999!#REF!</definedName>
    <definedName name="NA_CAL3">[5]SN951999!#REF!</definedName>
    <definedName name="NA_ContainedRA" localSheetId="2">#REF!</definedName>
    <definedName name="NA_ContainedRA" localSheetId="3">#REF!</definedName>
    <definedName name="NA_ContainedRA" localSheetId="0">#REF!</definedName>
    <definedName name="NA_ContainedRA" localSheetId="1">#REF!</definedName>
    <definedName name="NA_ContainedRA">#REF!</definedName>
    <definedName name="NA_CostPTruck" localSheetId="2">#REF!</definedName>
    <definedName name="NA_CostPTruck" localSheetId="3">#REF!</definedName>
    <definedName name="NA_CostPTruck" localSheetId="0">#REF!</definedName>
    <definedName name="NA_CostPTruck" localSheetId="1">#REF!</definedName>
    <definedName name="NA_CostPTruck">#REF!</definedName>
    <definedName name="na_current_jph">'[10]Input Worksheet'!$F$22</definedName>
    <definedName name="NA_DUNN" localSheetId="2">#REF!</definedName>
    <definedName name="NA_DUNN" localSheetId="3">#REF!</definedName>
    <definedName name="NA_DUNN" localSheetId="0">#REF!</definedName>
    <definedName name="NA_DUNN" localSheetId="1">#REF!</definedName>
    <definedName name="NA_DUNN">#REF!</definedName>
    <definedName name="NA_Facility" localSheetId="2">#REF!</definedName>
    <definedName name="NA_Facility" localSheetId="3">#REF!</definedName>
    <definedName name="NA_Facility" localSheetId="0">#REF!</definedName>
    <definedName name="NA_Facility" localSheetId="1">#REF!</definedName>
    <definedName name="NA_Facility">#REF!</definedName>
    <definedName name="NA_INPUT_FOR_PRESS" localSheetId="2">[5]SN951999!#REF!</definedName>
    <definedName name="NA_INPUT_FOR_PRESS" localSheetId="3">[5]SN951999!#REF!</definedName>
    <definedName name="NA_INPUT_FOR_PRESS" localSheetId="1">[5]SN951999!#REF!</definedName>
    <definedName name="NA_INPUT_FOR_PRESS">[5]SN951999!#REF!</definedName>
    <definedName name="NA_Interference" localSheetId="2">#REF!</definedName>
    <definedName name="NA_Interference" localSheetId="3">#REF!</definedName>
    <definedName name="NA_Interference" localSheetId="0">#REF!</definedName>
    <definedName name="NA_Interference" localSheetId="1">#REF!</definedName>
    <definedName name="NA_Interference">#REF!</definedName>
    <definedName name="na_jph" localSheetId="2">[5]SN951999!#REF!</definedName>
    <definedName name="na_jph" localSheetId="3">[5]SN951999!#REF!</definedName>
    <definedName name="na_jph" localSheetId="0">[5]SN951999!#REF!</definedName>
    <definedName name="na_jph" localSheetId="1">[5]SN951999!#REF!</definedName>
    <definedName name="na_jph">[5]SN951999!#REF!</definedName>
    <definedName name="NA_Material" localSheetId="2">#REF!</definedName>
    <definedName name="NA_Material" localSheetId="3">#REF!</definedName>
    <definedName name="NA_Material" localSheetId="0">#REF!</definedName>
    <definedName name="NA_Material" localSheetId="1">#REF!</definedName>
    <definedName name="NA_Material">#REF!</definedName>
    <definedName name="NA_MaxLineLoad" localSheetId="2">#REF!</definedName>
    <definedName name="NA_MaxLineLoad" localSheetId="3">#REF!</definedName>
    <definedName name="NA_MaxLineLoad" localSheetId="0">#REF!</definedName>
    <definedName name="NA_MaxLineLoad" localSheetId="1">#REF!</definedName>
    <definedName name="NA_MaxLineLoad">#REF!</definedName>
    <definedName name="NA_MH" localSheetId="2">#REF!</definedName>
    <definedName name="NA_MH" localSheetId="3">#REF!</definedName>
    <definedName name="NA_MH" localSheetId="0">#REF!</definedName>
    <definedName name="NA_MH" localSheetId="1">#REF!</definedName>
    <definedName name="NA_MH">#REF!</definedName>
    <definedName name="NA_NBR" localSheetId="2">#REF!</definedName>
    <definedName name="NA_NBR" localSheetId="3">#REF!</definedName>
    <definedName name="NA_NBR" localSheetId="0">#REF!</definedName>
    <definedName name="NA_NBR" localSheetId="1">#REF!</definedName>
    <definedName name="NA_NBR">#REF!</definedName>
    <definedName name="NA_operations" localSheetId="2">#REF!</definedName>
    <definedName name="NA_operations" localSheetId="3">#REF!</definedName>
    <definedName name="NA_operations" localSheetId="0">#REF!</definedName>
    <definedName name="NA_operations" localSheetId="1">#REF!</definedName>
    <definedName name="NA_operations">#REF!</definedName>
    <definedName name="NA_PartSize" localSheetId="2">#REF!</definedName>
    <definedName name="NA_PartSize" localSheetId="3">#REF!</definedName>
    <definedName name="NA_PartSize" localSheetId="0">#REF!</definedName>
    <definedName name="NA_PartSize" localSheetId="1">#REF!</definedName>
    <definedName name="NA_PartSize">#REF!</definedName>
    <definedName name="NA_PLUS3" localSheetId="2">[5]SN951999!#REF!</definedName>
    <definedName name="NA_PLUS3" localSheetId="3">[5]SN951999!#REF!</definedName>
    <definedName name="NA_PLUS3" localSheetId="1">[5]SN951999!#REF!</definedName>
    <definedName name="NA_PLUS3">[5]SN951999!#REF!</definedName>
    <definedName name="NA_PPR" localSheetId="2">#REF!</definedName>
    <definedName name="NA_PPR" localSheetId="3">#REF!</definedName>
    <definedName name="NA_PPR" localSheetId="0">#REF!</definedName>
    <definedName name="NA_PPR" localSheetId="1">#REF!</definedName>
    <definedName name="NA_PPR">#REF!</definedName>
    <definedName name="NA_racks" localSheetId="2">#REF!</definedName>
    <definedName name="NA_racks" localSheetId="3">#REF!</definedName>
    <definedName name="NA_racks" localSheetId="0">#REF!</definedName>
    <definedName name="NA_racks" localSheetId="1">#REF!</definedName>
    <definedName name="NA_racks">#REF!</definedName>
    <definedName name="NA_RPT" localSheetId="2">#REF!</definedName>
    <definedName name="NA_RPT" localSheetId="3">#REF!</definedName>
    <definedName name="NA_RPT" localSheetId="0">#REF!</definedName>
    <definedName name="NA_RPT" localSheetId="1">#REF!</definedName>
    <definedName name="NA_RPT">#REF!</definedName>
    <definedName name="na_run_time" localSheetId="2">[5]SN951999!#REF!</definedName>
    <definedName name="na_run_time" localSheetId="3">[5]SN951999!#REF!</definedName>
    <definedName name="na_run_time" localSheetId="1">[5]SN951999!#REF!</definedName>
    <definedName name="na_run_time">[5]SN951999!#REF!</definedName>
    <definedName name="NA_sub_assy_data" localSheetId="2">#REF!</definedName>
    <definedName name="NA_sub_assy_data" localSheetId="3">#REF!</definedName>
    <definedName name="NA_sub_assy_data" localSheetId="0">#REF!</definedName>
    <definedName name="NA_sub_assy_data" localSheetId="1">#REF!</definedName>
    <definedName name="NA_sub_assy_data">#REF!</definedName>
    <definedName name="NA_SUBA_RA_Release" localSheetId="2">#REF!</definedName>
    <definedName name="NA_SUBA_RA_Release" localSheetId="3">#REF!</definedName>
    <definedName name="NA_SUBA_RA_Release" localSheetId="0">#REF!</definedName>
    <definedName name="NA_SUBA_RA_Release" localSheetId="1">#REF!</definedName>
    <definedName name="NA_SUBA_RA_Release">#REF!</definedName>
    <definedName name="NA_Surface" localSheetId="2">#REF!</definedName>
    <definedName name="NA_Surface" localSheetId="3">#REF!</definedName>
    <definedName name="NA_Surface" localSheetId="0">#REF!</definedName>
    <definedName name="NA_Surface" localSheetId="1">#REF!</definedName>
    <definedName name="NA_Surface">#REF!</definedName>
    <definedName name="NA_Travel" localSheetId="2">#REF!</definedName>
    <definedName name="NA_Travel" localSheetId="3">#REF!</definedName>
    <definedName name="NA_Travel" localSheetId="0">#REF!</definedName>
    <definedName name="NA_Travel" localSheetId="1">#REF!</definedName>
    <definedName name="NA_Travel">#REF!</definedName>
    <definedName name="nbr_press">'[10]Input Worksheet'!$EU$191</definedName>
    <definedName name="new_press">'[10]Input Worksheet'!$ET$191</definedName>
    <definedName name="NewByRework" localSheetId="2">#REF!</definedName>
    <definedName name="NewByRework" localSheetId="3">#REF!</definedName>
    <definedName name="NewByRework" localSheetId="0">#REF!</definedName>
    <definedName name="NewByRework" localSheetId="1">#REF!</definedName>
    <definedName name="NewByRework">#REF!</definedName>
    <definedName name="NEXT" localSheetId="2">'[1]#REF'!#REF!</definedName>
    <definedName name="NEXT" localSheetId="3">'[1]#REF'!#REF!</definedName>
    <definedName name="NEXT" localSheetId="0">'[1]#REF'!#REF!</definedName>
    <definedName name="NEXT" localSheetId="1">'[1]#REF'!#REF!</definedName>
    <definedName name="NEXT">'[1]#REF'!#REF!</definedName>
    <definedName name="NEXTAVYR" localSheetId="2">'[1]#REF'!#REF!</definedName>
    <definedName name="NEXTAVYR" localSheetId="3">'[1]#REF'!#REF!</definedName>
    <definedName name="NEXTAVYR" localSheetId="1">'[1]#REF'!#REF!</definedName>
    <definedName name="NEXTAVYR">'[1]#REF'!#REF!</definedName>
    <definedName name="NextKey1" localSheetId="2">[2]!NextKey1</definedName>
    <definedName name="NextKey1" localSheetId="3">[2]!NextKey1</definedName>
    <definedName name="NextKey1" localSheetId="1">[2]!NextKey1</definedName>
    <definedName name="NextKey1">[2]!NextKey1</definedName>
    <definedName name="PEP" localSheetId="2">#REF!</definedName>
    <definedName name="PEP" localSheetId="3">#REF!</definedName>
    <definedName name="PEP" localSheetId="0">#REF!</definedName>
    <definedName name="PEP" localSheetId="1">#REF!</definedName>
    <definedName name="PEP">#REF!</definedName>
    <definedName name="Plant_Name" localSheetId="2">#REF!</definedName>
    <definedName name="Plant_Name" localSheetId="3">#REF!</definedName>
    <definedName name="Plant_Name" localSheetId="0">#REF!</definedName>
    <definedName name="Plant_Name" localSheetId="1">#REF!</definedName>
    <definedName name="Plant_Name">#REF!</definedName>
    <definedName name="_xlnm.Print_Area" localSheetId="3">'N35X(N352)'!$A$1:$EX$101</definedName>
    <definedName name="_xlnm.Print_Area" localSheetId="0">PMT!$A$1:$J$46</definedName>
    <definedName name="_xlnm.Print_Area" localSheetId="1">'TT PAYNTER CHART_1a (2)'!$A$1:$BR$164</definedName>
    <definedName name="_xlnm.Print_Area">#N/A</definedName>
    <definedName name="Print_Area_MI" localSheetId="2">#REF!</definedName>
    <definedName name="Print_Area_MI" localSheetId="3">#REF!</definedName>
    <definedName name="Print_Area_MI" localSheetId="0">#REF!</definedName>
    <definedName name="Print_Area_MI" localSheetId="1">#REF!</definedName>
    <definedName name="Print_Area_MI">#REF!</definedName>
    <definedName name="print_na_input_press" localSheetId="2">[5]SN951999!#REF!</definedName>
    <definedName name="print_na_input_press" localSheetId="3">[5]SN951999!#REF!</definedName>
    <definedName name="print_na_input_press" localSheetId="1">[5]SN951999!#REF!</definedName>
    <definedName name="print_na_input_press">[5]SN951999!#REF!</definedName>
    <definedName name="print_na_press" localSheetId="2">[5]SN951999!#REF!</definedName>
    <definedName name="print_na_press" localSheetId="3">[5]SN951999!#REF!</definedName>
    <definedName name="print_na_press" localSheetId="1">[5]SN951999!#REF!</definedName>
    <definedName name="print_na_press">[5]SN951999!#REF!</definedName>
    <definedName name="PRINT_NA_SUBASSEMBLY" localSheetId="2">[5]SN951999!#REF!</definedName>
    <definedName name="PRINT_NA_SUBASSEMBLY" localSheetId="3">[5]SN951999!#REF!</definedName>
    <definedName name="PRINT_NA_SUBASSEMBLY" localSheetId="1">[5]SN951999!#REF!</definedName>
    <definedName name="PRINT_NA_SUBASSEMBLY">[5]SN951999!#REF!</definedName>
    <definedName name="print_program_info" localSheetId="2">[5]SN951999!#REF!</definedName>
    <definedName name="print_program_info" localSheetId="3">[5]SN951999!#REF!</definedName>
    <definedName name="print_program_info" localSheetId="1">[5]SN951999!#REF!</definedName>
    <definedName name="print_program_info">[5]SN951999!#REF!</definedName>
    <definedName name="_xlnm.Print_Titles" localSheetId="2">'CX743'!#REF!</definedName>
    <definedName name="_xlnm.Print_Titles" localSheetId="3">'N35X(N352)'!#REF!</definedName>
    <definedName name="_xlnm.Print_Titles" localSheetId="1">'TT PAYNTER CHART_1a (2)'!$34:47</definedName>
    <definedName name="_xlnm.Print_Titles">#N/A</definedName>
    <definedName name="PRINT_TITLES_MI" localSheetId="2">#REF!</definedName>
    <definedName name="PRINT_TITLES_MI" localSheetId="3">#REF!</definedName>
    <definedName name="PRINT_TITLES_MI" localSheetId="0">#REF!</definedName>
    <definedName name="PRINT_TITLES_MI" localSheetId="1">#REF!</definedName>
    <definedName name="PRINT_TITLES_MI">#REF!</definedName>
    <definedName name="Print_VC3_Only">[15]!Print_VC3_Only</definedName>
    <definedName name="Print_VC4">[15]!Print_VC4</definedName>
    <definedName name="Print_VC4_Only">[15]!Print_VC4_Only</definedName>
    <definedName name="Print_VC5_Only">[15]!Print_VC5_Only</definedName>
    <definedName name="prior_bp" localSheetId="2">#REF!</definedName>
    <definedName name="prior_bp" localSheetId="3">#REF!</definedName>
    <definedName name="prior_bp" localSheetId="0">#REF!</definedName>
    <definedName name="prior_bp" localSheetId="1">#REF!</definedName>
    <definedName name="prior_bp">#REF!</definedName>
    <definedName name="process_complexity" localSheetId="2">#REF!</definedName>
    <definedName name="process_complexity" localSheetId="3">#REF!</definedName>
    <definedName name="process_complexity" localSheetId="0">#REF!</definedName>
    <definedName name="process_complexity" localSheetId="1">#REF!</definedName>
    <definedName name="process_complexity">#REF!</definedName>
    <definedName name="prog_list">[20]Lookup1!$A$1:$C$65536</definedName>
    <definedName name="RA_EC_Factor" localSheetId="2">#REF!</definedName>
    <definedName name="RA_EC_Factor" localSheetId="3">#REF!</definedName>
    <definedName name="RA_EC_Factor" localSheetId="0">#REF!</definedName>
    <definedName name="RA_EC_Factor" localSheetId="1">#REF!</definedName>
    <definedName name="RA_EC_Factor">#REF!</definedName>
    <definedName name="RA_PlantName" localSheetId="2">#REF!</definedName>
    <definedName name="RA_PlantName" localSheetId="3">#REF!</definedName>
    <definedName name="RA_PlantName" localSheetId="0">#REF!</definedName>
    <definedName name="RA_PlantName" localSheetId="1">#REF!</definedName>
    <definedName name="RA_PlantName">#REF!</definedName>
    <definedName name="renss">'[1]#REF'!#REF!</definedName>
    <definedName name="SAARLOUIS_TOTAL" localSheetId="2">[5]SN951999!#REF!</definedName>
    <definedName name="SAARLOUIS_TOTAL" localSheetId="3">[5]SN951999!#REF!</definedName>
    <definedName name="SAARLOUIS_TOTAL" localSheetId="1">[5]SN951999!#REF!</definedName>
    <definedName name="SAARLOUIS_TOTAL">[5]SN951999!#REF!</definedName>
    <definedName name="sheet1" localSheetId="2">#REF!</definedName>
    <definedName name="sheet1" localSheetId="3">#REF!</definedName>
    <definedName name="sheet1" localSheetId="0">#REF!</definedName>
    <definedName name="sheet1" localSheetId="1">#REF!</definedName>
    <definedName name="sheet1">#REF!</definedName>
    <definedName name="status_one" localSheetId="2">#REF!,#REF!,#REF!</definedName>
    <definedName name="status_one" localSheetId="3">#REF!,#REF!,#REF!</definedName>
    <definedName name="status_one" localSheetId="0">#REF!,#REF!,#REF!</definedName>
    <definedName name="status_one" localSheetId="1">#REF!,#REF!,#REF!</definedName>
    <definedName name="status_one">#REF!,#REF!,#REF!</definedName>
    <definedName name="Sub_A_process_Table" localSheetId="2">#REF!</definedName>
    <definedName name="Sub_A_process_Table" localSheetId="3">#REF!</definedName>
    <definedName name="Sub_A_process_Table" localSheetId="0">#REF!</definedName>
    <definedName name="Sub_A_process_Table" localSheetId="1">#REF!</definedName>
    <definedName name="Sub_A_process_Table">#REF!</definedName>
    <definedName name="Sub_Base_Table" localSheetId="2">#REF!</definedName>
    <definedName name="Sub_Base_Table" localSheetId="3">#REF!</definedName>
    <definedName name="Sub_Base_Table" localSheetId="0">#REF!</definedName>
    <definedName name="Sub_Base_Table" localSheetId="1">#REF!</definedName>
    <definedName name="Sub_Base_Table">#REF!</definedName>
    <definedName name="System" localSheetId="2">#REF!</definedName>
    <definedName name="System" localSheetId="3">#REF!</definedName>
    <definedName name="System" localSheetId="0">#REF!</definedName>
    <definedName name="System" localSheetId="1">#REF!</definedName>
    <definedName name="System">#REF!</definedName>
    <definedName name="t" localSheetId="2">#REF!</definedName>
    <definedName name="t" localSheetId="3">#REF!</definedName>
    <definedName name="t" localSheetId="0">#REF!</definedName>
    <definedName name="t" localSheetId="1">#REF!</definedName>
    <definedName name="t">#REF!</definedName>
    <definedName name="te1t2" localSheetId="2">'[7]TE1-2'!#REF!</definedName>
    <definedName name="te1t2" localSheetId="3">'[7]TE1-2'!#REF!</definedName>
    <definedName name="te1t2" localSheetId="1">'[7]TE1-2'!#REF!</definedName>
    <definedName name="te1t2">'[7]TE1-2'!#REF!</definedName>
    <definedName name="te3t1" localSheetId="2">#REF!</definedName>
    <definedName name="te3t1" localSheetId="3">#REF!</definedName>
    <definedName name="te3t1" localSheetId="0">#REF!</definedName>
    <definedName name="te3t1" localSheetId="1">#REF!</definedName>
    <definedName name="te3t1">#REF!</definedName>
    <definedName name="te3t2" localSheetId="2">[7]TE3!#REF!</definedName>
    <definedName name="te3t2" localSheetId="3">[7]TE3!#REF!</definedName>
    <definedName name="te3t2" localSheetId="0">[7]TE3!#REF!</definedName>
    <definedName name="te3t2" localSheetId="1">[7]TE3!#REF!</definedName>
    <definedName name="te3t2">[7]TE3!#REF!</definedName>
    <definedName name="te4t1" localSheetId="2">#REF!</definedName>
    <definedName name="te4t1" localSheetId="3">#REF!</definedName>
    <definedName name="te4t1" localSheetId="0">#REF!</definedName>
    <definedName name="te4t1" localSheetId="1">#REF!</definedName>
    <definedName name="te4t1">#REF!</definedName>
    <definedName name="te4t2" localSheetId="2">'[7]TE4-5'!#REF!</definedName>
    <definedName name="te4t2" localSheetId="3">'[7]TE4-5'!#REF!</definedName>
    <definedName name="te4t2" localSheetId="0">'[7]TE4-5'!#REF!</definedName>
    <definedName name="te4t2" localSheetId="1">'[7]TE4-5'!#REF!</definedName>
    <definedName name="te4t2">'[7]TE4-5'!#REF!</definedName>
    <definedName name="test" localSheetId="2">#REF!</definedName>
    <definedName name="test" localSheetId="3">#REF!</definedName>
    <definedName name="test" localSheetId="0">#REF!</definedName>
    <definedName name="test" localSheetId="1">#REF!</definedName>
    <definedName name="test">#REF!</definedName>
    <definedName name="total" localSheetId="2">#REF!</definedName>
    <definedName name="total" localSheetId="3">#REF!</definedName>
    <definedName name="total" localSheetId="0">#REF!</definedName>
    <definedName name="total" localSheetId="1">#REF!</definedName>
    <definedName name="total">#REF!</definedName>
    <definedName name="total2" localSheetId="2">#REF!</definedName>
    <definedName name="total2" localSheetId="3">#REF!</definedName>
    <definedName name="total2" localSheetId="0">#REF!</definedName>
    <definedName name="total2" localSheetId="1">#REF!</definedName>
    <definedName name="total2">#REF!</definedName>
    <definedName name="totalexplorer" localSheetId="2">#REF!</definedName>
    <definedName name="totalexplorer" localSheetId="3">#REF!</definedName>
    <definedName name="totalexplorer" localSheetId="0">#REF!</definedName>
    <definedName name="totalexplorer" localSheetId="1">#REF!</definedName>
    <definedName name="totalexplorer">#REF!</definedName>
    <definedName name="TotOthK" localSheetId="2">'[17]K Auth System #1'!#REF!</definedName>
    <definedName name="TotOthK" localSheetId="3">'[17]K Auth System #1'!#REF!</definedName>
    <definedName name="TotOthK" localSheetId="1">'[17]K Auth System #1'!#REF!</definedName>
    <definedName name="TotOthK">'[17]K Auth System #1'!#REF!</definedName>
    <definedName name="TotOthKData" localSheetId="2">'[17]K Auth System #1'!#REF!</definedName>
    <definedName name="TotOthKData" localSheetId="3">'[17]K Auth System #1'!#REF!</definedName>
    <definedName name="TotOthKData" localSheetId="1">'[17]K Auth System #1'!#REF!</definedName>
    <definedName name="TotOthKData">'[17]K Auth System #1'!#REF!</definedName>
    <definedName name="TOWNCARLINERATE" localSheetId="2">#REF!</definedName>
    <definedName name="TOWNCARLINERATE" localSheetId="3">#REF!</definedName>
    <definedName name="TOWNCARLINERATE" localSheetId="0">#REF!</definedName>
    <definedName name="TOWNCARLINERATE" localSheetId="1">#REF!</definedName>
    <definedName name="TOWNCARLINERATE">#REF!</definedName>
    <definedName name="trim" localSheetId="2">#REF!</definedName>
    <definedName name="trim" localSheetId="3">#REF!</definedName>
    <definedName name="trim" localSheetId="0">#REF!</definedName>
    <definedName name="trim" localSheetId="1">#REF!</definedName>
    <definedName name="trim">#REF!</definedName>
    <definedName name="trucktotal" localSheetId="2">#REF!</definedName>
    <definedName name="trucktotal" localSheetId="3">#REF!</definedName>
    <definedName name="trucktotal" localSheetId="0">#REF!</definedName>
    <definedName name="trucktotal" localSheetId="1">#REF!</definedName>
    <definedName name="trucktotal">#REF!</definedName>
    <definedName name="type_of_assembly" localSheetId="2">#REF!</definedName>
    <definedName name="type_of_assembly" localSheetId="3">#REF!</definedName>
    <definedName name="type_of_assembly" localSheetId="0">#REF!</definedName>
    <definedName name="type_of_assembly" localSheetId="1">#REF!</definedName>
    <definedName name="type_of_assembly">#REF!</definedName>
    <definedName name="type_of_change_to_line" localSheetId="2">#REF!</definedName>
    <definedName name="type_of_change_to_line" localSheetId="3">#REF!</definedName>
    <definedName name="type_of_change_to_line" localSheetId="0">#REF!</definedName>
    <definedName name="type_of_change_to_line" localSheetId="1">#REF!</definedName>
    <definedName name="type_of_change_to_line">#REF!</definedName>
    <definedName name="Type_of_Press_Dies" localSheetId="2">#REF!</definedName>
    <definedName name="Type_of_Press_Dies" localSheetId="3">#REF!</definedName>
    <definedName name="Type_of_Press_Dies" localSheetId="0">#REF!</definedName>
    <definedName name="Type_of_Press_Dies" localSheetId="1">#REF!</definedName>
    <definedName name="Type_of_Press_Dies">#REF!</definedName>
    <definedName name="usexplorer" localSheetId="2">#REF!</definedName>
    <definedName name="usexplorer" localSheetId="3">#REF!</definedName>
    <definedName name="usexplorer" localSheetId="0">#REF!</definedName>
    <definedName name="usexplorer" localSheetId="1">#REF!</definedName>
    <definedName name="usexplorer">#REF!</definedName>
    <definedName name="VALENCIA_TOTAL" localSheetId="2">[5]SN951999!#REF!</definedName>
    <definedName name="VALENCIA_TOTAL" localSheetId="3">[5]SN951999!#REF!</definedName>
    <definedName name="VALENCIA_TOTAL" localSheetId="1">[5]SN951999!#REF!</definedName>
    <definedName name="VALENCIA_TOTAL">[5]SN951999!#REF!</definedName>
    <definedName name="vc">"$A$72"</definedName>
    <definedName name="w_rc" localSheetId="2">#REF!</definedName>
    <definedName name="w_rc" localSheetId="3">#REF!</definedName>
    <definedName name="w_rc" localSheetId="0">#REF!</definedName>
    <definedName name="w_rc" localSheetId="1">#REF!</definedName>
    <definedName name="w_rc">#REF!</definedName>
    <definedName name="w_sf" localSheetId="2">#REF!</definedName>
    <definedName name="w_sf" localSheetId="3">#REF!</definedName>
    <definedName name="w_sf" localSheetId="0">#REF!</definedName>
    <definedName name="w_sf" localSheetId="1">#REF!</definedName>
    <definedName name="w_sf">#REF!</definedName>
    <definedName name="w_tr" localSheetId="2">#REF!</definedName>
    <definedName name="w_tr" localSheetId="3">#REF!</definedName>
    <definedName name="w_tr" localSheetId="0">#REF!</definedName>
    <definedName name="w_tr" localSheetId="1">#REF!</definedName>
    <definedName name="w_tr">#REF!</definedName>
    <definedName name="w_ul" localSheetId="2">#REF!</definedName>
    <definedName name="w_ul" localSheetId="3">#REF!</definedName>
    <definedName name="w_ul" localSheetId="0">#REF!</definedName>
    <definedName name="w_ul" localSheetId="1">#REF!</definedName>
    <definedName name="w_ul">#REF!</definedName>
    <definedName name="wagontot" localSheetId="2">#REF!</definedName>
    <definedName name="wagontot" localSheetId="3">#REF!</definedName>
    <definedName name="wagontot" localSheetId="0">#REF!</definedName>
    <definedName name="wagontot" localSheetId="1">#REF!</definedName>
    <definedName name="wagontot">#REF!</definedName>
    <definedName name="WALTON_TOTAL" localSheetId="2">[5]SN951999!#REF!</definedName>
    <definedName name="WALTON_TOTAL" localSheetId="3">[5]SN951999!#REF!</definedName>
    <definedName name="WALTON_TOTAL" localSheetId="1">[5]SN951999!#REF!</definedName>
    <definedName name="WALTON_TOTAL">[5]SN951999!#REF!</definedName>
    <definedName name="WAYNE_TOTAL" localSheetId="2">[5]SN951999!#REF!</definedName>
    <definedName name="WAYNE_TOTAL" localSheetId="3">[5]SN951999!#REF!</definedName>
    <definedName name="WAYNE_TOTAL" localSheetId="1">[5]SN951999!#REF!</definedName>
    <definedName name="WAYNE_TOTAL">[5]SN951999!#REF!</definedName>
    <definedName name="werert">[15]!werert</definedName>
    <definedName name="wert">[15]!wert</definedName>
    <definedName name="wh_rc" localSheetId="2">#REF!</definedName>
    <definedName name="wh_rc" localSheetId="3">#REF!</definedName>
    <definedName name="wh_rc" localSheetId="0">#REF!</definedName>
    <definedName name="wh_rc" localSheetId="1">#REF!</definedName>
    <definedName name="wh_rc">#REF!</definedName>
    <definedName name="wh_sf" localSheetId="2">#REF!</definedName>
    <definedName name="wh_sf" localSheetId="3">#REF!</definedName>
    <definedName name="wh_sf" localSheetId="0">#REF!</definedName>
    <definedName name="wh_sf" localSheetId="1">#REF!</definedName>
    <definedName name="wh_sf">#REF!</definedName>
    <definedName name="wh_tr" localSheetId="2">#REF!</definedName>
    <definedName name="wh_tr" localSheetId="3">#REF!</definedName>
    <definedName name="wh_tr" localSheetId="0">#REF!</definedName>
    <definedName name="wh_tr" localSheetId="1">#REF!</definedName>
    <definedName name="wh_tr">#REF!</definedName>
    <definedName name="wh_ul" localSheetId="2">#REF!</definedName>
    <definedName name="wh_ul" localSheetId="3">#REF!</definedName>
    <definedName name="wh_ul" localSheetId="0">#REF!</definedName>
    <definedName name="wh_ul" localSheetId="1">#REF!</definedName>
    <definedName name="wh_ul">#REF!</definedName>
    <definedName name="Wklys" localSheetId="2">#REF!</definedName>
    <definedName name="Wklys" localSheetId="3">#REF!</definedName>
    <definedName name="Wklys" localSheetId="0">#REF!</definedName>
    <definedName name="Wklys" localSheetId="1">#REF!</definedName>
    <definedName name="Wklys">#REF!</definedName>
    <definedName name="WOOD_TOTAL" localSheetId="2">[5]SN951999!#REF!</definedName>
    <definedName name="WOOD_TOTAL" localSheetId="3">[5]SN951999!#REF!</definedName>
    <definedName name="WOOD_TOTAL" localSheetId="1">[5]SN951999!#REF!</definedName>
    <definedName name="WOOD_TOTAL">[5]SN951999!#REF!</definedName>
    <definedName name="x">[15]!x</definedName>
    <definedName name="XL" localSheetId="2">#REF!</definedName>
    <definedName name="XL" localSheetId="3">#REF!</definedName>
    <definedName name="XL" localSheetId="0">#REF!</definedName>
    <definedName name="XL" localSheetId="1">#REF!</definedName>
    <definedName name="XL">#REF!</definedName>
    <definedName name="XLT" localSheetId="2">#REF!</definedName>
    <definedName name="XLT" localSheetId="3">#REF!</definedName>
    <definedName name="XLT" localSheetId="0">#REF!</definedName>
    <definedName name="XLT" localSheetId="1">#REF!</definedName>
    <definedName name="XLT">#REF!</definedName>
  </definedNames>
  <calcPr calcId="125725"/>
</workbook>
</file>

<file path=xl/calcChain.xml><?xml version="1.0" encoding="utf-8"?>
<calcChain xmlns="http://schemas.openxmlformats.org/spreadsheetml/2006/main">
  <c r="ES47" i="11"/>
  <c r="ET47"/>
  <c r="EU47"/>
  <c r="EV47"/>
  <c r="EW47"/>
  <c r="EX47"/>
  <c r="ES43"/>
  <c r="ET43"/>
  <c r="EU43"/>
  <c r="EV43"/>
  <c r="EW43"/>
  <c r="EX43"/>
  <c r="ES47" i="8"/>
  <c r="ET47"/>
  <c r="EU47"/>
  <c r="EV47"/>
  <c r="EW47"/>
  <c r="EX47"/>
  <c r="ES43"/>
  <c r="ET43"/>
  <c r="EU43"/>
  <c r="EV43"/>
  <c r="EW43"/>
  <c r="EX43"/>
  <c r="GP46" i="3"/>
  <c r="GP44"/>
  <c r="L147"/>
  <c r="M147"/>
  <c r="N147"/>
  <c r="O147"/>
  <c r="P147"/>
  <c r="Q147"/>
  <c r="R147"/>
  <c r="S147"/>
  <c r="L128"/>
  <c r="M128"/>
  <c r="N128"/>
  <c r="O128"/>
  <c r="P128"/>
  <c r="Q128"/>
  <c r="R128"/>
  <c r="S128"/>
  <c r="GO46"/>
  <c r="GO44"/>
  <c r="GN44"/>
  <c r="GQ44"/>
  <c r="GR44"/>
  <c r="GS44"/>
  <c r="GT44"/>
  <c r="GU44"/>
  <c r="GV44"/>
  <c r="GL46"/>
  <c r="GM46"/>
  <c r="GN46"/>
  <c r="GQ46"/>
  <c r="GM44"/>
  <c r="P36" i="11"/>
  <c r="P35"/>
  <c r="P51"/>
  <c r="P52"/>
  <c r="P53"/>
  <c r="P54"/>
  <c r="P55"/>
  <c r="P56"/>
  <c r="P57"/>
  <c r="P58"/>
  <c r="P59"/>
  <c r="P60"/>
  <c r="P61"/>
  <c r="P62"/>
  <c r="P63"/>
  <c r="P64"/>
  <c r="P65"/>
  <c r="P66"/>
  <c r="P67"/>
  <c r="P68"/>
  <c r="P69"/>
  <c r="P70"/>
  <c r="P71"/>
  <c r="P72"/>
  <c r="P73"/>
  <c r="P74"/>
  <c r="P75"/>
  <c r="P76"/>
  <c r="P77"/>
  <c r="P78"/>
  <c r="P79"/>
  <c r="P80"/>
  <c r="P81"/>
  <c r="P82"/>
  <c r="P83"/>
  <c r="P84"/>
  <c r="P85"/>
  <c r="P86"/>
  <c r="P87"/>
  <c r="P88"/>
  <c r="P89"/>
  <c r="P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50"/>
  <c r="O36"/>
  <c r="O35"/>
  <c r="P36" i="8"/>
  <c r="P35"/>
  <c r="P101"/>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50"/>
  <c r="O36"/>
  <c r="O35"/>
  <c r="S37" i="3"/>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9"/>
  <c r="S130"/>
  <c r="S131"/>
  <c r="S132"/>
  <c r="S133"/>
  <c r="S134"/>
  <c r="S135"/>
  <c r="S136"/>
  <c r="S137"/>
  <c r="S138"/>
  <c r="S139"/>
  <c r="S140"/>
  <c r="S141"/>
  <c r="S142"/>
  <c r="S143"/>
  <c r="S144"/>
  <c r="S145"/>
  <c r="S146"/>
  <c r="S148"/>
  <c r="S149"/>
  <c r="S150"/>
  <c r="S151"/>
  <c r="S152"/>
  <c r="S153"/>
  <c r="S154"/>
  <c r="S49"/>
  <c r="GK44"/>
  <c r="GL44"/>
  <c r="S36"/>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9"/>
  <c r="Q130"/>
  <c r="Q131"/>
  <c r="Q132"/>
  <c r="Q133"/>
  <c r="Q134"/>
  <c r="Q135"/>
  <c r="Q136"/>
  <c r="Q137"/>
  <c r="Q138"/>
  <c r="Q139"/>
  <c r="Q140"/>
  <c r="Q141"/>
  <c r="Q142"/>
  <c r="Q143"/>
  <c r="Q144"/>
  <c r="Q145"/>
  <c r="Q146"/>
  <c r="Q148"/>
  <c r="Q149"/>
  <c r="Q150"/>
  <c r="Q151"/>
  <c r="Q152"/>
  <c r="Q153"/>
  <c r="Q154"/>
  <c r="Q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9"/>
  <c r="R130"/>
  <c r="R131"/>
  <c r="R132"/>
  <c r="R133"/>
  <c r="R134"/>
  <c r="R135"/>
  <c r="R136"/>
  <c r="R137"/>
  <c r="R138"/>
  <c r="R139"/>
  <c r="R140"/>
  <c r="R141"/>
  <c r="R142"/>
  <c r="R143"/>
  <c r="R144"/>
  <c r="R145"/>
  <c r="R146"/>
  <c r="R148"/>
  <c r="R149"/>
  <c r="R150"/>
  <c r="R151"/>
  <c r="R152"/>
  <c r="R153"/>
  <c r="R154"/>
  <c r="R49"/>
  <c r="R37"/>
  <c r="R36"/>
  <c r="ER43" i="11"/>
  <c r="ER47"/>
  <c r="EQ47"/>
  <c r="EQ43"/>
  <c r="EL47" i="8"/>
  <c r="EM47"/>
  <c r="EN47"/>
  <c r="EO47"/>
  <c r="EP47"/>
  <c r="EQ47"/>
  <c r="ER47"/>
  <c r="EL43"/>
  <c r="EM43"/>
  <c r="EN43"/>
  <c r="EO43"/>
  <c r="EP43"/>
  <c r="EQ43"/>
  <c r="ER43"/>
  <c r="GK46" i="3"/>
  <c r="GJ46"/>
  <c r="GJ44"/>
  <c r="E35" i="11"/>
  <c r="E37" i="3"/>
  <c r="E36"/>
  <c r="L91"/>
  <c r="M91"/>
  <c r="N91"/>
  <c r="O91"/>
  <c r="P91"/>
  <c r="EL47" i="11"/>
  <c r="EM47"/>
  <c r="EN47"/>
  <c r="EO47"/>
  <c r="EP47"/>
  <c r="EL43"/>
  <c r="EM43"/>
  <c r="EN43"/>
  <c r="EO43"/>
  <c r="EP43"/>
  <c r="GE46" i="3"/>
  <c r="GF46"/>
  <c r="GG46"/>
  <c r="GH46"/>
  <c r="GI46"/>
  <c r="GR46"/>
  <c r="GS46"/>
  <c r="GT46"/>
  <c r="GU46"/>
  <c r="GV46"/>
  <c r="GE44"/>
  <c r="GF44"/>
  <c r="GG44"/>
  <c r="GH44"/>
  <c r="GI44"/>
  <c r="F99"/>
  <c r="G99"/>
  <c r="H99"/>
  <c r="I99"/>
  <c r="J99"/>
  <c r="K99"/>
  <c r="L99"/>
  <c r="M99"/>
  <c r="N99"/>
  <c r="O99"/>
  <c r="P99"/>
  <c r="Q37"/>
  <c r="Q36"/>
  <c r="N51" i="11"/>
  <c r="N52"/>
  <c r="N53"/>
  <c r="N54"/>
  <c r="N55"/>
  <c r="N56"/>
  <c r="N57"/>
  <c r="N58"/>
  <c r="N59"/>
  <c r="N60"/>
  <c r="N61"/>
  <c r="N62"/>
  <c r="N63"/>
  <c r="N64"/>
  <c r="N65"/>
  <c r="N66"/>
  <c r="N67"/>
  <c r="N68"/>
  <c r="N69"/>
  <c r="N70"/>
  <c r="N71"/>
  <c r="N72"/>
  <c r="N73"/>
  <c r="N74"/>
  <c r="N75"/>
  <c r="N76"/>
  <c r="N77"/>
  <c r="N78"/>
  <c r="N79"/>
  <c r="N80"/>
  <c r="N81"/>
  <c r="N82"/>
  <c r="N83"/>
  <c r="N84"/>
  <c r="N85"/>
  <c r="N86"/>
  <c r="N87"/>
  <c r="N88"/>
  <c r="N89"/>
  <c r="N50"/>
  <c r="N36"/>
  <c r="N35"/>
  <c r="N51" i="8"/>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50"/>
  <c r="N36"/>
  <c r="N35"/>
  <c r="EE47" i="11"/>
  <c r="EF47"/>
  <c r="EG47"/>
  <c r="EH47"/>
  <c r="EI47"/>
  <c r="EJ47"/>
  <c r="EK47"/>
  <c r="M51"/>
  <c r="M52"/>
  <c r="M53"/>
  <c r="M54"/>
  <c r="M55"/>
  <c r="M56"/>
  <c r="M57"/>
  <c r="M58"/>
  <c r="M59"/>
  <c r="M60"/>
  <c r="M61"/>
  <c r="M62"/>
  <c r="M63"/>
  <c r="M64"/>
  <c r="M65"/>
  <c r="M66"/>
  <c r="M67"/>
  <c r="M68"/>
  <c r="M69"/>
  <c r="M70"/>
  <c r="M71"/>
  <c r="M72"/>
  <c r="M73"/>
  <c r="M74"/>
  <c r="M75"/>
  <c r="M76"/>
  <c r="M77"/>
  <c r="M78"/>
  <c r="M79"/>
  <c r="M80"/>
  <c r="M81"/>
  <c r="M82"/>
  <c r="M83"/>
  <c r="M84"/>
  <c r="M85"/>
  <c r="M86"/>
  <c r="M87"/>
  <c r="M88"/>
  <c r="M89"/>
  <c r="M50"/>
  <c r="L50"/>
  <c r="M36"/>
  <c r="M35"/>
  <c r="M51" i="8"/>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50"/>
  <c r="E147" i="3" l="1"/>
  <c r="E128"/>
  <c r="M38" i="11"/>
  <c r="E91" i="3"/>
  <c r="E99"/>
  <c r="L51" i="11"/>
  <c r="L52"/>
  <c r="L53"/>
  <c r="L54"/>
  <c r="L55"/>
  <c r="L56"/>
  <c r="L57"/>
  <c r="L58"/>
  <c r="L59"/>
  <c r="L60"/>
  <c r="L61"/>
  <c r="L62"/>
  <c r="L63"/>
  <c r="L64"/>
  <c r="L65"/>
  <c r="L66"/>
  <c r="L67"/>
  <c r="L68"/>
  <c r="L69"/>
  <c r="L70"/>
  <c r="L71"/>
  <c r="L72"/>
  <c r="L73"/>
  <c r="L74"/>
  <c r="L75"/>
  <c r="L76"/>
  <c r="L77"/>
  <c r="L78"/>
  <c r="L79"/>
  <c r="L80"/>
  <c r="L81"/>
  <c r="L82"/>
  <c r="L83"/>
  <c r="L84"/>
  <c r="L85"/>
  <c r="L86"/>
  <c r="L87"/>
  <c r="L88"/>
  <c r="L89"/>
  <c r="L36"/>
  <c r="L35"/>
  <c r="M35" i="8"/>
  <c r="P36" i="3"/>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2"/>
  <c r="P93"/>
  <c r="P94"/>
  <c r="P95"/>
  <c r="P96"/>
  <c r="P97"/>
  <c r="P98"/>
  <c r="P100"/>
  <c r="P101"/>
  <c r="P102"/>
  <c r="P103"/>
  <c r="P104"/>
  <c r="P105"/>
  <c r="P106"/>
  <c r="P107"/>
  <c r="P108"/>
  <c r="P109"/>
  <c r="P110"/>
  <c r="P111"/>
  <c r="P112"/>
  <c r="P113"/>
  <c r="P114"/>
  <c r="P115"/>
  <c r="P116"/>
  <c r="P117"/>
  <c r="P118"/>
  <c r="P119"/>
  <c r="P120"/>
  <c r="P121"/>
  <c r="P122"/>
  <c r="P123"/>
  <c r="P124"/>
  <c r="P125"/>
  <c r="P126"/>
  <c r="P127"/>
  <c r="P129"/>
  <c r="P130"/>
  <c r="P131"/>
  <c r="P132"/>
  <c r="P133"/>
  <c r="P134"/>
  <c r="P135"/>
  <c r="P136"/>
  <c r="P137"/>
  <c r="P138"/>
  <c r="P139"/>
  <c r="P140"/>
  <c r="P141"/>
  <c r="P142"/>
  <c r="P143"/>
  <c r="P144"/>
  <c r="P145"/>
  <c r="P146"/>
  <c r="P148"/>
  <c r="P149"/>
  <c r="P150"/>
  <c r="P151"/>
  <c r="P152"/>
  <c r="P153"/>
  <c r="P154"/>
  <c r="P49"/>
  <c r="P37"/>
  <c r="K50" i="11"/>
  <c r="M36" i="8"/>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50"/>
  <c r="L36"/>
  <c r="L35"/>
  <c r="O36" i="3"/>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2"/>
  <c r="O93"/>
  <c r="O94"/>
  <c r="O95"/>
  <c r="O96"/>
  <c r="O97"/>
  <c r="O98"/>
  <c r="O100"/>
  <c r="O101"/>
  <c r="O102"/>
  <c r="O103"/>
  <c r="O104"/>
  <c r="O105"/>
  <c r="O106"/>
  <c r="O107"/>
  <c r="O108"/>
  <c r="O109"/>
  <c r="O110"/>
  <c r="O111"/>
  <c r="O112"/>
  <c r="O113"/>
  <c r="O114"/>
  <c r="O115"/>
  <c r="O116"/>
  <c r="O117"/>
  <c r="O118"/>
  <c r="O119"/>
  <c r="O120"/>
  <c r="O121"/>
  <c r="O122"/>
  <c r="O123"/>
  <c r="O124"/>
  <c r="O125"/>
  <c r="O126"/>
  <c r="O127"/>
  <c r="O129"/>
  <c r="O130"/>
  <c r="O131"/>
  <c r="O132"/>
  <c r="O133"/>
  <c r="O134"/>
  <c r="O135"/>
  <c r="O136"/>
  <c r="O137"/>
  <c r="O138"/>
  <c r="O139"/>
  <c r="O140"/>
  <c r="O141"/>
  <c r="O142"/>
  <c r="O143"/>
  <c r="O144"/>
  <c r="O145"/>
  <c r="O146"/>
  <c r="O148"/>
  <c r="O149"/>
  <c r="O150"/>
  <c r="O151"/>
  <c r="O152"/>
  <c r="O153"/>
  <c r="O154"/>
  <c r="O37"/>
  <c r="EE43" i="11"/>
  <c r="EF43"/>
  <c r="EG43"/>
  <c r="EH43"/>
  <c r="EI43"/>
  <c r="EJ43"/>
  <c r="EK43"/>
  <c r="DX47"/>
  <c r="DY47"/>
  <c r="DZ47"/>
  <c r="EA47"/>
  <c r="EB47"/>
  <c r="EC47"/>
  <c r="ED47"/>
  <c r="EE47" i="8"/>
  <c r="EF47"/>
  <c r="EG47"/>
  <c r="EH47"/>
  <c r="EI47"/>
  <c r="EJ47"/>
  <c r="EK47"/>
  <c r="EE43"/>
  <c r="EF43"/>
  <c r="EG43"/>
  <c r="EH43"/>
  <c r="EI43"/>
  <c r="EJ43"/>
  <c r="EK43"/>
  <c r="FY44" i="3"/>
  <c r="FZ44"/>
  <c r="GA44"/>
  <c r="GB44"/>
  <c r="GC44"/>
  <c r="GD44"/>
  <c r="FQ46"/>
  <c r="FR46"/>
  <c r="FS46"/>
  <c r="FT46"/>
  <c r="FU46"/>
  <c r="FV46"/>
  <c r="FW46"/>
  <c r="FX46"/>
  <c r="FY46"/>
  <c r="FZ46"/>
  <c r="GA46"/>
  <c r="GB46"/>
  <c r="GC46"/>
  <c r="GD46"/>
  <c r="FX44"/>
  <c r="N114"/>
  <c r="DX43" i="11"/>
  <c r="DY43"/>
  <c r="DZ43"/>
  <c r="EA43"/>
  <c r="EB43"/>
  <c r="EC43"/>
  <c r="ED43"/>
  <c r="EC47" i="8"/>
  <c r="ED47"/>
  <c r="DX43"/>
  <c r="DY43"/>
  <c r="DZ43"/>
  <c r="EA43"/>
  <c r="EB43"/>
  <c r="EC43"/>
  <c r="ED43"/>
  <c r="FV44" i="3"/>
  <c r="P39" l="1"/>
  <c r="E114"/>
  <c r="E150"/>
  <c r="E129"/>
  <c r="E134"/>
  <c r="E92"/>
  <c r="DX47" i="8"/>
  <c r="DY47"/>
  <c r="DZ47"/>
  <c r="EA47"/>
  <c r="EB47"/>
  <c r="FQ44" i="3"/>
  <c r="FR44"/>
  <c r="FS44"/>
  <c r="FT44"/>
  <c r="FU44"/>
  <c r="E35" i="8"/>
  <c r="DQ47"/>
  <c r="DR47"/>
  <c r="DS47"/>
  <c r="DT47"/>
  <c r="DU47"/>
  <c r="DV47"/>
  <c r="DW47"/>
  <c r="DV43"/>
  <c r="DW43"/>
  <c r="DW47" i="11"/>
  <c r="DW43"/>
  <c r="DV47"/>
  <c r="DV43"/>
  <c r="FP44" i="3"/>
  <c r="FP46"/>
  <c r="FO46"/>
  <c r="FO44"/>
  <c r="K51" i="11"/>
  <c r="K52"/>
  <c r="K53"/>
  <c r="K54"/>
  <c r="K55"/>
  <c r="K56"/>
  <c r="K57"/>
  <c r="K58"/>
  <c r="K59"/>
  <c r="K60"/>
  <c r="K61"/>
  <c r="E61" s="1"/>
  <c r="K62"/>
  <c r="K63"/>
  <c r="K64"/>
  <c r="K65"/>
  <c r="K66"/>
  <c r="K67"/>
  <c r="E67" s="1"/>
  <c r="K68"/>
  <c r="E68" s="1"/>
  <c r="K69"/>
  <c r="K70"/>
  <c r="K71"/>
  <c r="K72"/>
  <c r="K73"/>
  <c r="K74"/>
  <c r="K75"/>
  <c r="K76"/>
  <c r="K77"/>
  <c r="K78"/>
  <c r="K79"/>
  <c r="K80"/>
  <c r="K81"/>
  <c r="K82"/>
  <c r="K83"/>
  <c r="K84"/>
  <c r="K85"/>
  <c r="K86"/>
  <c r="K87"/>
  <c r="K88"/>
  <c r="K89"/>
  <c r="N113" i="3"/>
  <c r="E113" s="1"/>
  <c r="DU47" i="11"/>
  <c r="DU43"/>
  <c r="DP47" i="8"/>
  <c r="DU43"/>
  <c r="FJ46" i="3"/>
  <c r="FK46"/>
  <c r="FL46"/>
  <c r="FM46"/>
  <c r="FN46"/>
  <c r="FN44"/>
  <c r="DQ47" i="11"/>
  <c r="DR47"/>
  <c r="DS47"/>
  <c r="DT47"/>
  <c r="DQ43"/>
  <c r="DR43"/>
  <c r="DS43"/>
  <c r="DT43"/>
  <c r="DQ43" i="8"/>
  <c r="DR43"/>
  <c r="DS43"/>
  <c r="DT43"/>
  <c r="FM44" i="3"/>
  <c r="J133"/>
  <c r="K133"/>
  <c r="L133"/>
  <c r="M133"/>
  <c r="N133"/>
  <c r="J55"/>
  <c r="K55"/>
  <c r="L55"/>
  <c r="M55"/>
  <c r="FL44"/>
  <c r="FK44"/>
  <c r="N74"/>
  <c r="E74" s="1"/>
  <c r="DJ47" i="11"/>
  <c r="DK47"/>
  <c r="DL47"/>
  <c r="DM47"/>
  <c r="DN47"/>
  <c r="DO47"/>
  <c r="DP47"/>
  <c r="DJ43"/>
  <c r="DK43"/>
  <c r="DL43"/>
  <c r="DM43"/>
  <c r="DN43"/>
  <c r="DO43"/>
  <c r="DP43"/>
  <c r="DJ43" i="8"/>
  <c r="DK43"/>
  <c r="DL43"/>
  <c r="DM43"/>
  <c r="DN43"/>
  <c r="DO43"/>
  <c r="DP43"/>
  <c r="FI44" i="3"/>
  <c r="FJ44"/>
  <c r="FI46"/>
  <c r="FH46"/>
  <c r="FH44"/>
  <c r="N61"/>
  <c r="E61" s="1"/>
  <c r="DN47" i="8"/>
  <c r="FG46" i="3"/>
  <c r="FG44"/>
  <c r="DJ47" i="8"/>
  <c r="DK47"/>
  <c r="DL47"/>
  <c r="DM47"/>
  <c r="FF46" i="3"/>
  <c r="FF44"/>
  <c r="J153"/>
  <c r="K153"/>
  <c r="L153"/>
  <c r="M153"/>
  <c r="N153"/>
  <c r="FE46"/>
  <c r="FE44"/>
  <c r="FD46"/>
  <c r="FD44"/>
  <c r="N100"/>
  <c r="E100" s="1"/>
  <c r="DI43" i="8"/>
  <c r="FC44" i="3"/>
  <c r="FC46"/>
  <c r="DC47" i="11"/>
  <c r="DD47"/>
  <c r="DE47"/>
  <c r="DF47"/>
  <c r="DG47"/>
  <c r="DH47"/>
  <c r="DI47"/>
  <c r="DC43"/>
  <c r="DD43"/>
  <c r="DE43"/>
  <c r="DF43"/>
  <c r="DG43"/>
  <c r="DH43"/>
  <c r="DI43"/>
  <c r="DG47" i="8"/>
  <c r="DH47"/>
  <c r="DI47"/>
  <c r="DC43"/>
  <c r="DD43"/>
  <c r="DE43"/>
  <c r="DF43"/>
  <c r="DG43"/>
  <c r="DH43"/>
  <c r="FA46" i="3"/>
  <c r="FB46"/>
  <c r="FA44"/>
  <c r="FB44"/>
  <c r="EZ46"/>
  <c r="EZ44"/>
  <c r="E36" i="8"/>
  <c r="K35" i="11"/>
  <c r="DF47" i="8"/>
  <c r="EY46" i="3"/>
  <c r="EY44"/>
  <c r="DE47" i="8"/>
  <c r="EX46" i="3"/>
  <c r="EX44"/>
  <c r="K36" i="11"/>
  <c r="K35" i="8"/>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36"/>
  <c r="J112" i="3"/>
  <c r="K112"/>
  <c r="L112"/>
  <c r="M112"/>
  <c r="N112"/>
  <c r="DD47" i="8"/>
  <c r="N49" i="3"/>
  <c r="N37"/>
  <c r="N50"/>
  <c r="N51"/>
  <c r="N52"/>
  <c r="E52" s="1"/>
  <c r="N53"/>
  <c r="N54"/>
  <c r="N56"/>
  <c r="N57"/>
  <c r="N58"/>
  <c r="N59"/>
  <c r="N60"/>
  <c r="N62"/>
  <c r="N63"/>
  <c r="N64"/>
  <c r="N65"/>
  <c r="N66"/>
  <c r="N67"/>
  <c r="N68"/>
  <c r="N69"/>
  <c r="N70"/>
  <c r="N71"/>
  <c r="N72"/>
  <c r="N73"/>
  <c r="N75"/>
  <c r="N76"/>
  <c r="N77"/>
  <c r="N78"/>
  <c r="N79"/>
  <c r="N80"/>
  <c r="N81"/>
  <c r="N82"/>
  <c r="N83"/>
  <c r="N84"/>
  <c r="N85"/>
  <c r="N86"/>
  <c r="N87"/>
  <c r="N88"/>
  <c r="N89"/>
  <c r="N90"/>
  <c r="N93"/>
  <c r="N94"/>
  <c r="N95"/>
  <c r="N96"/>
  <c r="E96" s="1"/>
  <c r="N97"/>
  <c r="E97" s="1"/>
  <c r="N98"/>
  <c r="N101"/>
  <c r="N102"/>
  <c r="N103"/>
  <c r="N104"/>
  <c r="N105"/>
  <c r="N106"/>
  <c r="N107"/>
  <c r="N108"/>
  <c r="N109"/>
  <c r="N110"/>
  <c r="N111"/>
  <c r="N115"/>
  <c r="N116"/>
  <c r="N117"/>
  <c r="N118"/>
  <c r="N119"/>
  <c r="E119" s="1"/>
  <c r="N120"/>
  <c r="E120" s="1"/>
  <c r="N121"/>
  <c r="N122"/>
  <c r="N123"/>
  <c r="E123" s="1"/>
  <c r="N124"/>
  <c r="E124" s="1"/>
  <c r="N125"/>
  <c r="E125" s="1"/>
  <c r="N126"/>
  <c r="N127"/>
  <c r="E127" s="1"/>
  <c r="N130"/>
  <c r="E130" s="1"/>
  <c r="N131"/>
  <c r="N132"/>
  <c r="N135"/>
  <c r="N136"/>
  <c r="N137"/>
  <c r="N138"/>
  <c r="N139"/>
  <c r="N140"/>
  <c r="N141"/>
  <c r="N142"/>
  <c r="N143"/>
  <c r="N144"/>
  <c r="N145"/>
  <c r="N146"/>
  <c r="N148"/>
  <c r="N149"/>
  <c r="N151"/>
  <c r="E151" s="1"/>
  <c r="N152"/>
  <c r="N154"/>
  <c r="N36"/>
  <c r="EW46"/>
  <c r="EW44"/>
  <c r="EU44"/>
  <c r="EV44"/>
  <c r="G52" i="11"/>
  <c r="F52"/>
  <c r="CV47"/>
  <c r="CW47"/>
  <c r="CX47"/>
  <c r="CY47"/>
  <c r="CZ47"/>
  <c r="DA47"/>
  <c r="DB47"/>
  <c r="CV43"/>
  <c r="CW43"/>
  <c r="CX43"/>
  <c r="CY43"/>
  <c r="CZ43"/>
  <c r="DA43"/>
  <c r="DB43"/>
  <c r="EU46" i="3"/>
  <c r="EV46"/>
  <c r="DA47" i="8"/>
  <c r="DB47"/>
  <c r="DC47"/>
  <c r="CV43"/>
  <c r="CW43"/>
  <c r="CX43"/>
  <c r="CY43"/>
  <c r="CZ43"/>
  <c r="DA43"/>
  <c r="DB43"/>
  <c r="ET46" i="3"/>
  <c r="ET44"/>
  <c r="CY47" i="8"/>
  <c r="CZ47"/>
  <c r="ES46" i="3"/>
  <c r="ES44"/>
  <c r="EQ46"/>
  <c r="ER46"/>
  <c r="ER44"/>
  <c r="CW47" i="8"/>
  <c r="CX47"/>
  <c r="EP44" i="3"/>
  <c r="EP46"/>
  <c r="CU43" i="11"/>
  <c r="CU47"/>
  <c r="CT47"/>
  <c r="CT43"/>
  <c r="J78" i="3"/>
  <c r="K78"/>
  <c r="L78"/>
  <c r="M78"/>
  <c r="CT47" i="8"/>
  <c r="CU47"/>
  <c r="CV47"/>
  <c r="CO43"/>
  <c r="CP43"/>
  <c r="CQ43"/>
  <c r="CR43"/>
  <c r="CS43"/>
  <c r="CT43"/>
  <c r="CU43"/>
  <c r="EL44" i="3"/>
  <c r="EM44"/>
  <c r="EN44"/>
  <c r="EO44"/>
  <c r="EM46"/>
  <c r="EN46"/>
  <c r="EO46"/>
  <c r="CS47" i="11"/>
  <c r="CO43"/>
  <c r="CP43"/>
  <c r="CQ43"/>
  <c r="CR43"/>
  <c r="CS43"/>
  <c r="CS47" i="8"/>
  <c r="EL46" i="3"/>
  <c r="EK46"/>
  <c r="EK44"/>
  <c r="CP47" i="8"/>
  <c r="CQ47"/>
  <c r="CR47"/>
  <c r="CR47" i="11"/>
  <c r="CP47"/>
  <c r="CQ47"/>
  <c r="EJ46" i="3"/>
  <c r="EJ44"/>
  <c r="EI46"/>
  <c r="EH44"/>
  <c r="EI44"/>
  <c r="EG46"/>
  <c r="EH46"/>
  <c r="CH47" i="11"/>
  <c r="CI47"/>
  <c r="CJ47"/>
  <c r="CK47"/>
  <c r="CL47"/>
  <c r="CM47"/>
  <c r="CN47"/>
  <c r="CO47"/>
  <c r="CM43"/>
  <c r="CN43"/>
  <c r="CM47" i="8"/>
  <c r="CN47"/>
  <c r="CO47"/>
  <c r="CH43"/>
  <c r="CI43"/>
  <c r="CJ43"/>
  <c r="CK43"/>
  <c r="CL43"/>
  <c r="CM43"/>
  <c r="CN43"/>
  <c r="EG44" i="3"/>
  <c r="EF46"/>
  <c r="EF44"/>
  <c r="CL43" i="11"/>
  <c r="CK47" i="8"/>
  <c r="CL47"/>
  <c r="EE46" i="3"/>
  <c r="EE44"/>
  <c r="CK43" i="11"/>
  <c r="ED46" i="3"/>
  <c r="ED44"/>
  <c r="CJ43" i="11"/>
  <c r="CJ47" i="8"/>
  <c r="EC46" i="3"/>
  <c r="EC44"/>
  <c r="CH43" i="11"/>
  <c r="CI43"/>
  <c r="CI47" i="8"/>
  <c r="EB46" i="3"/>
  <c r="EB44"/>
  <c r="CG47" i="8"/>
  <c r="CH47"/>
  <c r="DZ46" i="3"/>
  <c r="EA46"/>
  <c r="M94"/>
  <c r="CE47" i="11"/>
  <c r="CF47"/>
  <c r="CG47"/>
  <c r="CF43"/>
  <c r="CG43"/>
  <c r="CA43" i="8"/>
  <c r="CB43"/>
  <c r="CC43"/>
  <c r="CD43"/>
  <c r="CE43"/>
  <c r="CF43"/>
  <c r="CG43"/>
  <c r="DY46" i="3"/>
  <c r="DY44"/>
  <c r="DU44"/>
  <c r="CE43" i="11"/>
  <c r="DX46" i="3"/>
  <c r="DX44"/>
  <c r="M60"/>
  <c r="CD43" i="11"/>
  <c r="CD47"/>
  <c r="DW46" i="3"/>
  <c r="DW44"/>
  <c r="CA47" i="11"/>
  <c r="CB47"/>
  <c r="CC47"/>
  <c r="CA43"/>
  <c r="CB43"/>
  <c r="CC43"/>
  <c r="DV46" i="3"/>
  <c r="DV44"/>
  <c r="M93"/>
  <c r="BZ43" i="11"/>
  <c r="BZ47" i="8"/>
  <c r="CA47"/>
  <c r="CB47"/>
  <c r="J51" i="11"/>
  <c r="J52"/>
  <c r="J50"/>
  <c r="J35"/>
  <c r="J53"/>
  <c r="J54"/>
  <c r="J55"/>
  <c r="J56"/>
  <c r="J57"/>
  <c r="J58"/>
  <c r="J59"/>
  <c r="E59" s="1"/>
  <c r="J60"/>
  <c r="J62"/>
  <c r="J63"/>
  <c r="J64"/>
  <c r="J65"/>
  <c r="J66"/>
  <c r="J69"/>
  <c r="J70"/>
  <c r="J71"/>
  <c r="J72"/>
  <c r="J73"/>
  <c r="J74"/>
  <c r="J75"/>
  <c r="J76"/>
  <c r="J77"/>
  <c r="J78"/>
  <c r="J79"/>
  <c r="J80"/>
  <c r="J81"/>
  <c r="J82"/>
  <c r="J83"/>
  <c r="J84"/>
  <c r="J85"/>
  <c r="J86"/>
  <c r="J87"/>
  <c r="J88"/>
  <c r="J89"/>
  <c r="J36"/>
  <c r="J51" i="8"/>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50"/>
  <c r="J36"/>
  <c r="J35"/>
  <c r="J38" s="1"/>
  <c r="M50" i="3"/>
  <c r="M51"/>
  <c r="M53"/>
  <c r="M54"/>
  <c r="M56"/>
  <c r="M57"/>
  <c r="M58"/>
  <c r="M59"/>
  <c r="M62"/>
  <c r="M63"/>
  <c r="M64"/>
  <c r="M65"/>
  <c r="M66"/>
  <c r="M67"/>
  <c r="M68"/>
  <c r="M69"/>
  <c r="M70"/>
  <c r="M71"/>
  <c r="M72"/>
  <c r="M73"/>
  <c r="M75"/>
  <c r="M76"/>
  <c r="M77"/>
  <c r="M79"/>
  <c r="M80"/>
  <c r="M81"/>
  <c r="M82"/>
  <c r="M83"/>
  <c r="M84"/>
  <c r="M85"/>
  <c r="M86"/>
  <c r="M87"/>
  <c r="M88"/>
  <c r="M89"/>
  <c r="M90"/>
  <c r="M95"/>
  <c r="M98"/>
  <c r="M101"/>
  <c r="M102"/>
  <c r="M103"/>
  <c r="M104"/>
  <c r="M105"/>
  <c r="M106"/>
  <c r="M107"/>
  <c r="M108"/>
  <c r="M109"/>
  <c r="M110"/>
  <c r="M111"/>
  <c r="M115"/>
  <c r="M116"/>
  <c r="M117"/>
  <c r="M118"/>
  <c r="M121"/>
  <c r="M122"/>
  <c r="M126"/>
  <c r="M131"/>
  <c r="M132"/>
  <c r="M135"/>
  <c r="M136"/>
  <c r="M137"/>
  <c r="M138"/>
  <c r="M139"/>
  <c r="M140"/>
  <c r="M141"/>
  <c r="M142"/>
  <c r="M143"/>
  <c r="M144"/>
  <c r="M145"/>
  <c r="M146"/>
  <c r="M148"/>
  <c r="M149"/>
  <c r="M152"/>
  <c r="M154"/>
  <c r="M49"/>
  <c r="M37"/>
  <c r="M36"/>
  <c r="DS46"/>
  <c r="DT46"/>
  <c r="BT47" i="11"/>
  <c r="BU47"/>
  <c r="BV47"/>
  <c r="BW47"/>
  <c r="BX47"/>
  <c r="BY47"/>
  <c r="BZ47"/>
  <c r="BT43" i="8"/>
  <c r="BU43"/>
  <c r="BV43"/>
  <c r="BW43"/>
  <c r="BX43"/>
  <c r="BY43"/>
  <c r="BZ43"/>
  <c r="DS44" i="3"/>
  <c r="DT44"/>
  <c r="DR46"/>
  <c r="DR44"/>
  <c r="J81"/>
  <c r="K81"/>
  <c r="L81"/>
  <c r="J82"/>
  <c r="K82"/>
  <c r="L82"/>
  <c r="DQ44"/>
  <c r="BX43" i="11"/>
  <c r="BW43"/>
  <c r="DQ46" i="3"/>
  <c r="BW47" i="8"/>
  <c r="DP46" i="3"/>
  <c r="DP44"/>
  <c r="BT43" i="11"/>
  <c r="BU43"/>
  <c r="BV43"/>
  <c r="DO46" i="3"/>
  <c r="DO44"/>
  <c r="DN46"/>
  <c r="DN44"/>
  <c r="DL44"/>
  <c r="DM44"/>
  <c r="BM47" i="11"/>
  <c r="BN47"/>
  <c r="BO47"/>
  <c r="BP47"/>
  <c r="BQ47"/>
  <c r="BR47"/>
  <c r="BS47"/>
  <c r="BM43"/>
  <c r="BN43"/>
  <c r="BO43"/>
  <c r="BP43"/>
  <c r="BQ43"/>
  <c r="BR43"/>
  <c r="BS43"/>
  <c r="BM43" i="8"/>
  <c r="BN43"/>
  <c r="BO43"/>
  <c r="BP43"/>
  <c r="BQ43"/>
  <c r="BR43"/>
  <c r="BS43"/>
  <c r="DL46" i="3"/>
  <c r="DM46"/>
  <c r="DK46"/>
  <c r="DK44"/>
  <c r="L59"/>
  <c r="K117"/>
  <c r="L117"/>
  <c r="J117"/>
  <c r="BQ47" i="8"/>
  <c r="DJ46" i="3"/>
  <c r="DJ44"/>
  <c r="BO47" i="8"/>
  <c r="BP47"/>
  <c r="DH44" i="3"/>
  <c r="BN47" i="8"/>
  <c r="DG46" i="3"/>
  <c r="DG44"/>
  <c r="BL43" i="11"/>
  <c r="BF43"/>
  <c r="BG43"/>
  <c r="BH43"/>
  <c r="BI43"/>
  <c r="BJ43"/>
  <c r="BK43"/>
  <c r="BF47"/>
  <c r="BG47"/>
  <c r="BH47"/>
  <c r="BI47"/>
  <c r="BJ47"/>
  <c r="BK47"/>
  <c r="BL47"/>
  <c r="DE44" i="3"/>
  <c r="DF44"/>
  <c r="AY47" i="8"/>
  <c r="AZ47"/>
  <c r="BA47"/>
  <c r="BB47"/>
  <c r="BC47"/>
  <c r="BD47"/>
  <c r="BE47"/>
  <c r="BF47"/>
  <c r="BG47"/>
  <c r="BH47"/>
  <c r="BI47"/>
  <c r="BJ47"/>
  <c r="BK47"/>
  <c r="BL47"/>
  <c r="BM47"/>
  <c r="BI43"/>
  <c r="BJ43"/>
  <c r="BK43"/>
  <c r="BL43"/>
  <c r="DE46" i="3"/>
  <c r="DF46"/>
  <c r="DD46"/>
  <c r="DD44"/>
  <c r="H38" i="8"/>
  <c r="CO46" i="3"/>
  <c r="E81" l="1"/>
  <c r="E112"/>
  <c r="E60"/>
  <c r="E78"/>
  <c r="E55"/>
  <c r="E58" i="11"/>
  <c r="E79" i="3"/>
  <c r="E93"/>
  <c r="E94"/>
  <c r="E117"/>
  <c r="E82"/>
  <c r="E146"/>
  <c r="E59"/>
  <c r="E153"/>
  <c r="E133"/>
  <c r="O39"/>
  <c r="L38" i="11"/>
  <c r="K38"/>
  <c r="T40" i="3"/>
  <c r="S40"/>
  <c r="N39"/>
  <c r="J67"/>
  <c r="K67"/>
  <c r="L67"/>
  <c r="E67" s="1"/>
  <c r="AW43" i="11"/>
  <c r="AX43"/>
  <c r="AY43"/>
  <c r="AZ43"/>
  <c r="BA43"/>
  <c r="BB43"/>
  <c r="BC43"/>
  <c r="BD43"/>
  <c r="BE43"/>
  <c r="DC46" i="3"/>
  <c r="DC44"/>
  <c r="AV43" i="8" l="1"/>
  <c r="AW43"/>
  <c r="AX43"/>
  <c r="AY43"/>
  <c r="AZ43"/>
  <c r="BA43"/>
  <c r="BB43"/>
  <c r="BC43"/>
  <c r="BD43"/>
  <c r="BE43"/>
  <c r="BF43"/>
  <c r="BG43"/>
  <c r="BH43"/>
  <c r="DB46" i="3"/>
  <c r="DB44"/>
  <c r="I35" i="11" l="1"/>
  <c r="I51"/>
  <c r="E51" s="1"/>
  <c r="I52"/>
  <c r="E52" s="1"/>
  <c r="I53"/>
  <c r="E53" s="1"/>
  <c r="I54"/>
  <c r="E54" s="1"/>
  <c r="I55"/>
  <c r="E55" s="1"/>
  <c r="I56"/>
  <c r="E56" s="1"/>
  <c r="I57"/>
  <c r="E57" s="1"/>
  <c r="I60"/>
  <c r="E60" s="1"/>
  <c r="I62"/>
  <c r="E62" s="1"/>
  <c r="I63"/>
  <c r="E63" s="1"/>
  <c r="I64"/>
  <c r="E64" s="1"/>
  <c r="I65"/>
  <c r="E65" s="1"/>
  <c r="I66"/>
  <c r="E66" s="1"/>
  <c r="I69"/>
  <c r="E69" s="1"/>
  <c r="I70"/>
  <c r="E70" s="1"/>
  <c r="I71"/>
  <c r="E71" s="1"/>
  <c r="I72"/>
  <c r="E72" s="1"/>
  <c r="I73"/>
  <c r="E73" s="1"/>
  <c r="I74"/>
  <c r="E74" s="1"/>
  <c r="I75"/>
  <c r="E75" s="1"/>
  <c r="I76"/>
  <c r="E76" s="1"/>
  <c r="I77"/>
  <c r="E77" s="1"/>
  <c r="I78"/>
  <c r="E78" s="1"/>
  <c r="I79"/>
  <c r="E79" s="1"/>
  <c r="I80"/>
  <c r="E80" s="1"/>
  <c r="I81"/>
  <c r="E81" s="1"/>
  <c r="I82"/>
  <c r="E82" s="1"/>
  <c r="I83"/>
  <c r="E83" s="1"/>
  <c r="I84"/>
  <c r="E84" s="1"/>
  <c r="I85"/>
  <c r="E85" s="1"/>
  <c r="I86"/>
  <c r="E86" s="1"/>
  <c r="I87"/>
  <c r="E87" s="1"/>
  <c r="I88"/>
  <c r="E88" s="1"/>
  <c r="I89"/>
  <c r="E89" s="1"/>
  <c r="I50"/>
  <c r="E50" s="1"/>
  <c r="I36"/>
  <c r="I38" s="1"/>
  <c r="I51" i="8"/>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50"/>
  <c r="I36"/>
  <c r="I35"/>
  <c r="L50" i="3"/>
  <c r="E50" s="1"/>
  <c r="L51"/>
  <c r="E51" s="1"/>
  <c r="L53"/>
  <c r="E53" s="1"/>
  <c r="L54"/>
  <c r="E54" s="1"/>
  <c r="L56"/>
  <c r="E56" s="1"/>
  <c r="L57"/>
  <c r="E57" s="1"/>
  <c r="L58"/>
  <c r="E58" s="1"/>
  <c r="L62"/>
  <c r="E62" s="1"/>
  <c r="L63"/>
  <c r="E63" s="1"/>
  <c r="L64"/>
  <c r="E64" s="1"/>
  <c r="L65"/>
  <c r="E65" s="1"/>
  <c r="L66"/>
  <c r="E66" s="1"/>
  <c r="L68"/>
  <c r="E68" s="1"/>
  <c r="L69"/>
  <c r="E69" s="1"/>
  <c r="L70"/>
  <c r="E70" s="1"/>
  <c r="L71"/>
  <c r="E71" s="1"/>
  <c r="L72"/>
  <c r="E72" s="1"/>
  <c r="L73"/>
  <c r="E73" s="1"/>
  <c r="L75"/>
  <c r="E75" s="1"/>
  <c r="L76"/>
  <c r="E76" s="1"/>
  <c r="L77"/>
  <c r="E77" s="1"/>
  <c r="L80"/>
  <c r="E80" s="1"/>
  <c r="L83"/>
  <c r="E83" s="1"/>
  <c r="L84"/>
  <c r="E84" s="1"/>
  <c r="L85"/>
  <c r="E85" s="1"/>
  <c r="L86"/>
  <c r="E86" s="1"/>
  <c r="L87"/>
  <c r="E87" s="1"/>
  <c r="L88"/>
  <c r="E88" s="1"/>
  <c r="L89"/>
  <c r="E89" s="1"/>
  <c r="L90"/>
  <c r="E90" s="1"/>
  <c r="L95"/>
  <c r="E95" s="1"/>
  <c r="L98"/>
  <c r="E98" s="1"/>
  <c r="L101"/>
  <c r="E101" s="1"/>
  <c r="L102"/>
  <c r="E102" s="1"/>
  <c r="L103"/>
  <c r="E103" s="1"/>
  <c r="L104"/>
  <c r="E104" s="1"/>
  <c r="L105"/>
  <c r="E105" s="1"/>
  <c r="L106"/>
  <c r="E106" s="1"/>
  <c r="L107"/>
  <c r="E107" s="1"/>
  <c r="L108"/>
  <c r="E108" s="1"/>
  <c r="L109"/>
  <c r="E109" s="1"/>
  <c r="L110"/>
  <c r="E110" s="1"/>
  <c r="L111"/>
  <c r="E111" s="1"/>
  <c r="L115"/>
  <c r="E115" s="1"/>
  <c r="L116"/>
  <c r="E116" s="1"/>
  <c r="L118"/>
  <c r="E118" s="1"/>
  <c r="L121"/>
  <c r="E121" s="1"/>
  <c r="L122"/>
  <c r="E122" s="1"/>
  <c r="L126"/>
  <c r="E126" s="1"/>
  <c r="L131"/>
  <c r="E131" s="1"/>
  <c r="L132"/>
  <c r="E132" s="1"/>
  <c r="L135"/>
  <c r="E135" s="1"/>
  <c r="L136"/>
  <c r="E136" s="1"/>
  <c r="L137"/>
  <c r="E137" s="1"/>
  <c r="L138"/>
  <c r="E138" s="1"/>
  <c r="L139"/>
  <c r="E139" s="1"/>
  <c r="L140"/>
  <c r="E140" s="1"/>
  <c r="L141"/>
  <c r="E141" s="1"/>
  <c r="L142"/>
  <c r="E142" s="1"/>
  <c r="L143"/>
  <c r="E143" s="1"/>
  <c r="L144"/>
  <c r="E144" s="1"/>
  <c r="L145"/>
  <c r="E145" s="1"/>
  <c r="L148"/>
  <c r="E148" s="1"/>
  <c r="L149"/>
  <c r="E149" s="1"/>
  <c r="L152"/>
  <c r="E152" s="1"/>
  <c r="L154"/>
  <c r="E154" s="1"/>
  <c r="L49"/>
  <c r="E49" s="1"/>
  <c r="L36"/>
  <c r="L37"/>
  <c r="DA44"/>
  <c r="DA46"/>
  <c r="CQ46"/>
  <c r="AX47" i="11"/>
  <c r="AY47"/>
  <c r="AZ47"/>
  <c r="BA47"/>
  <c r="BB47"/>
  <c r="BC47"/>
  <c r="BD47"/>
  <c r="BE47"/>
  <c r="AW47"/>
  <c r="AV47" i="8"/>
  <c r="AW47"/>
  <c r="AX47"/>
  <c r="CP46" i="3"/>
  <c r="CP44"/>
  <c r="AR47" i="11"/>
  <c r="AS47"/>
  <c r="AT47"/>
  <c r="AU47"/>
  <c r="AV47"/>
  <c r="AR43"/>
  <c r="AS43"/>
  <c r="AT43"/>
  <c r="AU43"/>
  <c r="AV43"/>
  <c r="AU47" i="8"/>
  <c r="AR43"/>
  <c r="AS43"/>
  <c r="AT43"/>
  <c r="AU43"/>
  <c r="CN46" i="3"/>
  <c r="CN44"/>
  <c r="AT47" i="8"/>
  <c r="CM46" i="3"/>
  <c r="CM44"/>
  <c r="AS47" i="8"/>
  <c r="CL46" i="3"/>
  <c r="CL44"/>
  <c r="CJ46"/>
  <c r="CK46"/>
  <c r="AK47" i="11"/>
  <c r="AL47"/>
  <c r="AM47"/>
  <c r="AN47"/>
  <c r="AO47"/>
  <c r="AP47"/>
  <c r="AQ47"/>
  <c r="AN43"/>
  <c r="AO43"/>
  <c r="AP43"/>
  <c r="AQ43"/>
  <c r="AO47" i="8"/>
  <c r="AP47"/>
  <c r="AQ47"/>
  <c r="AR47"/>
  <c r="AK43"/>
  <c r="AL43"/>
  <c r="AM43"/>
  <c r="AN43"/>
  <c r="AO43"/>
  <c r="AP43"/>
  <c r="AQ43"/>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50"/>
  <c r="CI46" i="3"/>
  <c r="CH46"/>
  <c r="AK43" i="11"/>
  <c r="AL43"/>
  <c r="AM43"/>
  <c r="CI44" i="3"/>
  <c r="CD44"/>
  <c r="CE44"/>
  <c r="CF44"/>
  <c r="CG44"/>
  <c r="CH44"/>
  <c r="AM47" i="8"/>
  <c r="AN47"/>
  <c r="CG46" i="3"/>
  <c r="AJ47" i="11"/>
  <c r="CF46" i="3"/>
  <c r="CC44"/>
  <c r="AJ47" i="8"/>
  <c r="AK47"/>
  <c r="AL47"/>
  <c r="AJ43"/>
  <c r="CE46" i="3"/>
  <c r="AD43" i="11"/>
  <c r="AE43"/>
  <c r="AF43"/>
  <c r="AG43"/>
  <c r="AH43"/>
  <c r="AI43"/>
  <c r="AJ43"/>
  <c r="CC46" i="3"/>
  <c r="CD46"/>
  <c r="CB46"/>
  <c r="CB44"/>
  <c r="CA46"/>
  <c r="AG47" i="8"/>
  <c r="AH47"/>
  <c r="CA44" i="3"/>
  <c r="K102"/>
  <c r="BZ46"/>
  <c r="BZ44"/>
  <c r="T43" i="11"/>
  <c r="U43"/>
  <c r="V43"/>
  <c r="W43"/>
  <c r="X43"/>
  <c r="Y43"/>
  <c r="Z43"/>
  <c r="AA43"/>
  <c r="AB43"/>
  <c r="AC43"/>
  <c r="K36" i="3"/>
  <c r="K37"/>
  <c r="D37" s="1"/>
  <c r="T47" i="11"/>
  <c r="U47"/>
  <c r="V47"/>
  <c r="W47"/>
  <c r="X47"/>
  <c r="Y47"/>
  <c r="Z47"/>
  <c r="T47" i="8"/>
  <c r="U47"/>
  <c r="V47"/>
  <c r="W47"/>
  <c r="X47"/>
  <c r="Y47"/>
  <c r="Z47"/>
  <c r="T43"/>
  <c r="U43"/>
  <c r="V43"/>
  <c r="W43"/>
  <c r="X43"/>
  <c r="Y43"/>
  <c r="Z43"/>
  <c r="BM46" i="3"/>
  <c r="BN46"/>
  <c r="BO46"/>
  <c r="BP46"/>
  <c r="BQ46"/>
  <c r="BR46"/>
  <c r="BS46"/>
  <c r="BH46"/>
  <c r="BI46"/>
  <c r="E36" i="11"/>
  <c r="J49" i="3"/>
  <c r="K49"/>
  <c r="K50"/>
  <c r="K51"/>
  <c r="K53"/>
  <c r="K54"/>
  <c r="K62"/>
  <c r="K63"/>
  <c r="K64"/>
  <c r="K65"/>
  <c r="K66"/>
  <c r="K68"/>
  <c r="K69"/>
  <c r="K70"/>
  <c r="K71"/>
  <c r="K72"/>
  <c r="K73"/>
  <c r="K75"/>
  <c r="K76"/>
  <c r="K77"/>
  <c r="K80"/>
  <c r="K84"/>
  <c r="K85"/>
  <c r="K86"/>
  <c r="K87"/>
  <c r="K88"/>
  <c r="K90"/>
  <c r="K95"/>
  <c r="K98"/>
  <c r="K101"/>
  <c r="K103"/>
  <c r="K104"/>
  <c r="K105"/>
  <c r="K106"/>
  <c r="K107"/>
  <c r="K108"/>
  <c r="K109"/>
  <c r="K110"/>
  <c r="K111"/>
  <c r="K116"/>
  <c r="K121"/>
  <c r="K122"/>
  <c r="K126"/>
  <c r="K131"/>
  <c r="K132"/>
  <c r="K135"/>
  <c r="K136"/>
  <c r="K137"/>
  <c r="K138"/>
  <c r="K139"/>
  <c r="K140"/>
  <c r="K141"/>
  <c r="K142"/>
  <c r="K143"/>
  <c r="K144"/>
  <c r="K148"/>
  <c r="K149"/>
  <c r="K154"/>
  <c r="S47" i="11"/>
  <c r="S43"/>
  <c r="S47" i="8"/>
  <c r="S43"/>
  <c r="BJ46" i="3"/>
  <c r="BK46"/>
  <c r="BL46"/>
  <c r="BB46"/>
  <c r="BC46"/>
  <c r="BD46"/>
  <c r="BE46"/>
  <c r="BF46"/>
  <c r="BG46"/>
  <c r="BB44"/>
  <c r="BC44"/>
  <c r="BD44"/>
  <c r="BE44"/>
  <c r="BF44"/>
  <c r="BG44"/>
  <c r="BH44"/>
  <c r="BI44"/>
  <c r="BJ44"/>
  <c r="BK44"/>
  <c r="J76"/>
  <c r="J75"/>
  <c r="BA44"/>
  <c r="I38" i="8" l="1"/>
  <c r="E37"/>
  <c r="J38" i="11"/>
  <c r="K39" i="3"/>
  <c r="M39"/>
  <c r="D36"/>
  <c r="D38" s="1"/>
  <c r="E37" i="11"/>
  <c r="L39" i="3"/>
  <c r="E38"/>
  <c r="AZ46"/>
  <c r="BA46"/>
  <c r="AU44"/>
  <c r="AV44"/>
  <c r="AW44"/>
  <c r="AX44"/>
  <c r="AY44"/>
  <c r="AZ44"/>
  <c r="AY46"/>
  <c r="AU46"/>
  <c r="AV46"/>
  <c r="AW46"/>
  <c r="AX46"/>
  <c r="H52" i="11"/>
  <c r="AN46" i="3"/>
  <c r="AO46"/>
  <c r="AP46"/>
  <c r="AQ46"/>
  <c r="AR46"/>
  <c r="AS46"/>
  <c r="AT46"/>
  <c r="AN44"/>
  <c r="AO44"/>
  <c r="AP44"/>
  <c r="AQ44"/>
  <c r="AR44"/>
  <c r="AS44"/>
  <c r="AT44"/>
  <c r="W46"/>
  <c r="X46"/>
  <c r="Y46"/>
  <c r="Z46"/>
  <c r="AA46"/>
  <c r="AB46"/>
  <c r="AC46"/>
  <c r="AD46"/>
  <c r="AE46"/>
  <c r="AF46"/>
  <c r="AG46"/>
  <c r="AH46"/>
  <c r="AI46"/>
  <c r="AJ46"/>
  <c r="AK46"/>
  <c r="AL46"/>
  <c r="AM46"/>
  <c r="W44"/>
  <c r="X44"/>
  <c r="Y44"/>
  <c r="Z44"/>
  <c r="AA44"/>
  <c r="AB44"/>
  <c r="AC44"/>
  <c r="AD44"/>
  <c r="AE44"/>
  <c r="AF44"/>
  <c r="AG44"/>
  <c r="AH44"/>
  <c r="AI44"/>
  <c r="AJ44"/>
  <c r="AK44"/>
  <c r="AL44"/>
  <c r="AM44"/>
  <c r="J80"/>
  <c r="H69" i="11"/>
  <c r="G69"/>
  <c r="J50" i="3"/>
  <c r="J51"/>
  <c r="J53"/>
  <c r="J54"/>
  <c r="J62"/>
  <c r="J63"/>
  <c r="J64"/>
  <c r="J65"/>
  <c r="J66"/>
  <c r="J68"/>
  <c r="J70"/>
  <c r="J71"/>
  <c r="J72"/>
  <c r="J73"/>
  <c r="J77"/>
  <c r="J84"/>
  <c r="J85"/>
  <c r="J86"/>
  <c r="J87"/>
  <c r="J88"/>
  <c r="J95"/>
  <c r="J98"/>
  <c r="J101"/>
  <c r="J102"/>
  <c r="J103"/>
  <c r="J105"/>
  <c r="J106"/>
  <c r="J107"/>
  <c r="J108"/>
  <c r="J109"/>
  <c r="J110"/>
  <c r="J111"/>
  <c r="J116"/>
  <c r="J121"/>
  <c r="J122"/>
  <c r="J126"/>
  <c r="J131"/>
  <c r="J132"/>
  <c r="J135"/>
  <c r="J136"/>
  <c r="J137"/>
  <c r="J138"/>
  <c r="J139"/>
  <c r="J140"/>
  <c r="J141"/>
  <c r="J142"/>
  <c r="J143"/>
  <c r="J144"/>
  <c r="J149"/>
  <c r="J154"/>
  <c r="F39" l="1"/>
  <c r="V46"/>
  <c r="G39"/>
  <c r="H39"/>
  <c r="I39"/>
  <c r="Q40"/>
  <c r="R40"/>
  <c r="R39" i="8"/>
  <c r="R39" i="11"/>
  <c r="G38" i="8" l="1"/>
  <c r="F38"/>
  <c r="F58" i="11"/>
  <c r="F59"/>
  <c r="F76"/>
  <c r="F81"/>
  <c r="O39" i="8" l="1"/>
  <c r="N39"/>
  <c r="V44" i="3"/>
  <c r="U40"/>
  <c r="BS164" i="2"/>
  <c r="BF164"/>
  <c r="AJ164"/>
  <c r="BS163"/>
  <c r="AJ163"/>
  <c r="BS162"/>
  <c r="AJ162"/>
  <c r="BS161"/>
  <c r="BF161"/>
  <c r="AJ161"/>
  <c r="BS160"/>
  <c r="BF160"/>
  <c r="AJ160"/>
  <c r="BS159"/>
  <c r="BF159"/>
  <c r="AJ159"/>
  <c r="BS158"/>
  <c r="BF158"/>
  <c r="AJ158"/>
  <c r="BS157"/>
  <c r="BF157"/>
  <c r="AJ157"/>
  <c r="BS156"/>
  <c r="BF156"/>
  <c r="AJ156"/>
  <c r="BS155"/>
  <c r="BF155"/>
  <c r="AJ155"/>
  <c r="BS154"/>
  <c r="BF154"/>
  <c r="AJ154"/>
  <c r="BS153"/>
  <c r="BF153"/>
  <c r="AJ153"/>
  <c r="BS152"/>
  <c r="BF152"/>
  <c r="AJ152"/>
  <c r="BS151"/>
  <c r="BF151"/>
  <c r="AJ151"/>
  <c r="BS150"/>
  <c r="BF150"/>
  <c r="AJ150"/>
  <c r="BS149"/>
  <c r="BS148"/>
  <c r="BS147"/>
  <c r="BS146"/>
  <c r="BF146"/>
  <c r="X146"/>
  <c r="BS145"/>
  <c r="AJ145"/>
  <c r="BS144"/>
  <c r="AJ144"/>
  <c r="BS143"/>
  <c r="AJ143"/>
  <c r="BS142"/>
  <c r="AJ142"/>
  <c r="BS141"/>
  <c r="BF141"/>
  <c r="AJ141"/>
  <c r="BS140"/>
  <c r="AJ140"/>
  <c r="BS139"/>
  <c r="AJ139"/>
  <c r="BS138"/>
  <c r="AJ138"/>
  <c r="BS137"/>
  <c r="AJ137"/>
  <c r="BS136"/>
  <c r="AJ136"/>
  <c r="BS135"/>
  <c r="BS134"/>
  <c r="BS133"/>
  <c r="BS132"/>
  <c r="BS131"/>
  <c r="BS130"/>
  <c r="BS129"/>
  <c r="AJ129"/>
  <c r="BS128"/>
  <c r="AJ128"/>
  <c r="BS127"/>
  <c r="AJ127"/>
  <c r="BS126"/>
  <c r="AJ126"/>
  <c r="BS125"/>
  <c r="AJ125"/>
  <c r="BS124"/>
  <c r="AJ124"/>
  <c r="BS123"/>
  <c r="AJ123"/>
  <c r="BS122"/>
  <c r="AJ122"/>
  <c r="BS121"/>
  <c r="AJ121"/>
  <c r="BS120"/>
  <c r="AJ120"/>
  <c r="BS119"/>
  <c r="AJ119"/>
  <c r="BS118"/>
  <c r="AJ118"/>
  <c r="BS117"/>
  <c r="AJ117"/>
  <c r="BS116"/>
  <c r="AJ116"/>
  <c r="BS115"/>
  <c r="AJ115"/>
  <c r="BS114"/>
  <c r="AJ114"/>
  <c r="BS113"/>
  <c r="AJ113"/>
  <c r="BS112"/>
  <c r="AJ112"/>
  <c r="BS111"/>
  <c r="AJ111"/>
  <c r="BS110"/>
  <c r="AJ110"/>
  <c r="BS109"/>
  <c r="AJ109"/>
  <c r="BS108"/>
  <c r="AJ108"/>
  <c r="BS107"/>
  <c r="AJ107"/>
  <c r="BS106"/>
  <c r="AJ106"/>
  <c r="BS105"/>
  <c r="AJ105"/>
  <c r="BS104"/>
  <c r="AJ104"/>
  <c r="BS103"/>
  <c r="AJ103"/>
  <c r="BS102"/>
  <c r="AJ102"/>
  <c r="BS101"/>
  <c r="AJ101"/>
  <c r="BS100"/>
  <c r="AJ100"/>
  <c r="BS99"/>
  <c r="AJ99"/>
  <c r="BS98"/>
  <c r="AJ98"/>
  <c r="BS97"/>
  <c r="AJ97"/>
  <c r="BS96"/>
  <c r="AJ96"/>
  <c r="BS95"/>
  <c r="AJ95"/>
  <c r="BS94"/>
  <c r="AJ94"/>
  <c r="BS93"/>
  <c r="AJ93"/>
  <c r="BS92"/>
  <c r="AJ92"/>
  <c r="BS91"/>
  <c r="AJ91"/>
  <c r="BS90"/>
  <c r="AJ90"/>
  <c r="BS89"/>
  <c r="AJ89"/>
  <c r="BS88"/>
  <c r="AJ88"/>
  <c r="BS87"/>
  <c r="AJ87"/>
  <c r="BS86"/>
  <c r="AJ86"/>
  <c r="BS85"/>
  <c r="AJ85"/>
  <c r="BS84"/>
  <c r="AJ84"/>
  <c r="BS83"/>
  <c r="AJ83"/>
  <c r="BS82"/>
  <c r="AJ82"/>
  <c r="BS81"/>
  <c r="AJ81"/>
  <c r="BS80"/>
  <c r="AJ80"/>
  <c r="BS79"/>
  <c r="AJ79"/>
  <c r="BS78"/>
  <c r="AJ78"/>
  <c r="BS77"/>
  <c r="AJ77"/>
  <c r="BS76"/>
  <c r="AJ76"/>
  <c r="BS75"/>
  <c r="AJ75"/>
  <c r="BS74"/>
  <c r="AJ74"/>
  <c r="BS73"/>
  <c r="AJ73"/>
  <c r="BS72"/>
  <c r="AJ72"/>
  <c r="BS71"/>
  <c r="AJ71"/>
  <c r="BS70"/>
  <c r="AJ70"/>
  <c r="BS69"/>
  <c r="AJ69"/>
  <c r="BS68"/>
  <c r="AJ68"/>
  <c r="BS67"/>
  <c r="AJ67"/>
  <c r="BS66"/>
  <c r="AJ66"/>
  <c r="BS65"/>
  <c r="AJ65"/>
  <c r="BS64"/>
  <c r="AJ64"/>
  <c r="BS63"/>
  <c r="AJ63"/>
  <c r="BS62"/>
  <c r="AJ62"/>
  <c r="BS61"/>
  <c r="AJ61"/>
  <c r="BS60"/>
  <c r="AJ60"/>
  <c r="BS59"/>
  <c r="AJ59"/>
  <c r="BS58"/>
  <c r="AJ58"/>
  <c r="BS57"/>
  <c r="AJ57"/>
  <c r="BS56"/>
  <c r="AJ56"/>
  <c r="BS55"/>
  <c r="AJ55"/>
  <c r="BS54"/>
  <c r="AJ54"/>
  <c r="BS53"/>
  <c r="AJ53"/>
  <c r="BS52"/>
  <c r="AJ52"/>
  <c r="BS51"/>
  <c r="AJ51"/>
  <c r="BS50"/>
  <c r="AJ50"/>
  <c r="BS49"/>
  <c r="AJ49"/>
  <c r="BN48"/>
  <c r="BM48"/>
  <c r="BL48"/>
  <c r="BK48"/>
  <c r="BJ48"/>
  <c r="BI48"/>
  <c r="AU48"/>
  <c r="AT48"/>
  <c r="AS48"/>
  <c r="AR48"/>
  <c r="AQ48"/>
  <c r="AP48"/>
  <c r="AO48"/>
  <c r="AN48"/>
  <c r="AM48"/>
  <c r="AL48"/>
  <c r="AK48"/>
  <c r="AJ48"/>
  <c r="AI48"/>
  <c r="AG48"/>
  <c r="AF48"/>
  <c r="AE48"/>
  <c r="AC48"/>
  <c r="AA48"/>
  <c r="Z48"/>
  <c r="Y48"/>
  <c r="X48"/>
  <c r="V48"/>
  <c r="U48"/>
  <c r="T48"/>
  <c r="S48"/>
  <c r="Q48"/>
  <c r="P48"/>
  <c r="O48"/>
  <c r="M48"/>
  <c r="L48"/>
  <c r="K48"/>
  <c r="J48"/>
  <c r="I48"/>
  <c r="H48"/>
  <c r="G48"/>
  <c r="F48"/>
  <c r="E48"/>
  <c r="B48"/>
  <c r="A48"/>
  <c r="BR41"/>
  <c r="BQ41"/>
  <c r="BP41"/>
  <c r="BO41"/>
  <c r="BN41"/>
  <c r="BM41"/>
  <c r="BL41"/>
  <c r="BA41"/>
  <c r="AW41"/>
  <c r="AV41"/>
  <c r="AU41"/>
  <c r="AT41"/>
  <c r="AS41"/>
  <c r="AR41"/>
  <c r="AQ41"/>
  <c r="AP41"/>
  <c r="AO41"/>
  <c r="AN41"/>
  <c r="AM41"/>
  <c r="BQ40"/>
  <c r="BP40"/>
  <c r="BO40"/>
  <c r="BN40"/>
  <c r="BM40"/>
  <c r="BL40"/>
  <c r="BK40"/>
  <c r="BJ40"/>
  <c r="BI40"/>
  <c r="BE40"/>
  <c r="BD40"/>
  <c r="BC40"/>
  <c r="BB40"/>
  <c r="BA40"/>
  <c r="AW40"/>
  <c r="AV40"/>
  <c r="AU40"/>
  <c r="AT40"/>
  <c r="AS40"/>
  <c r="AR40"/>
  <c r="AQ40"/>
  <c r="AP40"/>
  <c r="AO40"/>
  <c r="AN40"/>
  <c r="AM40"/>
  <c r="AL40"/>
  <c r="AE40"/>
  <c r="Y40"/>
  <c r="X40"/>
  <c r="AE39"/>
  <c r="Y39"/>
  <c r="X39"/>
  <c r="I39"/>
  <c r="H39"/>
  <c r="G39"/>
  <c r="AE38"/>
  <c r="Y38"/>
  <c r="X38"/>
  <c r="I38"/>
  <c r="H38"/>
  <c r="G38"/>
  <c r="AE37"/>
  <c r="Y37"/>
  <c r="X37"/>
  <c r="I37"/>
  <c r="H37"/>
  <c r="G37"/>
  <c r="Y36"/>
  <c r="X36"/>
  <c r="AE35"/>
  <c r="I35"/>
  <c r="G35"/>
  <c r="AE34"/>
  <c r="AE33"/>
  <c r="AO31"/>
  <c r="AK31"/>
  <c r="C21" i="1"/>
  <c r="H19"/>
  <c r="G19"/>
  <c r="F19"/>
  <c r="E19"/>
  <c r="D19"/>
  <c r="H18"/>
  <c r="G18"/>
  <c r="F18"/>
  <c r="E18"/>
  <c r="D18"/>
  <c r="C18"/>
  <c r="H17"/>
  <c r="G17"/>
  <c r="F17"/>
  <c r="E17"/>
  <c r="D17"/>
  <c r="C17"/>
  <c r="H15"/>
  <c r="G15"/>
  <c r="F15"/>
  <c r="E15"/>
  <c r="D15"/>
  <c r="C15"/>
  <c r="H14"/>
  <c r="G14"/>
  <c r="F14"/>
  <c r="E14"/>
  <c r="D14"/>
  <c r="C14"/>
  <c r="H13"/>
  <c r="G13"/>
  <c r="F13"/>
  <c r="E13"/>
  <c r="D13"/>
  <c r="C13"/>
  <c r="H12"/>
  <c r="G12"/>
  <c r="F12"/>
  <c r="E12"/>
  <c r="D12"/>
  <c r="C12"/>
  <c r="H11"/>
  <c r="G11"/>
  <c r="F11"/>
  <c r="E11"/>
  <c r="D11"/>
  <c r="C11"/>
  <c r="H10"/>
  <c r="G10"/>
  <c r="F10"/>
  <c r="E10"/>
  <c r="D10"/>
  <c r="C10"/>
  <c r="H9"/>
  <c r="G9"/>
  <c r="F9"/>
  <c r="E9"/>
  <c r="D9"/>
  <c r="C9"/>
  <c r="H8"/>
  <c r="G8"/>
  <c r="F8"/>
  <c r="E8"/>
  <c r="D8"/>
  <c r="C8"/>
  <c r="D5"/>
  <c r="D4"/>
  <c r="C4"/>
  <c r="D3"/>
  <c r="C3"/>
  <c r="D2"/>
  <c r="C2"/>
  <c r="J39" i="3" l="1"/>
  <c r="Q39" i="11"/>
  <c r="Q39" i="8"/>
  <c r="P39" i="11"/>
  <c r="P39" i="8"/>
  <c r="O39" i="11"/>
  <c r="N39"/>
</calcChain>
</file>

<file path=xl/comments1.xml><?xml version="1.0" encoding="utf-8"?>
<comments xmlns="http://schemas.openxmlformats.org/spreadsheetml/2006/main">
  <authors>
    <author>Tran, Vy (V.)</author>
  </authors>
  <commentList>
    <comment ref="D45" authorId="0">
      <text>
        <r>
          <rPr>
            <sz val="9"/>
            <rFont val="宋体"/>
            <family val="3"/>
            <charset val="134"/>
          </rPr>
          <t>Tran, Vy (V.):
If needed to identify product differentiation</t>
        </r>
      </text>
    </comment>
    <comment ref="C47" authorId="0">
      <text>
        <r>
          <rPr>
            <sz val="9"/>
            <rFont val="宋体"/>
            <family val="3"/>
            <charset val="134"/>
          </rPr>
          <t>Tran, Vy (V.):
Only as needed for White Board tracking</t>
        </r>
      </text>
    </comment>
    <comment ref="AN55" authorId="0">
      <text>
        <r>
          <rPr>
            <sz val="9"/>
            <rFont val="宋体"/>
            <family val="3"/>
            <charset val="134"/>
          </rPr>
          <t xml:space="preserve">
old level parts</t>
        </r>
      </text>
    </comment>
    <comment ref="AQ65" authorId="0">
      <text>
        <r>
          <rPr>
            <sz val="9"/>
            <rFont val="宋体"/>
            <family val="3"/>
            <charset val="134"/>
          </rPr>
          <t xml:space="preserve">ICA is not robust, RCD door settings still NOK
</t>
        </r>
      </text>
    </comment>
    <comment ref="AS66" authorId="0">
      <text>
        <r>
          <rPr>
            <sz val="9"/>
            <rFont val="宋体"/>
            <family val="3"/>
            <charset val="134"/>
          </rPr>
          <t xml:space="preserve">ICA is not robust, SLD door settings still NOK
</t>
        </r>
      </text>
    </comment>
    <comment ref="AM69" authorId="0">
      <text>
        <r>
          <rPr>
            <sz val="9"/>
            <rFont val="宋体"/>
            <family val="3"/>
            <charset val="134"/>
          </rPr>
          <t xml:space="preserve">ICA is not robust, SLD door settings still NOK
</t>
        </r>
      </text>
    </comment>
    <comment ref="AN73" authorId="0">
      <text>
        <r>
          <rPr>
            <sz val="9"/>
            <rFont val="宋体"/>
            <family val="3"/>
            <charset val="134"/>
          </rPr>
          <t xml:space="preserve">1st and 2nd ICA does not work, waiting for 3rd ICA with beta brace
</t>
        </r>
      </text>
    </comment>
    <comment ref="AR75" authorId="0">
      <text/>
    </comment>
    <comment ref="AM138" authorId="0">
      <text>
        <r>
          <rPr>
            <sz val="9"/>
            <rFont val="宋体"/>
            <family val="3"/>
            <charset val="134"/>
          </rPr>
          <t>ICA cannot be checked, still no info from PMT yet, whether the affected vehicles are with or without ICA</t>
        </r>
      </text>
    </comment>
  </commentList>
</comments>
</file>

<file path=xl/comments2.xml><?xml version="1.0" encoding="utf-8"?>
<comments xmlns="http://schemas.openxmlformats.org/spreadsheetml/2006/main">
  <authors>
    <author>gzhang22</author>
  </authors>
  <commentList>
    <comment ref="N34" authorId="0">
      <text>
        <r>
          <rPr>
            <b/>
            <sz val="9"/>
            <rFont val="Tahoma"/>
            <family val="2"/>
          </rPr>
          <t>gzhang22:</t>
        </r>
        <r>
          <rPr>
            <sz val="9"/>
            <rFont val="Tahoma"/>
            <family val="2"/>
          </rPr>
          <t xml:space="preserve">
</t>
        </r>
      </text>
    </comment>
  </commentList>
</comments>
</file>

<file path=xl/sharedStrings.xml><?xml version="1.0" encoding="utf-8"?>
<sst xmlns="http://schemas.openxmlformats.org/spreadsheetml/2006/main" count="3616" uniqueCount="1458">
  <si>
    <t>(w/o ICA, PCA, with aims, WB#)</t>
  </si>
  <si>
    <t>(with ICA, aims, WB#, 8D, BSAQ, w/o PCA,)</t>
  </si>
  <si>
    <t xml:space="preserve">(with ICA/PCA, aims#, 8D, Alert#, CR#) </t>
  </si>
  <si>
    <t>total issues</t>
  </si>
  <si>
    <t>PMT</t>
  </si>
  <si>
    <t>Missing S&amp;R
 Containments</t>
  </si>
  <si>
    <t>Design</t>
  </si>
  <si>
    <t>Manufacturing Q</t>
  </si>
  <si>
    <t>Manufacturing</t>
  </si>
  <si>
    <t>MDI</t>
  </si>
  <si>
    <t>Supplier Q</t>
  </si>
  <si>
    <t>5_Electrical</t>
  </si>
  <si>
    <t>1A_BIW/Structures</t>
  </si>
  <si>
    <t>1AC_Underbody</t>
  </si>
  <si>
    <t>1B_Closures/Hardware</t>
  </si>
  <si>
    <t>1BE_Closures/Trim</t>
  </si>
  <si>
    <t>1C_Exterior Trim and Ornamentation</t>
  </si>
  <si>
    <t>2A_IP/Console/CC Components</t>
  </si>
  <si>
    <t>2B_Seats/Restraints</t>
  </si>
  <si>
    <t>2C_Interior Trim</t>
  </si>
  <si>
    <t>3_ Chassis</t>
  </si>
  <si>
    <t>Total</t>
  </si>
  <si>
    <t>contained</t>
  </si>
  <si>
    <t>3</t>
  </si>
  <si>
    <t>(Plan for an ICA is available, evidence documents not available, only promised; ==&gt; blue highlighted)</t>
  </si>
  <si>
    <t>uncontained</t>
  </si>
  <si>
    <t>(No Plan for an ICA available)</t>
  </si>
  <si>
    <t xml:space="preserve">  </t>
  </si>
  <si>
    <t xml:space="preserve"> </t>
  </si>
  <si>
    <t>Phase 1a</t>
  </si>
  <si>
    <t>* Sorted in build order     1 - Issue Present     C - Issue Contained      R - Repaired/ICA Verification;</t>
  </si>
  <si>
    <t>TT</t>
  </si>
  <si>
    <t>PCA</t>
  </si>
  <si>
    <r>
      <rPr>
        <b/>
        <u/>
        <sz val="8"/>
        <color indexed="17"/>
        <rFont val="Arial"/>
        <family val="2"/>
      </rPr>
      <t>Green</t>
    </r>
    <r>
      <rPr>
        <sz val="8"/>
        <rFont val="Arial"/>
        <family val="2"/>
      </rPr>
      <t xml:space="preserve"> – Issue contained, process and part validation verified; </t>
    </r>
    <r>
      <rPr>
        <b/>
        <u/>
        <sz val="8"/>
        <color indexed="51"/>
        <rFont val="Arial"/>
        <family val="2"/>
      </rPr>
      <t>Yellow</t>
    </r>
    <r>
      <rPr>
        <sz val="8"/>
        <rFont val="Arial"/>
        <family val="2"/>
      </rPr>
      <t xml:space="preserve"> – Issue contained w/ released Alert or CR; </t>
    </r>
    <r>
      <rPr>
        <b/>
        <u/>
        <sz val="8"/>
        <color indexed="10"/>
        <rFont val="Arial"/>
        <family val="2"/>
      </rPr>
      <t>Red</t>
    </r>
    <r>
      <rPr>
        <sz val="8"/>
        <rFont val="Arial"/>
        <family val="2"/>
      </rPr>
      <t xml:space="preserve"> – Issue not contained, No Alert or CR raised
</t>
    </r>
  </si>
  <si>
    <t xml:space="preserve">CCB (7) </t>
  </si>
  <si>
    <t>Van (13)</t>
  </si>
  <si>
    <t>Bus (1)</t>
  </si>
  <si>
    <t>PP</t>
  </si>
  <si>
    <t>MP1</t>
  </si>
  <si>
    <t>MP2</t>
  </si>
  <si>
    <t>VP1b</t>
  </si>
  <si>
    <t>ICA in; PCA pending</t>
  </si>
  <si>
    <t>TEST DATE</t>
  </si>
  <si>
    <t>NO ICA</t>
  </si>
  <si>
    <t>BUILD DATE Framing</t>
  </si>
  <si>
    <t>Vehicles Tested</t>
  </si>
  <si>
    <t>OPEN ISSUES</t>
  </si>
  <si>
    <t>NO PCA</t>
  </si>
  <si>
    <t>BUILD DATE T/F</t>
  </si>
  <si>
    <t>Concerns Per Unit 
(CPU)</t>
  </si>
  <si>
    <t>High</t>
  </si>
  <si>
    <t>PENDING ISSUES</t>
  </si>
  <si>
    <t>DESIGN</t>
  </si>
  <si>
    <t>VEHICLE NUMBER</t>
  </si>
  <si>
    <t>TOTALS</t>
  </si>
  <si>
    <t>Low</t>
  </si>
  <si>
    <t>CLOSED ISSUES</t>
  </si>
  <si>
    <t>MANUFACTURING</t>
  </si>
  <si>
    <t>Average</t>
  </si>
  <si>
    <t>NEW</t>
  </si>
  <si>
    <t>SUPPLIER QUALITY</t>
  </si>
  <si>
    <t>DR</t>
  </si>
  <si>
    <t>Target</t>
  </si>
  <si>
    <t>TOTAL ISSUES</t>
  </si>
  <si>
    <t>MANUF. Q</t>
  </si>
  <si>
    <t>VEHICLE ID</t>
  </si>
  <si>
    <t>Projection</t>
  </si>
  <si>
    <t>CONCERNS</t>
  </si>
  <si>
    <t>Chunk Team</t>
  </si>
  <si>
    <t>#</t>
  </si>
  <si>
    <t>Global/Brand Specific (Y/N)</t>
  </si>
  <si>
    <t>Issue Description</t>
  </si>
  <si>
    <t>IssueStatus</t>
  </si>
  <si>
    <t>issues have been shown to following D&amp;R and Manufacturing Eng'g</t>
  </si>
  <si>
    <t>Responsible Engineer</t>
  </si>
  <si>
    <t xml:space="preserve">Sub Total </t>
  </si>
  <si>
    <t>MR-Van</t>
  </si>
  <si>
    <t>HR-Van</t>
  </si>
  <si>
    <t>CCB</t>
  </si>
  <si>
    <t>AIM</t>
  </si>
  <si>
    <t>AIMS
Status</t>
  </si>
  <si>
    <t>AIM Type</t>
  </si>
  <si>
    <t>CR / 8D</t>
  </si>
  <si>
    <t>Source</t>
  </si>
  <si>
    <t>containment</t>
  </si>
  <si>
    <t>ICA Target Fix Point</t>
  </si>
  <si>
    <t>PCA Target Fix Point</t>
  </si>
  <si>
    <t>Perm. Fix Validated</t>
  </si>
  <si>
    <t>A</t>
  </si>
  <si>
    <t>V</t>
  </si>
  <si>
    <t>WB#</t>
  </si>
  <si>
    <t>Alert #</t>
  </si>
  <si>
    <t>Build Phase</t>
  </si>
  <si>
    <t>Containment/Cutoff</t>
  </si>
  <si>
    <t>Static</t>
  </si>
  <si>
    <t>4-Post</t>
  </si>
  <si>
    <t>Track</t>
  </si>
  <si>
    <t>TEFP</t>
  </si>
  <si>
    <t>other</t>
  </si>
  <si>
    <t>VP1a</t>
  </si>
  <si>
    <t>FoE
PP phase</t>
  </si>
  <si>
    <t>FNA
TT phase</t>
  </si>
  <si>
    <t>ICA Description</t>
  </si>
  <si>
    <t>PCA Description</t>
  </si>
  <si>
    <t>ICA status</t>
  </si>
  <si>
    <t>x</t>
  </si>
  <si>
    <t>1B</t>
  </si>
  <si>
    <t>B
FoE only</t>
  </si>
  <si>
    <t>RHF door rattle on door slam - 
Lock cylinder is attached to flexible outer sheet metal. 
It creates a buzz noise while door slam</t>
  </si>
  <si>
    <t>pending</t>
  </si>
  <si>
    <t>31-Jul-2013 - SPATEL3 - Pending Fix Point Date: 25-Oct-2013, Fix Point Phase: PP - As per discussion and agreement with Hueseyin Oeztuerk on 7/31, fix point date has been moved to 10/25., 10-Jul-2013 - RDAVEY - ICA in place under Alerts A12701048 and A12703477. Clean VIN numbers are all vehicles after DR71070 and DR71052 PCA is to release the felt tape in C12702535 CR is AC'd, 30-Jun-2013 - RDAVEY - C12702535 is AC'd to progress, 21-Jun-2013 - SNOYCE1 - Pending Fix Point Date: 24-Jul-2013, Fix Point Phase: PP - C12702535 in A status to modify the retainer clip., 20-Jun-2013 - RDAVEY - C12702535 is raised to release the PCA action, but needs verifying under alert, for final decision. option 1 thicken up the material to 0.6mm from 0.5mm - waiting samples from Witte. (available June 24th) option 2 to release a felt tape on the back of the retainer plate. (accepted by S&amp;R team as a fix) will be put into TT vehicles affective Tuesday June 25th under a new alert to replace the already in place greasing action. (A12701048) currently the WB S&amp;R issue is contained., 20-Jun-2013 - RDAVEY - Risk changed from [no previous value] to "Green"., 19-Jun-2013 - SNOYCE1 - A12701048 raised to authorise Witte to add grease to the lock barrel, as agreed as a proven ICA by Hueseyin. Witte conducting re-work today. PCA currently under investigation., 17-Jun-2013 - SNOYCE1 - Witte in Kocaeli 18Jun13 to investigate root cause. Alert to be raised for TT ICA., 17-Jun-2013 - SNOYCE1 - Please transfer to Closures Trim., 14-Jun-2013 - UOZMEN2 - ICA Implemented By changed from [no previous value] to "MLEMOTTE". ICA Implemented Date changed from [no previous value] to 13-Jun-2013. ICA Description changed., 14-Jun-2013 - UOZMEN2 - Open</t>
  </si>
  <si>
    <t>Des</t>
  </si>
  <si>
    <t>A12703477</t>
  </si>
  <si>
    <t xml:space="preserve">C12702535 -C- (FoE only)
 </t>
  </si>
  <si>
    <t>X</t>
  </si>
  <si>
    <t xml:space="preserve"> 1) apply felt pad on lock retainer (U-Clip) / 
2) application deadener pad around the lock barrel</t>
  </si>
  <si>
    <t>PCA: improve retainer plate retention force ( U-Clip)</t>
  </si>
  <si>
    <t>yellow</t>
  </si>
  <si>
    <t xml:space="preserve">Safe vin#71052 &amp; 71070 </t>
  </si>
  <si>
    <t>Davey, Rob (R.E.) &lt;rdavey@ford.com&gt; (D&amp;R)</t>
  </si>
  <si>
    <t>Rob Davey</t>
  </si>
  <si>
    <t>C</t>
  </si>
  <si>
    <t>R</t>
  </si>
  <si>
    <t>G</t>
  </si>
  <si>
    <t>CCB Back panel rattle on door slam + on dynamic
-Back panel air extractor flaps rattle to bezel
Missing parts: Air extractors are without inner and outer NVH cover</t>
  </si>
  <si>
    <t>30-Jul-2013 - CCIGTEKI - Pending Fix Point Date: 30-Sep-2013, Fix Point Phase: PP, Fix Point VIN: 71034 - 71034 and 82540 are safe VIN, pended per Luke Sanham's comments., 29-Jul-2013 - CCIGTEKI - System changed from "6 Climate Control" to "1C Exterior Trim and Ornamentation"., 26-Jul-2013 - LSANHAM - 71069 is safe VIN &amp; Signed off in T&amp;F this morning. Please close the issue. Also, 71034 and 82540 are the next 2 safe VINs., 26-Jul-2013 - SARNOL28 - Moved to interior upon request of P.Gaskin in AIMs 25/7/13, 25-Jul-2013 - GKLEBER1 - Open - Issue is still ongoing on Kocaeli TT builds, as stated by D. Yurdakurban on 23-JULY in AIMS 3321173 (duplicate issue that has been closed out to this AIMS), 22-Jul-2013 - SWEBB71 - Pending Fix Point Date: 30-Sep-2013, Fix Point Phase: PP - Concern C12656058. Concern is at C status and released. See below., 22-Jul-2013 - SWEBB71 - Permanent Corrective Action is to add weld studs onto back panel and clip the NVH cover onto these. This is released on Concern C12656058. Concern is at C status and released. First builds are available with this fix see VIN 71069. Please change to Pending., 22-Jul-2013 - LSANHAM - This NVH was applied using double sided tapes (A12702407). This has now been superseded by A12709664 which allows the use of silicon to stick the NVH to the back panel. The production intent will be using weld studs and plastic Nuts. Safe VIN for this is 71069. Please see attached CAD snapshot., 22-Jul-2013 - CLUND - System changed from "1C Exterior Trim and Ornamentation" to "6 Climate Control"., 18-Jul-2013 - DYURDAKU - ICA Implemented By changed from [no previous value] to "BGUNES2". ICA Implemented Date changed from [no previous value] to 01-Jan-2020. ICA Description changed., 18-Jul-2013 - DYURDAKU - Open</t>
  </si>
  <si>
    <t>A12702407 (inner)
A12702398 (outer)</t>
  </si>
  <si>
    <t>C12656058 -C- (FoE &amp; FNA)</t>
  </si>
  <si>
    <t>all PP builds will be fitted with the new level back panel and NVH which are both released</t>
  </si>
  <si>
    <t>all TT builds will be fitted with the new level back panel and NVH which are both released</t>
  </si>
  <si>
    <t>n/a</t>
  </si>
  <si>
    <t>PCA: introduction of extractor vent covers for CCB P1a.</t>
  </si>
  <si>
    <t>green</t>
  </si>
  <si>
    <t>issue has been assessed with NVH cover in Dunton as MDI by Nick Mason,
parts due in on July 1st (inner) &amp; 21st July (outer); Safe vin#: 71069; 71034; 82540</t>
  </si>
  <si>
    <t>Erol Günes</t>
  </si>
  <si>
    <t>Arnold, Simon
Erol Günes</t>
  </si>
  <si>
    <t/>
  </si>
  <si>
    <t>2B</t>
  </si>
  <si>
    <t>front driver seat  tick stick noise @ forwards/backwards
-driver seat track mechanism creates tick stick noise @ forwards/backwards (old aim 3190823)</t>
  </si>
  <si>
    <t>closed</t>
  </si>
  <si>
    <t>05-Aug-2013 - IBROWN2 - Closed Validated by: Brown, Ian (IBROWN2) - Discussed at tech Review 2nd Aug. Agreed as PQR =No, TGW=No. Closed, 12-Jul-2013 - GKLEBER1 - FNA Assessment provided by Roselyn McKay: PQR = Yes, TGW = 0.5, 09-Jul-2013 - IBROWN2 - Pending "Awaiting MDI Quality Assessment", 09-Jul-2013 - ADATYAL - Issue Type changed from "Design" to "Meets Design Intent"., 08-Jul-2013 - GBARKE34 - Issue is proposed as MDI, please find 6Q's &amp; answers below 1)What Design/Attribute Requirement(s) are being met (be specific, include reference number and specific requirement(s) being met? ST-0009- Seat system vibration durability: At 75,000 miles, with 50th percentile manikin, Buzz, Squeak and Rattle assessment conducted on MB Dynamics BSR rig using drive files supplied by Ford Cologne, for Belgian Blocks, Cobblestones etc ST-0039- Manual seat adjuster life cycle: At 5,000 cycles with 95-th percentile male manikin, Seats must not exhibit any abnormal noises during extreme temperature operation. 2) What is the requirement value? ST-0009- Post-test subjective evaluation of fore/aft movement of 2W seat had no objectionable noise (DV test 15.Aug.12, table 5) ST-0039- No abnormal or excessive noises heard during the test (DV test 07.feb.12) 3) What is the measured / evaluated data associated with the issue (include software release version for software related issues)? Attach data from the vehicle on which the issue was raised showing that the concern meets the Design/Attribute Requirement(s), and if applicable, a photo from the vehicle with the Meets Design Intent (MDI) concern. - Video attached to AIMS 2/7/13 4) If carry over content for the vehicle line, what is the current quality TGW or R/1000 information for each region affected: - FNA: - FSAO: - FoE: - FAPA: - Quality teams to provide Projected TGW data for FOE &amp; FNA 5) If new content or technology to the vehicle line or region/market, what is benchmarking or surrogate quality information (TGW and/or R/1000 from surrogate vehicle line or application) for each region affected: - FNA: - FSAO: - FoE: - FAPA: - NA 6) What PD Functional Manager and affected Attribute Manager (if applicable) has reviewed and approved as MDI (Name, CDSID for each individual) Excerpt from Karsten Papendick email 8/7/13 “I approve this functional sound as MDI” Name- Karsten Papendick CDSID- kpapendi, 06-Jul-2013 - P-ALEX25 - Trialled with alternative greased as per JCI suggestion (Kemal Cat Turkyilmaz, Paul Alexander (Magna) &amp; Hitesh Patel (FMC PD)). No discernible difference in noise from bearings. If track moved slowly, then noise minimal. If cycled back and forward quickly (not a usage profile) then can be heard. Review with Hueseyin Oezturk on Monday (FMC S&amp;R). As track is c/o V362, please MDI., 06-Jul-2013 - P-ALEX25 - Grease received into Magna this morning (finally released from Customs). Structures without grease to be delivered by JCI to Magna plant Saturday for trial. Awaiting results of trial., 04-Jul-2013 - P-ALEX25 - New grease is stuck in customs. As soon as received, the trial can take place. Estimated by 10 JUL., 29-Jun-2013 - IPORTER - Get JCI/Magna commitment for Tuesday response for extra grease. If doesn't resolve the issue then MDI as c/o V362, 28-Jun-2013 - ADATYAL - JCI/Magna advised to provide details on track/ bearings greasing process and also conduct trial with extra greese on tracks/bearingd as a fix for this issue., 28-Jun-2013 - EYAZICI - Issue Type changed from "Supplier Quality" to "Design"., 28-Jun-2013 - EYAZICI - As attached one-pager and G8D reports state there is nothing wrong with SQ. Aims has to be removed from SQ, since issue is MDI. Design team should chase next step., 27-Jun-2013 - P-ALEX25 - One pager from JCI to support the proposition that issue is MDI., 27-Jun-2 ... (Status info truncated)</t>
  </si>
  <si>
    <t>SAQ2013260856 
193891</t>
  </si>
  <si>
    <t>MDI - under review</t>
  </si>
  <si>
    <t>MDI - under review, expected TGW 0.5.</t>
  </si>
  <si>
    <t>02.08 Discussed at tech Review 2nd Aug. Agreed as PQR =No, TGW=No. Closed as MDI</t>
  </si>
  <si>
    <t xml:space="preserve"> c/o V362 tracks, 
</t>
  </si>
  <si>
    <t>Remzi.Altunsoy@magna.com; Serdar.Eren@magna.com; Merve.Onay@magna.com (Supplier)
; Datyal, Amit (A.) &lt;adatyal@ford.com&gt; (D&amp;R)</t>
  </si>
  <si>
    <t>Barker, Glenn (G.) &lt;gbarke34@ford.com&gt;</t>
  </si>
  <si>
    <t>2C</t>
  </si>
  <si>
    <t>sun visor rattle @ dynamic test
-LH/RH sun visor has freeplay (V-gap) to OHC, it occurs flap/rattle noise while dynamic
 - RHS visor shows slight touch at outboard, gap at inboard.
 - LHS visor shows no touch at outboard, and considerable gap at inboard.
ICA: add felt tape between OHC and sunvisor</t>
  </si>
  <si>
    <t>01-Aug-2013 - CCIGTEKI - Pending Fix Point Date: 06-Aug-2013, Fix Point Phase: TT, Fix Point VIN: Not Specified - FP date past due, please update the issue, 17-Jun-2013 - IAKKARPU - Pending Fix Point Date: 20-Jul-2013, Fix Point Phase: TT - 8D attached. Issue to be corrected on 20-Jul., 14-Jun-2013 - CCIGTEKI - ICA Description changed., 14-Jun-2013 - IAKKARPU - Supplier has been notified about the issue as they are expected to contain it with G8D#193718 raised against them., 12-Jun-2013 - MSAHIN12 - pivot bar is white tooled and supplier needs to tune interface that "pivot bar" fits better/stronger to "foot part" to resolve freeplay issue., 12-Jun-2013 - UOZMEN2 - ICA Implemented By changed from [no previous value] to "IAKKARPU". ICA Implemented Date changed from [no previous value] to 01-Jan-2020. ICA Description changed., 12-Jun-2013 - UOZMEN2 - Open</t>
  </si>
  <si>
    <t>Sup Q</t>
  </si>
  <si>
    <t>A12703271
A12706598</t>
  </si>
  <si>
    <t>193718
C12703271 -A- (FoE &amp; FNA)</t>
  </si>
  <si>
    <t>ICA :add foam to reworked sunvisor and sunvisor cap</t>
  </si>
  <si>
    <t>PCA: solve Sup Q issue on Sunvisor, improve Design issue (screw fix) on sunvisor pivot point</t>
  </si>
  <si>
    <t>22.07.2013: Plant rejected the delivered parts since they are not reflecting the corrective actions. Today, stock parts are OK. Autotrim will update all vehicles built already.</t>
  </si>
  <si>
    <t xml:space="preserve">Manuf. Eng'g/ Managers:
Ayten, Murat (M.) mayten@ford.com
Yildirim, Naim (N.) nyildiri@ford.com.tr
Gultekin, Tolga (T.) &lt;tgulteki@ford.com.tr&gt;
</t>
  </si>
  <si>
    <t>Sahin, Mehmet (Meh.) &lt;msahin12@ford.com&gt;; gpaksoy</t>
  </si>
  <si>
    <t>B</t>
  </si>
  <si>
    <t>B-Pillar rattle @ door slam
-Alarm horn bracket on B-pillar rattling to SM</t>
  </si>
  <si>
    <t>27-Jun-2013 - PALLE101 - Pending Fix Point Date: 13-Sep-2013, Fix Point Phase: PP - issue will be resolved under concern C12704944, 27-Jun-2013 - AJOHN485 - Manoj Vaidya to raise a concern to kick off design change., 24-Jun-2013 - AJOHN485 - No vehicle available over weekend to trial PCA 'washer' concept. Follow up today to trial and arrival of FIAMM and engineer in plant tomorrow to further discuss PCA proposals., 21-Jun-2013 - AJOHN485 - Plan to trial PCA concept today in Ford Otosan (metal washer between bracket and body panel). Still awaiting support plan from FIAMM engineers on other PCA proposals and immediate plant support., 19-Jun-2013 - AJOHN485 - Manoj Vaidya to confirm FIAMM PCA and provide concern number., 17-Jun-2013 - AJOHN485 - A12700366 raised to allow rework of TT stock with foam pad as ICA (reworks now complete). Manoj Vaidya and FIAMM to confirm PCA and provide concern number., 17-Jun-2013 - UOZMEN2 - ICA Implemented By changed from [no previous value] to "MVAIDYA6". ICA Implemented Date changed from [no previous value] to 15-Jun-2013. ICA Description changed., 17-Jun-2013 - UOZMEN2 - PCA Implemented By changed from [no previous value] to "MVAIDYA6". PCA Implemented Date changed from [no previous value] to 01-Jan-2020. PCA Description changed., 17-Jun-2013 - UOZMEN2 - Open</t>
  </si>
  <si>
    <t xml:space="preserve">A12700366 </t>
  </si>
  <si>
    <t xml:space="preserve">C12704944 -C- (FoE only)
</t>
  </si>
  <si>
    <t>ICA: apply foam washer on alarm bracket</t>
  </si>
  <si>
    <t>PCA:new design has been evaluated S&amp;R is OK</t>
  </si>
  <si>
    <t>evaluation on TT several TT units S&amp;R ok</t>
  </si>
  <si>
    <t>Vaidya, Manoj (M.) &lt;mvaidya6@ford.com&gt; (D&amp;R)</t>
  </si>
  <si>
    <t>Johnson, Alex (A.) &lt;ajohn485@ford.com&gt;</t>
  </si>
  <si>
    <t xml:space="preserve">dualco cushion squeak noise while loading
-Dual co wide cushion front corner movement causes 
squeak noise while loading. </t>
  </si>
  <si>
    <t>01-Aug-2013 - P-ALEX25 - Confirmation from Umur that issue acceptable: Dear All, Yesterday we have conducted the S&amp;R static and dynamic evaluation for the dualco seat issues. According to the evaluation, the improvement on the seats have a positive effect on the S&amp;R performance. The noise level is reduced but not completely solved. There is still a low level risk for the sensitive customers. Regards ------------------------------------------------- Umut Mustafa Özcan Product Development Engineer, M.Sc. Vehicle NVH Squeak &amp; Rattle, 01-Aug-2013 - P-ALEX25 - Awaiting closure statement from Umut Mustafa Özcan (FO S&amp;R)., 31-Jul-2013 - IAKKARPU - Pending Fix Point Date: 31-Aug-2013, Fix Point Phase: PP - Fix Point Date of this particular issue is delayed to 31-Aug unless it will be fully resolved by Magna., 23-Jul-2013 - P-ALEX25 - 2x modified seats to be sent for S&amp;R evaluation on 4 poster either later today or tomorrow (24 JUL). Evaluated on Magna shaker rig and no issues found. Awaiting results of 4-poster test.., 11-Jul-2013 - EYAZICI - Pending Fix Point Date: 19-Jul-2013, Fix Point Phase: TT - Parts availaable for trial next week. New FP 19 JUL, 04-Jul-2013 - P-ALEX25 - Sample of PCA frame has been built. To be tested for S&amp;R at Magna and JCI. Results by 12 JUL., 27-Jun-2013 - EYAZICI - Pending Fix Point Date: 04-Jul-2013, Fix Point Phase: TT - Please see attached G8D report, 25-Jun-2013 - P-ALEX25 - ICA# 128 implemented. See detail attached. PCA timing to be confirmed by Friday., 24-Jun-2013 - EYAZICI - Supplier has been notified via SRI. G8D has been raised against supplier. G8D number: 194036, 21-Jun-2013 - UOZMEN2 - ICA Implemented By changed from [no previous value] to "EYAZICI". ICA Implemented Date changed from [no previous value] to 14-Jun-2013. ICA Description changed., 21-Jun-2013 - UOZMEN2 - PCA Implemented By changed from [no previous value] to "EYAZICI". PCA Implemented Date changed from [no previous value] to 01-Jan-2020. PCA Description changed., 21-Jun-2013 - UOZMEN2 - Open</t>
  </si>
  <si>
    <t>A12700517</t>
  </si>
  <si>
    <t>AIMS PCA Fixed Point Date: 31st Aug 2013.</t>
  </si>
  <si>
    <t>N/A Dual Co Seat not available in FNA</t>
  </si>
  <si>
    <t xml:space="preserve">ICA: Add adhesive pad on cushion frame </t>
  </si>
  <si>
    <t>PCA: increase the height of the bumpstops; S&amp;R team to evaluate</t>
  </si>
  <si>
    <t>STA team to arrange vehicles.
Last tested sample seats S&amp;R NOK, awaiting for further improvements</t>
  </si>
  <si>
    <t xml:space="preserve">Remzi.Altunsoy@magna.com; Serdar.Eren@magna.com; Merve.Onay@magna.com (Supplier)
</t>
  </si>
  <si>
    <t>Amit Datyal (ADATYAL), Glenn Barker (GBARKE34)
eyazici</t>
  </si>
  <si>
    <t>1C</t>
  </si>
  <si>
    <t>Engine hood rattle noise
-Engine hood  air intake vs. hood SM rattle noise @ dynamic test</t>
  </si>
  <si>
    <t>31-Jul-2013 - IAKKARPU - Pending Fix Point Date: 31-Aug-2013, Fix Point Phase: PP, Fix Point VIN: Not Specified - Fix Point Date is revised., 24-Jul-2013 - YOZANSO2 - LHD latest level parts will be ready on thursday (25/07). RHD latest level parts will be ready on monday (29/07)., 26-Jun-2013 - GREYNO37 - Fine tuning of the hood grille retaining clips to be captured in Concern C12703124, 17-Jun-2013 - YOZANSO2 - Pending Fix Point Date: 22-Jul-2013, Fix Point Phase: TT - S&amp;R issue solved on the latest level part.( grained ). ICA ýmplemented and approved by Team. Retainers angles will be fine tuned. AIMS will be followed by pending status till to 22.07.2013 due to PCA defined., 14-Jun-2013 - UOZMEN2 - ICA Implemented By changed from [no previous value] to "YOZANSO2". ICA Implemented Date changed from [no previous value] to 14-Jun-2013. ICA Description changed., 14-Jun-2013 - UOZMEN2 - PCA Implemented By changed from [no previous value] to "YOZANSO2". PCA Implemented Date changed from [no previous value] to 29-Jun-2013. PCA Description changed., 14-Jun-2013 - UOZMEN2 - Open</t>
  </si>
  <si>
    <t xml:space="preserve">C12703124 -C- (FoE &amp; FNA)
193683
</t>
  </si>
  <si>
    <t>ICA: apply double layer felt tape to eliminate the free play between hood and air intake plastic frame</t>
  </si>
  <si>
    <t>PCA:modify duct fixing slots to allow for adwerse body tolerances
-add to more ribs as a locater on either side</t>
  </si>
  <si>
    <t xml:space="preserve">19.07 Felt application should be applied, but not observed. </t>
  </si>
  <si>
    <t>Ozansoy, Yildirim (Y.) &lt;yozansoy@ford.com.tr&gt;
Gaery Reynolds</t>
  </si>
  <si>
    <t>1A</t>
  </si>
  <si>
    <t>RH B-pillar knock in upper area on twist
-B-pillar body tick in top roof, outer and inner sheet metal joint</t>
  </si>
  <si>
    <t>18-Jul-2013 - IAKKARPU - Closed Validated by: Akkarpuz, Ihsan (IAKKARPU) - Please have a look at the CMM reports in attachment which paves the way for closure of this item., 02-Jul-2013 - AGOYUNC1 - Pending Fix Point Date: 10-Jul-2013, Fix Point Phase: TT - Supplier updated laser cutting programm, but don't attach CMM report, waiting correct part CMM report , issue is pending till 10.July.2013, 02-Jul-2013 - AGOYUNC1 - Updated G8D is attached, but waiting revised laser program after shipment parts CMM report. Issue is pending status, till 10.July.2013, 30-Jun-2013 - AGOYUNC1 - As I wrote that problem last week e-mail, supplier know that problem, they must be fill G8D asap. Than produce correct trim line parts and shipment. See attached e-mail &amp; CMM reports., 30-Jun-2013 - AGOYUNC1 - Supplier has been notified via SRI. G8D has been raised against supplier. G8D number:194263, 30-Jun-2013 - AGOYUNC1 - Part nr are wrong, correct parts nr. are there; BK31-H28176/7-A*, 28-Jun-2013 - TDILAVER - Issue Type changed from "Manufacturing" to "Supplier Quality"., 25-Jun-2013 - CCORLU - Additionally part quality is out of tolerances, check inner a pillar part dimensional report in the attached file. Please bin it to the supplier quality with alert numbers, rework sheet required., 23-Jun-2013 - CCORLU - As ICA putty applied through the part gaps, Vin no 71049 to track after vehcicle drops down to assy line and do the S&amp;R test. See attached, 18-Jun-2013 - TDILAVER - please add pictures, mp4 files can not be openned., 13-Jun-2013 - UOZMEN2 - Open</t>
  </si>
  <si>
    <t>ICA: rework B-Pillar trim edge to achieve nominal dimensions</t>
  </si>
  <si>
    <t>PCA: improve part quality; approved 8D</t>
  </si>
  <si>
    <t>Gunes, Erol (E.) &lt;egunes1@ford.com&gt; (D&amp;R)
Corlu, Cenk (C.) &lt;CCORLU@ford.com.tr&gt; ( Manuf.)</t>
  </si>
  <si>
    <t>Dave Weir (DWEIR13)
Erol Günes
agoyunc</t>
  </si>
  <si>
    <t>Mirror has freeplay on the hinge, generating rattle @door slam and dynamic test</t>
  </si>
  <si>
    <t>16-Jul-2013 - CCIGTEKI - ICA Description changed., 10-Jul-2013 - YOZANSO2 - Pending Fix Point Date: 29-Aug-2013, Fix Point Phase: PP - RC:One or more of the variable has been choosen not suitable (Screw, hole diameter, torque value) ICA:In order to avoid looseness of screws, assembly will be done with using loctite. PCA:- screw will be changed. New design screw thread is avoid loossenes of the screw. we are waiting information from screw supplier, they will evaluate the possibilty to solve this problem just change screw type. They can modeling with all the data and say us the risk. Fix Point Date: 29.08.2013. team agreed AIMS pended till to PCA implemented. Colin Dimmcock advise: corrected part to be tried on teh vehicle as S&amp;R test by Hueseyin Oeztuerk., 06-Jul-2013 - YOZANSO2 - G8D completed till to D4. ICA done. PCA will be defined in G8D according to attachment solution.( target 09.07.2013 ) related technical info defined in attachment., 01-Jul-2013 - YOZANSO2 - ICA not possible to do here.below parts related power folded parts will be reworked in ficosa. BK31 17682/83 GEW/HEW/SEW/REW/LEW/YEW. PCA: fixing bolts to be not loosed during the vehicle usage. robust g8d will be completed 04.07.2013., 28-Jun-2013 - YOZANSO2 - ICA: completed,4 loose parts found as rejected from stock. PCA: rejected mirrors will be investigated to find robust RC and PCA. ( target: 30.06.2013 ), 24-Jun-2013 - YOZANSO2 - G8D194027 has been opened against to supplier. ICA: fýcosa will sort the loose part using with their c/f in plant. PCA: Guliz Gokce will supply problematic part from VIN 71048,then ficosa will define robust Root Cause and PCA., 21-Jun-2013 - UOZMEN2 - ICA Implemented By changed from [no previous value] to "YOZANSO2". ICA Implemented Date changed from [no previous value] to 01-Jan-2020. ICA Description changed., 21-Jun-2013 - UOZMEN2 - Open</t>
  </si>
  <si>
    <t>ICA : Rework, use Loctite, intro</t>
  </si>
  <si>
    <t xml:space="preserve">PCA : change screw type </t>
  </si>
  <si>
    <t>05/07 at supplier due 29/08
Waiting 8D completion For 8D
completion 29.08.2013</t>
  </si>
  <si>
    <t>Emilio Talaya Soto (ETALAYA2)</t>
  </si>
  <si>
    <t>A-Pillar body creak in IP height, the affected bracket is common with CCB/VBK, (Front door hinge area)</t>
  </si>
  <si>
    <t>20-Jul-2013 - TDILAVER - Closed Validated by: Sanham, Luke (LSANHAM) - Issue is closed after agreemennt with Luke Sanham, 20-Jul-2013 - TDILAVER - Pending Fix Point Phase: TT, 10-Jul-2013 - RHUCKSTE - Please provide clear direction on what exactly is creaking as per request from D.Weir. Chart still shows this was only on 1 vehicle., 10-Jul-2013 - HOEZTU11 - vin #71073, 06-Jul-2013 - CCIGTEKI - Huseyin to provide vehicle number to be reviewed by Paul Macnamarra and Tayfun Dilaver, 04-Jul-2013 - DWEIR13 - The attached photo does not explain the issue, is there a video showing where the sound is coming from ? Also is this a 1 off or found on all vehicles tested., 28-Jun-2013 - TDILAVER - please give part number or better picture., 26-Jun-2013 - UOZMEN2 - ICA Implemented By changed from [no previous value] to "TDILAVER". ICA Implemented Date changed from [no previous value] to 01-Jan-2020. ICA Description changed., 26-Jun-2013 - UOZMEN2 - Open</t>
  </si>
  <si>
    <t>Man</t>
  </si>
  <si>
    <t>NO INFORMATION</t>
  </si>
  <si>
    <t>FNA Mfg comment req'd.</t>
  </si>
  <si>
    <t>Body const. OK; D&amp;R needs to check measurements report of the fixtures will be attached by Dilek 
one-off no further reoccurrence, closure agreed</t>
  </si>
  <si>
    <t xml:space="preserve">safe VIN# 71022; </t>
  </si>
  <si>
    <t>Gunes, Erol (E.) &lt;egunes1@ford.com&gt; (D&amp;R)</t>
  </si>
  <si>
    <t>Tayfun Dilaver (TDILAVER), 
Dave Weir</t>
  </si>
  <si>
    <t>1BE</t>
  </si>
  <si>
    <t xml:space="preserve">rhd front door glass run seal squeaks while up and down
</t>
  </si>
  <si>
    <t>31-Jul-2013 - JFLOREN3 - Issue also seen on FNA low roof units, need to address Low roof in CR as well., 27-Jul-2013 - CYORE - Pending Fix Point Date: 16-Sep-2013, Fix Point Phase: PP, Fix Point VIN: Not Specified - A-status CR C12707356 linked to this issue per AIMS review today. CR set to Pending., 26-Jul-2013 - IPANAYO2 - Added glass seal criteria and interference prints provided by supplier. Please review dimentions for further inspections. Hem to glass dim is 6.8mm., 25-Jul-2013 - SNOYCE1 - None of today's 5 vehicles in the VP area have the issue. On the only vehicle found with glass squeak, the noise disappeared whilst investigating. All sign off vehicles are being checked daily. 3 previous vehicles in sign off were identified, but when we returned to strip down and investigate, the noise no longer existed. Expected inside lip modification required to make seal more robust, but trials essential before confirming decision. Only LH doors have had the squeak and vehicles in the sun have not had the noise. Rob Davey will request measuring reports of divider bar and glass to compare RH to LH., 20-Jul-2013 - SNOYCE1 - Further trials on 71088 indicated that the squeak directly comes from the glass run seal contact to the glass at the waist caused by excessive force of the seal lips. In basic summary, the inside lower lip was removed and this eliminated the squeak. However, this increased the tendancy of the outside lip to flip as the glass was allowed to move inboard. Jim Bailey to speak again with Saargummi on Monday to clarify actions to be taken. A lubricant spray used for the same issue on V362 will be trailled on Monday for a potential ICA., 19-Jul-2013 - GKURTOGL - Issue Type changed from "Manufacturing" to "Design"., 19-Jul-2013 - GKURTOGL - As a Sean Noyce mentioned it is not a T&amp;F manuf. issue. Temparature changing effect just can be eliminate by changing the metarial. Issue is needed to be change as a design issue., 17-Jul-2013 - SNOYCE1 - The issue was raised from vehicle number 71048 and was tested by Hueseyin on 14th June. Therefore it is a very early TT vehicle and will have the poor sheet metal clinching. However, Umut and myself tested the vehicle yesterday and the noise was gone both in the sun and later in the cooler FCPA area. This was a VoCF vehicle and has clocked up many thousand KM. Maybe constant usage has eliminated this noise. There was vehicle this morning, 71088, which Umut again heard the squeak noise when the window was lowered. But yet again, when we reviewed it this afternoon the noise had disappeared. The only explainable difference was the temperature. This morning the Van was inside and this afternoon’s test was outside. Therefore, Umut will drive this vehicle into the S&amp;R chamber later to cool it down to see if we can replicate the noise., 16-Jul-2013 - RDAVEY - As stated below, the T&amp;F build quality is improving. There has been no vehicle produced in the last 2 weeks that has shown a S&amp;R issue on the Glass Run Seal. There is no Design change planned, or ICA action being issued from PD Closures Design. The agreement with Hueseyin Oeztuerk, was that we put this to Pending until July 19th. If no vehicle ater that date was found to have an issue he would close due to improving ManuF Build Quality. I have re-binned to Manufacturing T&amp;F Quality, and attched a ppt showing the contributing Clinch flange which has now greatly improved. It is now a case of the T&amp;F line getting used to fitting this very complicated seal., 16-Jul-2013 - RDAVEY - Issue Type changed from "Design" to "Manufacturing"., 16-Jul-2013 - SNOYCE1 - The vehicle on the Paynter chart which produced the noise was found today from the VoCF and was tested at ambient temperature. There was no squeak noise from raising or lowering the glass. Tomorrow morning we will put the vehicle in the S&amp;R chamber and test at a cooler temp., ... (Status info truncated)</t>
  </si>
  <si>
    <t>A12714773</t>
  </si>
  <si>
    <t>C12707356 -C- (FoE only)</t>
  </si>
  <si>
    <t xml:space="preserve">rework upper lip acc. V362 (lessons learned); parts to current level but w/o psw
</t>
  </si>
  <si>
    <t xml:space="preserve">Reinforce cosmetic lip by adding material on the back side all along the shotmould 
</t>
  </si>
  <si>
    <t>Manuf Eng'g: Mehru Celikdelen Dogan, Eren Edikkaya</t>
  </si>
  <si>
    <t>LH/RH front door BSM rattle on door slam vs. sheet metal and wheel arch moulding</t>
  </si>
  <si>
    <t>25-Jul-2013 - YOZANSO2 - ICA/ALERT/PCA Informations defined in attachment., 01-Jul-2013 - YOZANSO2 - Pending Fix Point Date: 25-Sep-2013, Fix Point Phase: PP - g8d accepted., 26-Jun-2013 - YOZANSO2 - G8D 194129 has been opened against to supplier,however issue seen as design issue., 21-Jun-2013 - UOZMEN2 - ICA Implemented By changed from [no previous value] to "YOZANSO2". ICA Implemented Date changed from [no previous value] to 01-Jan-2020. ICA Description changed., 21-Jun-2013 - UOZMEN2 - Open</t>
  </si>
  <si>
    <t>add foam</t>
  </si>
  <si>
    <t>- BSM on door front: additional ribs to touch body along
upper and lower area
 - BSM on wheel arch: Added support rıbs wıth 0.5 mm interferences
on the below lıne; additional fixing upper area</t>
  </si>
  <si>
    <t xml:space="preserve">19.07 Guliz Gokce mentioned that these parts are old version. Erhan Tapo mentioned that they have changed them with the latest version.
</t>
  </si>
  <si>
    <t>Dave Argent (DARGENT4)</t>
  </si>
  <si>
    <t>SLD oil canning on slam + rattle on slam and dynamic-Inner structure is not attached to outer sheet metal causing oil canning noise and inner structure is rattling to outer sheet metal 
(old aim 3247869)</t>
  </si>
  <si>
    <t>31-Jul-2013 - SPATEL3 - Pending Fix Point Date: 30-Aug-2013, Fix Point Phase: PP, 06-Jul-2013 - EDIKKAYA - Pending Fix Point Date: 15-Jul-2013, Fix Point Phase: TT - Pend as discussed., 03-Jul-2013 - DSEZGIN1 - Rework sheet for current Transit attached., 30-Jun-2013 - HOEZTU11 - Please could you add an evidence that you are applying improved sealer application (i.e. alert or CR#?), 29-Jun-2013 - IPORTER - Improved sealer application now in place. Pend until 15/7 to confirm no reoccurence., 19-Jun-2013 - EUSLU1 - ICA Implemented By changed from [no previous value] to "EDIKKAYA". ICA Implemented Date changed from [no previous value] to 01-Jan-2020. ICA Description changed., 19-Jun-2013 - EUSLU1 - Open</t>
  </si>
  <si>
    <t>PP date for PCA
New types of seals will be the PCA application</t>
  </si>
  <si>
    <t>NA</t>
  </si>
  <si>
    <t xml:space="preserve"> apply Air-drying anti-flutter</t>
  </si>
  <si>
    <t xml:space="preserve"> Improved sealer application </t>
  </si>
  <si>
    <t>Rework sheet for current Transit attached</t>
  </si>
  <si>
    <t xml:space="preserve">Manuf Eng'g: Mehru Celikdelen Dogan, Eren Edikkaya, Cenk Corlu
Ayten, Murat (M.) mayten@ford.com
Yildirim, Naim (N.) nyildiri@ford.com.tr
Gultekin, Tolga (T.) &lt;tgulteki@ford.com.tr&gt;
</t>
  </si>
  <si>
    <t xml:space="preserve">Eren Dikkaya 
Engin Yilmazer </t>
  </si>
  <si>
    <t>(RCD) Cargo door oil canning on slam-Inner structure is not attached to outer sheet metal causing oil canning noise on slam
(old aim 3247873)</t>
  </si>
  <si>
    <t>apply Air-drying anti-flutter</t>
  </si>
  <si>
    <t>reworksheet attached</t>
  </si>
  <si>
    <t>Cenk CORLU</t>
  </si>
  <si>
    <t xml:space="preserve">Cargo area oil canning on door slam and sheet metal drumming on dynamic-None of the inner structures in the cargo area are attached to the outer sheet metal. 
(RH/ LH side outer sheet metal between C-pillar and D pillar upper area is not attached to the inner structure old aim 3247888) </t>
  </si>
  <si>
    <t>31-Jul-2013 - SPATEL3 - Pending Fix Point Date: 30-Aug-2013, Fix Point Phase: PP, 08-Jul-2013 - EDIKKAYA - Pending Fix Point Date: 31-Jul-2013, Fix Point Phase: TT - Re-work sheet attached as an ICA., 05-Jul-2013 - TDILAVER - System changed from "1A BIW / Structures" to "1B Closures / Hardware"., 03-Jul-2013 - DSEZGIN1 - rework sheet attached, 03-Jul-2013 - HOEZTU11 - Open - As there is no ICA solution on TT vehicle, aims re-opened again, 20-Jun-2013 - BENDACOT - Pending Duplicate Issue ID: 3247888 - AIMS is duplicate of 3247888. Suggest that this old AIMS is re-opened from Pending., 19-Jun-2013 - UOZMEN2 - ICA Implemented By changed from [no previous value] to "TDILAVER". ICA Implemented Date changed from [no previous value] to 01-Jan-2020. ICA Description changed., 19-Jun-2013 - UOZMEN2 - Open</t>
  </si>
  <si>
    <t>PP date for PCA
Thickness increase for the sealer application</t>
  </si>
  <si>
    <t>FNA Mfg process expected to prevail.</t>
  </si>
  <si>
    <t>tbe</t>
  </si>
  <si>
    <t>reworksheet attached; gap according D&amp;R is 4mm, the units does have 15mm
Tech review discussion is requested from Manuf side</t>
  </si>
  <si>
    <t>Cenk CORLU
Tony Farrant</t>
  </si>
  <si>
    <t>LH + RH C-pillar croak during dynamic-Metal C-pillar has contact with the flange that connects the roof to the side panel. The flange is moving on the pillar causing a croak noise (old aim 3253685)</t>
  </si>
  <si>
    <t>23-Jul-2013 - BENDACOT - Pending Fix Point Date: 30-Aug-2013, Fix Point Phase: PP - C12713371 will extend tapes to prevent sheet metal contact. AIMS moved to pending., 22-Jul-2013 - BENDACOT - Revised CAD models given to Durability CAE to run analysis to understand if enlarged structural tape causes any issues. Estimated timing for result 24/7., 20-Jul-2013 - AIRSHAD3 - Tayfun to confirm VIN numbers with additional sealer tapes and proper design gaps to test and confirm the design solution, 19-Jul-2013 - DYURDAKU - The S&amp;R issue is present on the vehicles where the bracket is in the correct position as discused in the AIMS meeting. Issue changed to design to add tape to upper area., 19-Jul-2013 - DYURDAKU - Issue Type changed from "Manufacturing" to "Design"., 18-Jul-2013 - AIRSHAD3 - ICA Implemented By changed from "CCORLU" to "AIRSHAD3". ICA Description changed., 17-Jul-2013 - BENDACOT - Part is clearly not in correct location and SW are burnt through so cannot be a design issue. These issues may now have been resolved which means we need to re-test an improved vehicle to confirm the issue has been resolved., 17-Jul-2013 - BENDACOT - Issue Type changed from "Design" to "Manufacturing"., 16-Jul-2013 - HOEZTU11 - Reworksheet and alert is needed, 16-Jul-2013 - HOEZTU11 - Issue Type changed from "Manufacturing" to "Design"., 15-Jul-2013 - WHEYTENS - Please re-bin to design PMT 1A, 13-Jul-2013 - DYURDAKU - Tayfun to correct new additional durability brackets in 7L fixtures, and also burnthrough on the spotwelds., 11-Jul-2013 - STEMUR - Clearance between BK31-V279E10 and BK31-V32290 is not enough - please check attached ppt.Need to be re-binned to Design, 09-Jul-2013 - OKURT2 - Issue Type changed from "Design" to "Manufacturing"., 09-Jul-2013 - RCATTON - Locator concept discussed and agreed with Marc Picciano and conveyed to Tayfun Dilaver, who will check that this is being used in Bodyside sub asy in CEVA and provide photos. Please also reference AIMS #3343648 that has been raised against this part for poor build quality, 08-Jul-2013 - RCATTON - Outcome of meeting on 8th July, Tayfun to discuss with Hueseyin Oeztuerk to fully understand what is causing this squeak and rattle. Richard Catton to discuss with Marc Picciano locator concept for Capping bridge, 05-Jul-2013 - TDILAVER - there is no 4mm design gap on part. Calculating part thickness in some areas, there are less than 3 mm design gaps., 05-Jul-2013 - TDILAVER - Issue Type changed from "Manufacturing" to "Design"., 26-Jun-2013 - UOZMEN2 - ICA Implemented By changed from [no previous value] to "CCORLU". ICA Implemented Date changed from [no previous value] to 01-Jan-2020. ICA Description changed., 26-Jun-2013 - UOZMEN2 - Open</t>
  </si>
  <si>
    <t xml:space="preserve">A12711491 </t>
  </si>
  <si>
    <t>C12713371 -C- (FoE &amp; FNA)</t>
  </si>
  <si>
    <t>Structures to confirm PCA Fixed Point Date for FNA by 14.00 Turkish, 12.00 UK 02-Aug-2013.</t>
  </si>
  <si>
    <t xml:space="preserve">apply additional sealer tapes between outer cappings and bridging bracket     </t>
  </si>
  <si>
    <t xml:space="preserve">extend sealer tapes between outer cappings and bridging bracket </t>
  </si>
  <si>
    <t xml:space="preserve">12/07 Manuf wish to move to design
ICA proposal : add sealer. Need alert and rework sheet
PCA: extend the tapes
</t>
  </si>
  <si>
    <t xml:space="preserve">Irshad, Amir (A.) &lt;airshad3@ford.com&gt; (D&amp;R)
Manuf. Eng'g/ Managers:
Ayten, Murat (M.) mayten@ford.com
Yildirim, Naim (N.) nyildiri@ford.com.tr
Gultekin, Tolga (T.) &lt;tgulteki@ford.com.tr&gt;
</t>
  </si>
  <si>
    <t>Cenk CORLU
Amir Irshad</t>
  </si>
  <si>
    <t>RCD lower latch rattle on door slam -- LH RCD lower latch claw is vibrating to the striker on door slam, causing a rattle
(old aim 3253689)</t>
  </si>
  <si>
    <t>31-Jul-2013 - SPATEL3 - Pending Fix Point Date: 30-Aug-2013, Fix Point Phase: PP, 04-Jul-2013 - CCORLU - Pending Fix Point Date: 05-Jul-2013, Fix Point Phase: TT, 23-Jun-2013 - CCORLU - For the vibration and croak issues striker alignment to the latch is the critical process. To provide ICA: - Vibration control of the RCD's while opening - corak noise while closing have been added to inspection points of pre-cal areas. Then if detected, by tuning both latch and striker in the repair area the customer would be protected. ICA no 71082 Additionally for better capability of adjustments, lacht mounting jigs should be integrated to the process by T&amp;F to reduce inline failure counts., 19-Jun-2013 - EUSLU1 - ICA Implemented By changed from [no previous value] to "CCORLU". ICA Implemented Date changed from [no previous value] to 19-Jun-2013. ICA Description changed., 19-Jun-2013 - EUSLU1 - Open</t>
  </si>
  <si>
    <t>no PCA</t>
  </si>
  <si>
    <t xml:space="preserve"> re-set RCD </t>
  </si>
  <si>
    <t xml:space="preserve"> re-set RCD ; reworksheet &amp; process improvement sheet are attached</t>
  </si>
  <si>
    <t>safe VIN# 71082 will be tested
14.08/30.07 Door settings still NOK
Manuf still do not apply any installation fixtures</t>
  </si>
  <si>
    <t>Manuf Eng'g: Mehru Celikdelen Dogan, Eren Edikkaya
Ayten, Murat (M.) mayten@ford.com
Yildirim, Naim (N.) nyildiri@ford.com.tr
Gultekin, Tolga (T.) &lt;tgulteki@ford.com.tr&gt;</t>
  </si>
  <si>
    <t>Cenk Corlu</t>
  </si>
  <si>
    <t>SLD lower rail scuff on open / close-Lower roller arm comes in contact with the lower rail causing a scuff noise and damaging the roller arm bracket
(old aim 3254494 VP)</t>
  </si>
  <si>
    <t>31-Jul-2013 - SPATEL3 - Pending Fix Point Date: 30-Aug-2013, Fix Point Phase: PP, 04-Jul-2013 - CCORLU - Pending Fix Point Date: 05-Jul-2013, Fix Point Phase: TT - For ICA, inspection point are defined in pre-cal areas to check the clash condition of lower roller to the step track which is causing noise to protect the customer. Meanwhile, for everlasting solution - C12635477 for 362 must be quickly approved and released in parallel with 363 for PCA - Aims no 3340271 must be resolved as well for PCA Because SLD setting is completely carry over from 362, same process sheet being used, but different pictures. Pictures also would turn into the 363 ones asap. ICA vin no: 71082 first VBK vehicle awaited to drop down to T&amp;F for verification, 03-Jul-2013 - DSEZGIN1 - reworksheet attached, 23-Jun-2013 - CCORLU - Design clearance is enough, rollers should be set to the doors by using jigs by T&amp;F area with proper shimming, 19-Jun-2013 - UOZMEN2 - ICA Implemented By changed from [no previous value] to "CCORLU". ICA Implemented Date changed from [no previous value] to 01-Jan-2020. ICA Description changed., 19-Jun-2013 - UOZMEN2 - Open</t>
  </si>
  <si>
    <t>C12635477 -C-</t>
  </si>
  <si>
    <t>there is another AIMS for track entry cover move up for proper clearance</t>
  </si>
  <si>
    <t xml:space="preserve"> re-set SLD</t>
  </si>
  <si>
    <t xml:space="preserve"> re-set SLD; reworksheet &amp; process improvement sheet are attached</t>
  </si>
  <si>
    <t xml:space="preserve">Tayfun Dilaver (TDILAVER), </t>
  </si>
  <si>
    <t>1AC</t>
  </si>
  <si>
    <t>D-pillar lower corner area body creak. Underfloor , rr X-member-relative movement between sheetmetal layers</t>
  </si>
  <si>
    <t>31-Jul-2013 - SPATEL3 - Pending Fix Point Date: 30-Aug-2013, Fix Point Phase: PP, 04-Jul-2013 - CCORLU - Pending Fix Point Date: 08-Jul-2013, Fix Point Phase: TT - to monitor for the next 7 unit left, 04-Jul-2013 - CCORLU - Issue seen on one vehicle. It looks spotweld is in position. We'll monitor the issue, if required additional sealer request would be done by tech review with PD. Root cause not identified yet., 20-Jun-2013 - UOZMEN2 - ICA Implemented By changed from [no previous value] to "CCORLU". ICA Implemented Date changed from [no previous value] to 01-Jan-2020. ICA Description changed., 20-Jun-2013 - UOZMEN2 - Open</t>
  </si>
  <si>
    <t>S&amp;R team to monitor 7 vehicles</t>
  </si>
  <si>
    <t>additional sealer application</t>
  </si>
  <si>
    <t>additional sealer application is proposed tech review with PD</t>
  </si>
  <si>
    <t xml:space="preserve">
Body const. OK; D&amp;R needs to check
safe vin# DR82573; DR82549; DR82572</t>
  </si>
  <si>
    <t>Irshad, Amir (A.) &lt;airshad3@ford.com&gt; (D&amp;R)
Manuf. Eng'g/ Managers:
Ayten, Murat (M.) mayten@ford.com
Yildirim, Naim (N.) nyildiri@ford.com.tr
Gultekin, Tolga (T.) &lt;tgulteki@ford.com.tr&gt;</t>
  </si>
  <si>
    <t>Tayfun Dilaver (TDILAVER)
Dennis Cooper</t>
  </si>
  <si>
    <t>SLD lower liner rattle on door slam-SLD lower liner clips are loose ; V362 clip with foam washer tested S&amp;R is OK</t>
  </si>
  <si>
    <t>05-Jul-2013 - MJUKES - Pending Fix Point Date: 26-Aug-2013, Fix Point Phase: PP, 29-Jun-2013 - IPORTER - Paul Moore to confirm with Anixter cannot change the clip. (Monday) Alt Paul to raise concern to add foam to the boards. (Tuesday), 26-Jun-2013 - MJUKES - additional thickness of foam to be added to the board. Alert to be raised for ICA (P. Moore)., 20-Jun-2013 - MJUKES - ICA proposal to increase the foam on the board to avoid complexity of the fixing pins &amp; mis-builds., 19-Jun-2013 - EUSLU1 - ICA Implemented By changed from [no previous value] to "PMOORE89". ICA Implemented Date changed from [no previous value] to 01-Jan-2020. ICA Description changed., 19-Jun-2013 - EUSLU1 - Open</t>
  </si>
  <si>
    <t>A12707448</t>
  </si>
  <si>
    <t>C12707389 -C- (FoE only)</t>
  </si>
  <si>
    <t>the actions/ PCA’s in the respective concerns are planned to be implemented for FoE PP.
These parts are FoE only.</t>
  </si>
  <si>
    <t>na</t>
  </si>
  <si>
    <t>reworked parts with foam and double side tape</t>
  </si>
  <si>
    <t>PCA: = ICA, if OK for appearance;  increased foam thickness on B-surface. V362 clips not possible</t>
  </si>
  <si>
    <t xml:space="preserve"> 22.07.2013: Grained clips will be available tomorrow. ICA is using V362 clips.</t>
  </si>
  <si>
    <t>Sahin, Mehmet (Meh.) &lt;msahin12@ford.com&gt; (D&amp;R)</t>
  </si>
  <si>
    <t>Moore, Paul (P.) &lt;pmoore89@ford.com&gt;</t>
  </si>
  <si>
    <t>LH+RH SLD wedge rattle-SLD door settings NOK; SLD female wedge knocks to the male wedge while door slam
(old aim 3249922)</t>
  </si>
  <si>
    <t>31-Jul-2013 - SPATEL3 - Pending Fix Point Date: 30-Aug-2013, Fix Point Phase: PP, 04-Jul-2013 - CCORLU - Pending Fix Point Date: 05-Jul-2013, Fix Point Phase: TT - For ICA, inspection point are defined in pre-cal areas to check the clash conditions of wedges to eachother ans any deformation on the female wedges as we do for 362 currently in the production. Meanwhile, for everlasting solution - C12635477 for 362 must be quickly approved and released in parallel with 363 for PCA - Aims no 3340271 must be resolved as well for PCA Because SLD setting is completely carry over from 362, same process sheet being used, but different pictures. Pictures also would turn into the 363 ones asap. ICA vin no: 71082 first VBK vehicle awaited to drop down to T&amp;F for verification, 02-Jul-2013 - HOEZTU11 - Open - no solution has been found, 30-Jun-2013 - RDAVEY - Pending Fix Point Date: 04-Jul-2013, Fix Point Phase: TT - issue is a S&amp;R issue not a process change issue. No process change required. Therefore no process sheet required, 30-Jun-2013 - RDAVEY - door setting and adjustments revised, to be reviewed by S&amp;R team with a view to close, set to pending that review, 29-Jun-2013 - IPORTER - Is this adjustment sufficient to close the issue?, 23-Jun-2013 - CCORLU - All doors of 71076 are exposed to do some study cases. All related components removed and installed more than once,thus door adjustment changed. Need to evaluate the status with doors properly adjusted., 19-Jun-2013 - UOZMEN2 - ICA Implemented By changed from [no previous value] to "CCORLU". ICA Implemented Date changed from [no previous value] to 01-Jan-2020. ICA Description changed., 19-Jun-2013 - UOZMEN2 - Open</t>
  </si>
  <si>
    <t>New wedges arrived S&amp;R team to evaluate. Same parts are with 362 if works ICA will be PCA 
No info for PCA application date</t>
  </si>
  <si>
    <t>re-set SLD</t>
  </si>
  <si>
    <t>re-set SLD; process improvement sheet attached</t>
  </si>
  <si>
    <t xml:space="preserve">Manuf. Eng'g/ Managers:
Ayten, Murat (M.) mayten@ford.com
Yildirim, Naim (N.) nyildiri@ford.com.tr
Gultekin, Tolga (T.) &lt;tgulteki@ford.com.tr&gt;, Eren Edikkaya
</t>
  </si>
  <si>
    <t>LH RCD creak on open to end position-
LH tail light lens creak to body in upper area. Not enough clearance between lens and body</t>
  </si>
  <si>
    <t>01-Aug-2013 - AGOYUNC1 - Parts tool improvement ongoing till 26 Aug.2013. During PP phase supplier will be checkþng 100% all parts before shipping. Safe win#82555 Similar AIMs#3285215, 10-Jul-2013 - RHUCKSTE - Added design section showing 2.0mm design gap. Added Craftsmanship master sections for lamp area. Latest body measurment report shows errors up to 6.0mm in lamp area., 07-Jul-2013 - AGOYUNC1 - Pending Fix Point Date: 30-Aug-2013, Fix Point Phase: PP, 07-Jul-2013 - AGOYUNC1 - We investigated yesterday AIMs meeting with supplier and STA Program team. Tool improve are not finish yet. Till then end of august. Issue is pending &amp; checked every batch that parts 100% by supplier before shipment. See attached G8D report., 03-Jul-2013 - AGOYUNC1 - G8D is not acceptable, rejected and send back to supplier. Waiting correct action plan and G8D asap. See attached G8D report 02_July_2013, 01-Jul-2013 - YOZANSO2 - System changed from "1C Exterior Trim and Ornamentation" to "1A BIW / Structures"., 28-Jun-2013 - YOZANSO2 - no issue seen on the nominal buck,so system to be changed to upperbody., 25-Jun-2013 - AGOYUNC1 - Supplier has been notified via SRI. G8D has been raised against supplier. G8D number: 194090, 24-Jun-2013 - DYURDAKU - ICA Implemented By changed from [no previous value] to "AGOYUNC1". ICA Implemented Date changed from [no previous value] to 01-Jan-2020. ICA Description changed., 24-Jun-2013 - DYURDAKU - Open</t>
  </si>
  <si>
    <t>A12704628</t>
  </si>
  <si>
    <t xml:space="preserve"> replace gasket on rr lamps VBK to solve fit &amp; finish issues</t>
  </si>
  <si>
    <t xml:space="preserve"> improve D-pillar sheetmetal part quality</t>
  </si>
  <si>
    <t>Safe vin# 82555 OK; 82527; 82575 (framing on 25.07)</t>
  </si>
  <si>
    <t>Manuf. Eng'g/ Managers:
Ayten, Murat (M.) mayten@ford.com
Yildirim, Naim (N.) nyildiri@ford.com.tr
Gultekin, Tolga (T.) &lt;tgulteki@ford.com.tr&gt;</t>
  </si>
  <si>
    <t>Tony Farrant (TFARRAN3)
agoyunc</t>
  </si>
  <si>
    <t>LH/RH B-pillar metallic rattle on door slam
B-pillar seat belt height adjuster metal guide to rail</t>
  </si>
  <si>
    <t>Pending</t>
  </si>
  <si>
    <t>15-Aug-2013 - MSCOT147 - Pending Fix Point Date: 27-Sep-2013, Fix Point Phase: PP - C12721159 has been raised to effect the PCA for the height adjuster. ICA trials today to confirm issue is resolved., 13-Aug-2013 - SGOODSIT - Open - CR is at X-Status., 13-Aug-2013 - HOEZTU11 - C12715033 is rejected, 13-Aug-2013 - DFRICKE4 - Pending Fix Point Date: 07-Oct-2013, Fix Point Phase: PP - Height Adjust internal parts optimised to eliminate metal to metal contact. Will be actioned under re-opened Concern No. C12715033, 09-Aug-2013 - MWARD5 - There are two items being reported through the team : 1. Rattle during door slam (initial AIMS report) 2. Rattle during driving (latest drive team report) The free movement side to side of the D loop is the same as V34x. The continued analysis this week has eliminated a number of potential root causes and has concluded that the source of noise for both potential effects is the contact between the upper part of the slider plate to the rail under some tolerance conditions. Supplier Autoliv are working on solutions and a robustness exercise to ensure that this contact can be eliminated whilst maintaining the engagement geometry of the latch mechanism. Concern to be re-opened to capture design actions on slider., 08-Aug-2013 - GKLEBER1 - Issue Type changed from "Meets Design Intent" to "Design"., 07-Aug-2013 - HOEZTU11 - I have to disagree with your statement that the issue is only on CCB units: The issue is meanwhile found also on VBK vehicles (affected VIN’s: 82565 &amp; 71060); see current painter chart. In additional it was also found during the R202 Drive on the VIN# 71089 (VAN), that was on begin of august, 06-Aug-2013 - MSCOT147 - MDI proposal concurred by Andy Platt today as noise only heard on very hard door slam on Chassis Cab only. 6 quaestions will be uploaded before AIMS meeting tomorrow, 06-Aug-2013 - MSCOT147 - Issue Type changed from "Design" to "Meets Design Intent"., 02-Aug-2013 - MWARD5 - No ICA required for TT (reviewed with P Gaskin), 01-Aug-2013 - MSCOT147 - We now propose this issue as MDI. We cannot safely and robustly stop the noise from occuring. It is only heard on a hard door slam and only of Chassis Cabs. We will load in the 6 questions asap, 31-Jul-2013 - JFLOREN3 - Open - C12715033 rejected in 31-JUL change control, AIMS back to open status., 26-Jul-2013 - DNIGHT11 - Sample with stiffened spring is available in Dunton pending verification in SCC vehicle. However, the root cause is more likely to be from contact to the lever mechanism to the body. Clearance is required (see attached) which must be verified in the SCC body. The added tape in earlier verifiication would have displaced the lever and therefore avoided the body contact. The height adjuster is common to all V36x, but the noise issue is only found on this body style, therefore the body clearance must be verified. In this case it is unlikely that the spring change will solve the noise issue., 26-Jul-2013 - MSCOT147 - Pending Fix Point Date: 23-Sep-2013, Fix Point Phase: TT - C12715033 will release an updated spring with higher compression force to stop the rattle. Samples being made to support remaining TT vehicles as an ICA, 25-Jul-2013 - OKURT2 - Can you please update the issue what is your ICA &amp; PCA plan ?, 20-Jul-2013 - MMIRZA1 - System changed from "1A BIW / Structures, 2BB Restraints" to "2BB Restraints"., 20-Jul-2013 - MMIRZA1 - 1A BIW Structures removed, as contained within restraints team., 18-Jul-2013 - MSCOT147 - I will investigate applying Grease to the Carriage of the Height Adjuster to dampen noise. I will also look into application of deadener pad to B-Pillar to dampen vibrations going into the height adjust assembly to those seen on VBK bodies where noise is not an issue., 18-Jul-2013 - MSCOT147 - System changed from "2 ... (Status info truncated)</t>
  </si>
  <si>
    <t>A12721913
A12721927</t>
  </si>
  <si>
    <t xml:space="preserve">194135
C12715033 -X-
C12721159 -A- </t>
  </si>
  <si>
    <t>add aluminium tape on the sliding guide</t>
  </si>
  <si>
    <t xml:space="preserve">Increase the thickness of the sliding ribs with 0.2mm
Ford HA15 Guide:  New ribs in the lower area of the guide.
</t>
  </si>
  <si>
    <t>29.07.2013: Michael Scott will provide the ICA information.
15.08 improved parts will be tested today; VBK S&amp;R OK, CCB will be tested on 20.08</t>
  </si>
  <si>
    <t>Filiz, Yasemin (Y.) &lt;yfiliz@ford.com&gt; (D&amp;R; Supplier)</t>
  </si>
  <si>
    <t>Bernie Endacott (BENDACOT), David Fricker (DFRICKE4)</t>
  </si>
  <si>
    <t>1.) LHF seat rattle underneath seat
2.) Creak/squeak noise under LH driver seat; Battery box brace rattle to seat pedestal, missing bump stops</t>
  </si>
  <si>
    <t>27-Jun-2013 - AJOHN485 - Pending Fix Point Date: 06-Sep-2013, Fix Point Phase: PP - C12669096 'C' status. Change in for PP builds., 27-Jun-2013 - DTECU1 - Issue Type changed from "Supplier Quality" to "Design"., 27-Jun-2013 - DTECU1 - As agreed with Drake, Simon (S.D.) and Hurrell, Nicholas (N.E.) issue will turn to design and pend against CR., 27-Jun-2013 - NHURRELL - Please see entry on 21st June showing windlace design solution released on C12669096 to replace front bumpstops., 27-Jun-2013 - DTECU1 - STA site eng Bayraktar, Yavuz (Y.) had a quality check in supplier MFG site. As per his comments: Has been seen 100% checking is being done manually by using a template red color having cut outs for rubber pads. Template enables to see easily if rubber pads are present or not . Control plan has also been prepared for %100 check which means that qualty wall is applied for the pads. So supplier process is secured., 26-Jun-2013 - DTECU1 - EESE Buble Team agreement is STA site engineer Yavuz Bayraktar to visit Ermetal process. Due data 27 June., 25-Jun-2013 - DTECU1 - Attached Ermetal G8D 194043 - supplier statement is requesting as PCA: reducing hole dia or using windlace instead of rubber pads same as NA version., 25-Jun-2013 - DTECU1 - STA site engineer Bayraktar, Yavuz (Y.) is expected to visit rubber pads supplier process on 26 June afternoon. Report out 27 June morning., 24-Jun-2013 - DTECU1 - G8D 194043 raised against Ermetal. Note send to supplier to confirm how transportation process is secured in order to avoid any rubber pads missing into assembly line., 24-Jun-2013 - AJOHN485 - D4 response in attached G8D is not acceptable from Ermetal, even if there is a planned design change. Ermetal to confirm how they will control transportation process with the 2 rubber stops as a PCA., 22-Jun-2013 - DTECU1 - G8D report from Ermetal supplier (attached). As mentioned below by Alex, ICA is implemented: %100 check process is already in place at Ermetal before shipping. Stock checked by 3rd party in Otosan (CONTRACT) for sorting ,and it was completed during 2 hours on 20.06.13, stock checked again %100 at Ermetal. V363 TT’s already built 7 vehicles has been checked by Ermetal team. 0 NOK parts found., 22-Jun-2013 - AJOHN485 - Issue was two rubber bump stops on front end of T brace, stock has been checked as OK by Ford Otosan incoming inspections and Ermeatl have checked all produced TT's with no oter issues found. Ermetal to complete G8D for AIMS closure. Note only: Windlace sample with Lucas Huselmans in Ford Otosan to evaluate S&amp;R performance., 21-Jun-2013 - NHURRELL - Please can we confirm which of the 4 x bump stops are missing? The two at the front short edge or the one at the back on the long edge? If it is the two at the front then we could close/pend this AIM with the winlace release C12669096 which has just gone to R status today for V362 &amp; V363. So now we just need the official Functional Build s/o and then it just needs to be timed in. NB. We have already have S&amp;R functional build approval. We also have the Alert A12700264 in place to allow ermetal to fit winlace to the V363 TT builds. Am just waiting to find out who in Otosan Kocaeli can segregate the V363TT battery brackets so Ermetal can come in and fit the winlace., 21-Jun-2013 - AJOHN485 - ICA = Ermetal have checked all produced V363 TT's and there is no issue (rubber stops are present). Burak Birinkulu to feedback on condition of parts in stores. PCA = Ermetal to complete 8D report and review with STA., 21-Jun-2013 - UOZMEN2 - ICA Implemented By changed from [no previous value] to "DTECU1". ICA Implemented Date changed from [no previous value] to 01-Jan-2020. ICA Description changed., 21-Jun-2013 - UOZMEN2 - Open</t>
  </si>
  <si>
    <t>A12700264</t>
  </si>
  <si>
    <t>C12669096 -C-
194043</t>
  </si>
  <si>
    <t>use winlace foam edging ilo foam of rubber buttons on TT V363E</t>
  </si>
  <si>
    <t xml:space="preserve">add windlace to front of the bracket and change swage design to increase stiffness                          
                                                          </t>
  </si>
  <si>
    <t xml:space="preserve">ICA: use winlace foam edging ilo of rubber buttons
PCA : revise battery clam p design to add winlace to front of bracket </t>
  </si>
  <si>
    <t>Johnson, Alex (A.) &lt;ajohn485@ford.com&gt; (D&amp;R)</t>
  </si>
  <si>
    <t>LH+RH SLD floor door step oil can on load (TT vehicle; 1st VBK)
(VP aim 3255657)</t>
  </si>
  <si>
    <t>21-Aug-2013 - ODOGAN9 - CR below (strainer addition) has been replaced with Beta Brace addition CR., 06-Aug-2013 - JFLOREN3 - Pending Fix Point Date: 27-Sep-2013, Fix Point Phase: TT - C12717684 has been moved to Pink., 05-Aug-2013 - JFLOREN3 - Open - C12705730 has been rejected. D screen of C12705730 says C12717684 is replacing this or authorizing the actions. C12717684 is currently on pre-pink. C12717684 must be moved to the J1 deck before CR approval. Per discussions in global S&amp;R meeting, this is FWD specific, FNA not affected., 31-Jul-2013 - SPATEL3 - Pending Fix Point Date: 30-Aug-2013, Fix Point Phase: PP, 25-Jul-2013 - MELMS5 - See comments in AIMS 3255657 for this duplicated issue. VIN numbers for vehicles containing floor panels with added down facing swages are: 82558 and 82561 which will be trialed for oil canning., 18-Jul-2013 - PMACNAM1 - Duplicate issue of 3255657, 3211050, 3343284. Blanket concern C12705730 raised to cover all oil canning issues. Issue narrowed down to two possible causes. PCA still being evaluated., 29-Jun-2013 - PMACNAM1 - Pending Fix Point Date: 01-Aug-2013, Fix Point Phase: TT, 29-Jun-2013 - PMACNAM1 - Alert A12703960 raised for re-work to investigate PCA action of addition hole in floor as per V323., 25-Jun-2013 - UOZMEN2 - ICA Implemented By changed from [no previous value] to "MMIRZA1". ICA Implemented Date changed from [no previous value] to 01-Jan-2020. ICA Description changed., 25-Jun-2013 - UOZMEN2 - Open</t>
  </si>
  <si>
    <t>A12703960 not working
A12706391not working
A12715389</t>
  </si>
  <si>
    <t xml:space="preserve">C12705730 -X- 
C12717684 -A- (FoE &amp; FNA)
</t>
  </si>
  <si>
    <t>FWD floors will have sheet metal strainer between SLD step and rails.
RWD floors still testing Beta-Brace on Alert A12715389.</t>
  </si>
  <si>
    <t>FWD - No FWD floors in FNA.
RWD - Confirm Alert A12715389 to be extended by 14.00 Turkish Time, 12.00 UK time 02-Aug-2013.</t>
  </si>
  <si>
    <t>apply beta brace</t>
  </si>
  <si>
    <t xml:space="preserve">additional strainer in SLD step assemblies to alleviate floor oilcanning                 
*                                                     </t>
  </si>
  <si>
    <t>3rd ICA: add beta brace on affected area for FWD and RWD
PCA: design change to resolve oil can in LH and RH floor pane 
Safe vin# will be given by Bashir, Saqib</t>
  </si>
  <si>
    <t xml:space="preserve">Cooper, Denis (D.) &lt;dcoop133@ford.com&gt; (D&amp;R)
Manuf Eng’g/Managers: 
Ayten, Murat (M.) mayten@ford.com
Yildirim, Naim (N.) nyildiri@ford.com.tr
Gultekin, Tolga (T.) &lt;tgulteki@ford.com.tr&gt;
</t>
  </si>
  <si>
    <t>Denis Cooper (DCOOP133), Tayfun Dilaver (TDILAVER)</t>
  </si>
  <si>
    <t>OHC (Tray) rattle noise, because of poor fixing-Gap condition between overhead shelf &amp; console</t>
  </si>
  <si>
    <t>12-Aug-2013 - GKLEBER1 - Issue cannot be closed out to that issue, as it was closed out as a duplicate to this issue., 15-Jul-2013 - RROXAS - 7/15/2013: - NA TCB1 has similar issue &lt;see 3266771 - recommend to close to 33392217&gt;, 12-Jul-2013 - MJUKES - Pending Fix Point Date: 26-Aug-2013, Fix Point Phase: PP - C12697772: OHC C12705706: OHS, 12-Jul-2013 - GPAKSOY - Issue Type changed from "Supplier Quality" to "Design"., 12-Jul-2013 - GPAKSOY - Open - Re-open for concern resolution of clipping issues., 01-Jul-2013 - IAKKARPU - We now have 2 more changes . OHC C12697772 OHS C12705706 We are adding more ribs to try and help Ototrim with their shrinkage issues., 28-Jun-2013 - OKURT2 - Incompleted G8D please ensure that G8D completed ,please check out the D5 &amp; D6 should be dated and also much more clear description for Root Cause(D4).... Issue should be re opened to get updated G8D., 27-Jun-2013 - IAKKARPU - Pending Fix Point Date: 11-Jul-2013, Fix Point Phase: TT - Please find the 8D attached. Issue to be fully contained on mid of July. Latest level off tool parts will be trialed on 28-Jun. Final decision will be given tomorrow after the trial., 24-Jun-2013 - IAKKARPU - Ototrim has been implementing attached rework actions since 7th June. This was to eliminate clipping trouble but neither ICA nor PCA is available to avoid gap condition. Studies are still ongoing., 18-Jun-2013 - MHURST - For TCB1 at FNA, Overhead Console has gaps at the rear corners to the Overhead Shelf of 1 mm. The spec is 1.2mm +/- 0.5 mm. See attached picture 934., 18-Jun-2013 - IAKKARPU - PD already added ribs as requested and agreed with Ototrim. Ototrim now need to improve their cooling process. Same parts in FNA from Grupo do not have this issue. G8D needs to be updated based on aforementioned information., 17-Jun-2013 - IAKKARPU - Please have a look at the presentation attached which was prepared by Ototrim to better depict the issue. It was also shared with part's engineer, Ray Osterberg, on 03-May-2013 who knows the issue very well as concern newly released to cover the issue. Ototrim claims that the latest level OHC parts' mounting to the OHS will probably show gap condition due to the corner radius which is not appropriate. Supplier has some minor issues on these parts but they insist on that in order to shot good parts through injection they need to get robust design from Interior PD. It is evident that there have been problems associated with part's design. Cross functional team should be on the same page as to whether this issue should now be followed through design or not., 14-Jun-2013 - IAKKARPU - G8D#193719 has been raised against Ototrim. They are expected to respond within 24 hours with an ICA., 12-Jun-2013 - UOZMEN2 - ICA Implemented By changed from [no previous value] to "IAKKARPU". ICA Implemented Date changed from [no previous value] to 01-Jan-2020. ICA Description changed., 12-Jun-2013 - UOZMEN2 - Open</t>
  </si>
  <si>
    <t>A12701510</t>
  </si>
  <si>
    <t>C12697772 -C- (FoE &amp; FNA), C12705706 -C- (FoE only)
193719</t>
  </si>
  <si>
    <t xml:space="preserve"> Add 1.0mm x 1.0 mm chamfer</t>
  </si>
  <si>
    <t>clipping improvements</t>
  </si>
  <si>
    <t>PCA tested on TT units S&amp;R OK</t>
  </si>
  <si>
    <t>Mehmet Sahin</t>
  </si>
  <si>
    <t>Ray Osterberg</t>
  </si>
  <si>
    <t>B-pillar seatbelt height adjuster trim buzz  -Double sliders vs. B-pillar trim lack pretension.</t>
  </si>
  <si>
    <t>03-Aug-2013 - MJUKES - No parts received for validation. Change to B pillar was not notified, no stock identified as OK. 8D needs to be re-opened, 01-Aug-2013 - IAKKARPU - Pending Fix Point Date: 31-Aug-2013, Fix Point Phase: PP - Fix Point Date is revised., 29-Jun-2013 - UTURKAN - measurement of the slider channel on B-Pillar trim to be provided by Ototrim and 8D to be updated., 29-Jun-2013 - IAKKARPU - Pending Fix Point Date: 26-Jul-2013, Fix Point Phase: TT - G8D is attached. Issue can now be pended based on the 8D until 26th July., 28-Jun-2013 - IAKKARPU - There is both ICA &amp; PCA proposal given by Ray to Ototrim. G8D is now being updated and it will then be attached onto the AIMS to pend the issue., 27-Jun-2013 - IAKKARPU - Visual data needs to be added (photo, video, etc) in order to let us better explain the issue to the supplier. System of the issue may well be turned to restraints instead of interior trim., 26-Jun-2013 - IAKKARPU - Open - Team agreed to reopen this item., 25-Jun-2013 - IAKKARPU - Closed Validated by: Akkarpuz, Ihsan (IAKKARPU) - Issue is closed in AIMS but will be followed under BSAQ, 25-Jun-2013 - IAKKARPU - Pending Fix Point Date: 25-Jun-2013, Fix Point Phase: TT - Please raise BSAQ instead of AIMS (concurred with the initiator), 24-Jun-2013 - IAKKARPU - Please review the conversation attached where the initiator confirms that issue should be followed through raising BSAQ instead of AIMS since the part is carryover content., 21-Jun-2013 - UOZMEN2 - ICA Implemented By changed from [no previous value] to "IAKKARPU". ICA Implemented Date changed from [no previous value] to 01-Jan-2020. ICA Description changed., 21-Jun-2013 - UOZMEN2 - Open</t>
  </si>
  <si>
    <t xml:space="preserve">A12701510 </t>
  </si>
  <si>
    <t xml:space="preserve"> felt tape</t>
  </si>
  <si>
    <t xml:space="preserve">tune B-pillar uppr trim
Add material to the B Pillar Upper parts by machining the tool under tuning content. </t>
  </si>
  <si>
    <t>19.07 Supplier quality. B-pillar trim is bended in the middle section
 22.07.2013: A new AIM for the b-pillar deformation should be raised.</t>
  </si>
  <si>
    <t>Ray Osterberg; gpaksoy</t>
  </si>
  <si>
    <t>Domelight rattle-Domelight connector (white) pin-and-socket connector rattle.</t>
  </si>
  <si>
    <t>15-Jul-2013 - CCIGTEKI - ICA Implemented Date changed from 01-Jan-2020 to 15-Jul-2013. ICA Description changed., 26-Jun-2013 - MJUKES - Pending Fix Point Date: 06-Sep-2013, Fix Point Phase: PP, 26-Jun-2013 - MJUKES - Pending Fix Point Date: 26-Aug-2013, Fix Point Phase: TT, 26-Jun-2013 - AJOHN485 - System changed from "2C Interior Trim, 5 Electrical" to "2C Interior Trim"., 24-Jun-2013 - AJOHN485 - System changed from "5 Electrical" to "2C Interior Trim, 5 Electrical"., 24-Jun-2013 - AJOHN485 - Connector in question is part of the interior lamp not the EESE harness, there is also a feature in the over head console which looks like a parking feature for this connection but does not secure at all (pictures to be added). When connection is manually held in position, S&amp;R is heavily reduced. Body interior to lead this issue as the white connector and OHC feature are owned by them., 24-Jun-2013 - DYURDAKU - ICA Implemented By changed from [no previous value] to "AJOHN485". ICA Implemented Date changed from [no previous value] to 01-Jan-2020. ICA Description changed., 24-Jun-2013 - DYURDAKU - Open</t>
  </si>
  <si>
    <t>A12676769</t>
  </si>
  <si>
    <t>C12697772 -C- (FoE &amp; FNA)</t>
  </si>
  <si>
    <t>ICA add felt tape</t>
  </si>
  <si>
    <t>modification on connector holder</t>
  </si>
  <si>
    <t>Headliner rattle @ rear edge
missing clip is causing the doghouse to rattle on X-member
Root cause: some clips were not fixed properly</t>
  </si>
  <si>
    <t>31-Jul-2013 - SPATEL3 - Closed Validated by: Oeztuerk, Hueseyin (HOEZTU11) - As per discussion and agreement with Hueseyin Oeztuerk on 7/31, this issue is closed as no repeat., 06-Jul-2013 - GKURTOGL - Pending Fix Point Date: 31-Jul-2013, Fix Point Phase: TT - You can see the repair process sheet as a attached., 01-Jul-2013 - WHEYTENS - Open - AIM to be reopened. It is unclear what will be done to avoid the issue on the next builds. If the repair process will be updated, please attach copy of the Process Sheet. Response should be immediate, cannot pend 'til September., 29-Jun-2013 - GKURTOGL - Pending Fix Point Date: 26-Sep-2013, Fix Point Phase: PP, 25-Jun-2013 - GALP - The vehicle was reworked and heasline reassembled.Repair process will prepare to give operator., 20-Jun-2013 - UOZMEN2 - Open</t>
  </si>
  <si>
    <t>6 July date for PCA
Process sheet provided
ICA = PCA</t>
  </si>
  <si>
    <t>improve fixing process</t>
  </si>
  <si>
    <t>Rep. Process sheet attached</t>
  </si>
  <si>
    <t>7/31, this issue is closed as no repeat</t>
  </si>
  <si>
    <t>Gunes, Erol (E.) &lt;egunes1@ford.com&gt; (CCB D&amp;R)</t>
  </si>
  <si>
    <t>Gulce Kurtoglu (GKURTOGL)</t>
  </si>
  <si>
    <t xml:space="preserve">LHF + RHF front door creak on opening @ end position.
Hinges area plastic rear mirror bracket vs. door sheet metal (inner door structure) 
</t>
  </si>
  <si>
    <t>21-Aug-2013 - CCIGTEKI - Pending Fix Point Date: 16-Sep-2013, Fix Point Phase: PP, Fix Point VIN: Not Specified, 09-Aug-2013 - JABERNE2 - Pending Fix Point Phase: PP, Fix Point VIN: Not Specified, 09-Aug-2013 - RSWANN1 - Concern C12719745 raised to A-status to support additional hem adhesive application. AIMS to be put to pending., 05-Aug-2013 - JFLOREN3 - Open - Per LQOS process, a CR is required on the Job 1 deck to pend a design AIMS. Need CR pulled for this issue prior to pending., 31-Jul-2013 - SPATEL3 - Pending Fix Point Date: 30-Aug-2013, Fix Point Phase: PP, Fix Point VIN: Not Specified, 17-Jul-2013 - SNOYCE1 - Pending Fix Point Date: 31-Jul-2013, Fix Point Phase: TT - See note below. If successful, a Concern will be raised to modify the sealer bead path., 17-Jul-2013 - SNOYCE1 - A12710941 raised to extend hem flange adhesive in the area of the squeak. Safe VIN #'s are DR-71051, 82563, 82539, 82547, 82536. AIMS put to Pending the trial of these vehicles., 16-Jul-2013 - SNOYCE1 - Dilek has confirmed that add hem flange adhesive will be added on the next door builds and will provide these VIN numbers., 15-Jul-2013 - SNOYCE1 - Agreed that a re-work sheet will only be raised if trial is successful, and if so, the remaining TT vehicles will be re-worked. Manufacturing to confirm timing., 15-Jul-2013 - EDIKKAYA - Option 1: Trials can be done for this week. Option 2: Hard to apply tape sealer, first we are loading reinforcements to the fixture and than inner panel goes through the reinforcements. Operator can not see tape application surface., 15-Jul-2013 - RSWANN1 - Teardown revealed surface wear between inner and outer panels rearward of clinch edge local to upper check-arm fix, measuring approx. 20mmx10mm in area. 2 options available for resolution: 1) Extend clinch adhesive into this area - process revision. 2) Apply structural tape - design &amp; process revision. Have requested Body Construction to view the options for feasibility, and support trial under an alert for prove-out - awaiting response., 13-Jul-2013 - SNOYCE1 - Door evaluated for squeak and how to stop it, then removed. Striped down and investigation on going by cutting sheet metal to locate the source of the squeak expected between the hinge reinf and inner panel., 11-Jul-2013 - SNOYCE1 - Closures identified vehicle 71078 with a RH door squeak. Request made to Eren and Naim to provide a replacement door for us to conduct off vehicle investigations., 09-Jul-2013 - CCIGTEKI - System changed from "1C Exterior Trim and Ornamentation" to "1B Closures / Hardware"., 08-Jul-2013 - ETALAYA2 - Why is this Exterior? The mirror is not even assembled!, 06-Jul-2013 - IAKKARPU - Issue Type changed from "Supplier Quality" to "Design"., 06-Jul-2013 - IAKKARPU - As agreed with BWESTGA1 issue type turns to design to find the root cause., 02-Jul-2013 - HOEZTU11 - System changed from "1B Closures / Hardware" to "1C Exterior Trim and Ornamentation"., 27-Jun-2013 - IAKKARPU - SRI has been issued to Sarigozoglu. They are requested to prepare a robust 8D to fully contain the issue., 27-Jun-2013 - UOZMEN2 - ICA Implemented By changed from [no previous value] to "AGOYUNC1". ICA Implemented Date changed from [no previous value] to 01-Jan-2020. ICA Description changed., 27-Jun-2013 - UOZMEN2 - Open</t>
  </si>
  <si>
    <t>A12710941</t>
  </si>
  <si>
    <t>194233
C12719745 -A- (FoE &amp; FNA)</t>
  </si>
  <si>
    <t>ICA=PCA:  extra clinch adhesive will be applied to the door to stop the squeak please</t>
  </si>
  <si>
    <t xml:space="preserve">
B. Westgarth did request a cutted front door in order to understand the issue
safe vin# 71051; 82563; 82539; 82547; 82536</t>
  </si>
  <si>
    <t>Manuf Eng'g: Mehru Celikdelen Dogan, Eren Edikkaya, Cenk Corlu</t>
  </si>
  <si>
    <t>Brian Westgarth
Rob Swann
Eren  Dikkaya</t>
  </si>
  <si>
    <t>underbody knocking at LH-B-Pillar area
Chassis welded flange vs. chassis beam creates knock noise while dynamic test.</t>
  </si>
  <si>
    <t>31-Jul-2013 - SPATEL3 - Pending Fix Point Date: 30-Aug-2013, Fix Point Phase: PP, 29-Jun-2013 - CCORLU - Pending Fix Point Date: 07-Jun-2013, Fix Point Phase: TT - process sheet updated, manual spotwelding operation,4 out of 5 is ok. 1 more week to close the issue up to 7 of july safe vin : 82540, 26-Jun-2013 - UOZMEN2 - ICA Implemented By changed from [no previous value] to "CCORLU". ICA Implemented Date changed from [no previous value] to 01-Jan-2020. ICA Description changed., 26-Jun-2013 - UOZMEN2 - Open</t>
  </si>
  <si>
    <t>29 June for PCA date
Process improvement sheet has been provided by Cenk</t>
  </si>
  <si>
    <t xml:space="preserve">process sheet updated, manual spot-welding operation
contained </t>
  </si>
  <si>
    <t>S&amp;R to monitor and close the issue after safe vin#</t>
  </si>
  <si>
    <t>Corlu, Cenk (C.) &lt;CCORLU@ford.com.tr&gt; (Manuf)
Cooper, Denis (D.) &lt;dcoop133@ford.com&gt; (D&amp;R)</t>
  </si>
  <si>
    <t xml:space="preserve">Corlu, Cenk (C.) </t>
  </si>
  <si>
    <t>Floor/load liner stick on load-Floor liner under tension comes loose from sheet metal ; glue release noise.
Tape is temporary process to improve fit of distorted liner.</t>
  </si>
  <si>
    <t>25-Jul-2013 - DYURDAKU - ICA Description changed., 04-Jul-2013 - GPAKSOY - Pending Fix Point Date: 07-Sep-2013, Fix Point Phase: PP - Fixing date is updated., 03-Jul-2013 - IAKKARPU - SRI has been issued to the supplier as Faraero complete the G8D raised against their company. A12704582 was raised last week and Faraero team reworked most/all of the stock, but they had difficulty in finding already built vehicles. List of TT vehicles that have pulled minor feature code BDIAJ should be found out to let Faraero rework all the parts assembled., 03-Jul-2013 - DYURDAKU - ICA Implemented By changed from [no previous value] to "IAKKARPU". ICA Implemented Date changed from [no previous value] to 01-Jan-2020. ICA Description changed., 03-Jul-2013 - DYURDAKU - Open</t>
  </si>
  <si>
    <t xml:space="preserve">A12704582 </t>
  </si>
  <si>
    <t>Eu PP will be supported with flat parts tooled in Turkey</t>
  </si>
  <si>
    <t>No loadliners in FNA</t>
  </si>
  <si>
    <t xml:space="preserve"> Supplier to modify adhesive tape inline with released CAD</t>
  </si>
  <si>
    <t xml:space="preserve"> waiting for 8D completion</t>
  </si>
  <si>
    <t>Note: Liner are deformed due to incorrect storage; parts stored outside under the sun. Additional double sticky tape application is not working 22.07.2013: Parts are coming from Asia. New parts will be waited. New parts are not coming soon.</t>
  </si>
  <si>
    <t>Ben Dunstan</t>
  </si>
  <si>
    <t xml:space="preserve">Ben Dunstan; gpaksoy </t>
  </si>
  <si>
    <t>driver seat knock on move full back, x-member engine brace vs. connector 
Connector brace hooks to the pedestal due to bended bracket.</t>
  </si>
  <si>
    <t>15-Aug-2013 - GGOKCE - Safety VIN:71058 PCA will be implement at PP., 31-Jul-2013 - SPATEL3 - Pending Fix Point Date: 30-Aug-2013, Fix Point Phase: PP, 16-Jul-2013 - HOEZTU11 - Güliz, please provide some safe vin#, 16-Jul-2013 - GGOKCE - Pending Fix Point Date: 23-Jul-2013, Fix Point Phase: TT - Visual aid prepared to explain the operators how to fit the cabin connector without damaging the bracket., 08-Jul-2013 - GGOKCE - Magna Seating will help operators to teach how the cabin connector can be fitted. Guliz will prepare visual aid to follow the same process with V362., 06-Jul-2013 - CLUND - Agreed to change to manufacturing in AIMS review 6 July. Guliz to check vehicle 71060 for the accurate positioning of the mating connectors under the seat and also to provide improved process sheets / visual aids for the operators., 06-Jul-2013 - CLUND - Issue Type changed from "Design" to "Manufacturing"., 04-Jul-2013 - P-ALEX25 - Issue seen before on V362 and was caused by battery box cover not being fitted correctly. Please bin to Manufacturing., 01-Jul-2013 - ADATYAL - What is the issue, the description is not clear. There is no picture in the AIMS. Please clarify or close!, 01-Jul-2013 - UOZMEN2 - Open</t>
  </si>
  <si>
    <t>PP date for PCA
1. Torque RPM reduction
2.Operator training
3. Process location in line will be changed and operator will manipulate this parts only one time</t>
  </si>
  <si>
    <t xml:space="preserve"> operator training &amp; add check on line</t>
  </si>
  <si>
    <t>Move connecting operation to different station. PCA date still not valid.</t>
  </si>
  <si>
    <t xml:space="preserve">15/07 ICA :. Güliz Gökce to provide documents and safe VIN
07.07 Bracket is bended again
</t>
  </si>
  <si>
    <t>Johnson, Alex (A.) &lt;ajohn485@ford.com&gt; (D&amp;R electr)</t>
  </si>
  <si>
    <t xml:space="preserve">Güliz Gökce </t>
  </si>
  <si>
    <t>Parcel shelf croak on body twist-Parcel shelf support fixing on front area over the front shield croaks while body twist</t>
  </si>
  <si>
    <t>31-Jul-2013 - SPATEL3 - Closed Validated by: Oeztuerk, Hueseyin (HOEZTU11) - As per discussion and agreement with Hueseyin Oeztuerk on 7/31, this issue is closed as no repeat., 31-Jul-2013 - SPATEL3 - Pending Fix Point Date: 30-Aug-2013, Fix Point Phase: PP, 13-Jul-2013 - DYURDAKU - Pending Fix Point Date: 21-Jul-2013, Fix Point Phase: TT - Issue pending as safe VIN available., 10-Jul-2013 - RHUCKSTE - Added design intent image showing the missing welds., 10-Jul-2013 - DSEZGIN1 - Safe vin for missing spot welds - DR 71022 and DR 71043, 06-Jul-2013 - CCIGTEKI - Which section has this problem? photo required. Missing spotwelds are already added, which spotwelds are missing information to be provided by Huseyin Ozturk to confirm its fixed., 05-Jul-2013 - OKURT2 - Issue Type changed from "Design" to "Manufacturing"., 04-Jul-2013 - DWEIR13 - I was informed that there was a spotweld missing in this area, please add photo confirming this., 03-Jul-2013 - UOZMEN2 - ICA Implemented By changed from [no previous value] to "TDILAVER". ICA Implemented Date changed from [no previous value] to 01-Jan-2020. ICA Description changed., 03-Jul-2013 - UOZMEN2 - Open</t>
  </si>
  <si>
    <t>Item is closed no occurrence no need for PCA</t>
  </si>
  <si>
    <t>missing spot welds</t>
  </si>
  <si>
    <t xml:space="preserve">Safe VIN to be provided by Cenk Corlu.
S&amp;R to monitor and close the aim two safe vin# tested
closure agreed after 7 tested unit without reoccurrence
</t>
  </si>
  <si>
    <t>Corlu, Cenk (C.) &lt;CCORLU@ford.com.tr&gt; (Manuf)</t>
  </si>
  <si>
    <t>Corlu, Cenk (C.) 
Dave Weir</t>
  </si>
  <si>
    <t>B-Pillar croak-Sealer application on B-Pillar insufficient, LHD NOK</t>
  </si>
  <si>
    <t>15-Aug-2013 - TDILAVER - Spotwelds are in correct position. with tape application as ICA there is no S&amp;R issue seen. but there is 1,5 mm gap between parts without any spotweld. (between b pillar upper brkt and upper track.) There can be always S&amp;R issue. gap needs to be increased to 4mm or PIA tape needs to be added to upper track., 02-Aug-2013 - CCIGTEKI - Pending Fix Point Date: 16-Aug-2013, Fix Point Phase: TT, Fix Point VIN: Not Specified - Please provide safe VIN, 23-Jul-2013 - BENDACOT - Pending Fix Point Phase: TT - Agreed with Tayfun Dilaver and Hueseyin Oeztuerk (S&amp;R team) to move this AIMS to pending as issue only seen on vehicle that had build quality issues. Builds will be monitored. AIMS moved to pending., 19-Jul-2013 - BENDACOT - This is a manf issue because the build quality was not correct (panel gaps too large) and SW were missing in this area. Correctly built BIW should be S&amp;R tested before any further design actions considered., 19-Jul-2013 - BENDACOT - Issue Type changed from "Design" to "Manufacturing"., 19-Jul-2013 - DYURDAKU - Changed to design as per AIMS meeting. There is no tape in the area, alert to use tape also available, CR required., 19-Jul-2013 - DYURDAKU - Issue Type changed from "Manufacturing" to "Design"., 18-Jul-2013 - AIRSHAD3 - ICA Implemented By changed from "AGOYUNC1" to "AIRSHAD3". ICA Description changed., 16-Jul-2013 - CCORLU - sealer extension request has been shown to John Evendon, waiting for design solution., 13-Jul-2013 - DYURDAKU - Tayfun Dilaver to confirm the vehicle is OK to process., 13-Jul-2013 - DYURDAKU - Issue Type changed from "Manufacturing Quality" to "Manufacturing"., 10-Jul-2013 - RHUCKSTE - Added design intent image showing sealer path. Should also have a structural tape in this joint. Cannot know if this was applied correctly without teardown., 05-Jul-2013 - AGOYUNC1 - Issue Type changed from "Supplier Quality" to "Manufacturing Quality"., 05-Jul-2013 - AGOYUNC1 - Supplier doesn't apply this area sealer. Issue turn to Mfg.Q. see attached G8D report., 01-Jul-2013 - GPAKSOY - G8D has been raised against to BENTELER., 27-Jun-2013 - UOZMEN2 - ICA Implemented By changed from [no previous value] to "AGOYUNC1". ICA Implemented Date changed from [no previous value] to 01-Jan-2020. ICA Description changed., 27-Jun-2013 - UOZMEN2 - Open</t>
  </si>
  <si>
    <t xml:space="preserve">A12711721 </t>
  </si>
  <si>
    <t>Last 11 golden vehicles will be checked for the additional seal application or PP</t>
  </si>
  <si>
    <t>Apply additional sealer between Front Capping extension and track pocket part at B-pillar as an ICA for B-pillar croak issue</t>
  </si>
  <si>
    <t>Extend Structural Adhesive Tape on this area</t>
  </si>
  <si>
    <t>13.08 request repeated : contained VIN# to be provided by Manuf. Murat Ayten/Sinem Temur
Process impr. Sheet to be provided by manuf.</t>
  </si>
  <si>
    <t xml:space="preserve">LH RCD rattle on door slam + on dynamic at check arm area-Cargo door check arm yellow slider has free play and causing a buzz on door slam and on dynamic
</t>
  </si>
  <si>
    <t>18-Jul-2013 - IAKKARPU - Pending Fix Point Date: 09-Aug-2013, Fix Point Phase: TT - Reference the implementation of corrective actions, injection moulds haven't been adjusted yet. New date is given by supplier: 09.08.13., 17-Jul-2013 - IAKKARPU - Pending Fix Point Date: 19-Jul-2013, Fix Point Phase: TT - PCA: Adjust injection moulding parameters and tolerances to minimise free play Currently, as per design, some free play is allowed between the black plastic cover and the yellow plastic button (0,4 mm upwards/downwards and 0,4 mm inwards/outwards) and also between the yellow plastic button lever and the check arm plastic lever for release the check arm (1,8 mm longitudinally). Injection moulding parameters will be adjusted and internal tolerances of both plastic parts (black cover and yellow button) will be reduced so that parts are produced will minimised free play and a stop in the at rest condition is provided. If injection moulding parameters are adjusted and internal tolerances of both plastic parts (black cover and yellow button) are reduced, therefore free play will be minimised and also a stop in the at rest condition will be provided, leading to no noise when slamming the door or in S&amp;R test. Awaiting confirmation from the supplier if the improvements already been done., 10-Jul-2013 - IAKKARPU - Pending Fix Point Date: 17-Jul-2013, Fix Point Phase: TT - Please find the 8D attached which was provided by Tubsa Flexngate team. Issue will fully be contained by 17-Jul so that the item is now pended until that time., 09-Jul-2013 - IAKKARPU - RC: Some free play is needed for the proper function of the sliding button mechanism, otherwise if there was no free play between the black cover and the yellow button when the door is closed from 180º the sliding button would not reach to the at-rest position. No stop provided in the at-rest position which could minimise / reduce the free play in the at rest position when rear cargo door is closed. Part causing noise was handed by Fatmagül Aksoy to Juanjo Montana at Ford Otosan on 27.06.13. Part was analysed and was found not to be a PSW part, but a TT under alert part (part number marking was AA suffix, current part suffix is AB). Black cover mould cavity number 4 (out of 8) / Yellow button mould cavity number 5 (out of 8). That means that there are 64 possible combinations and that some of them might cause noise. Part does not work properly if there is no free play between the black cover and the yellow button when the door is closed from 180º the sliding button would not reach to the at-rest position. There was an AIMS for this reason in August 2012 (AIMS# 3248950 / G8D 183315) at AA level part., 06-Jul-2013 - IAKKARPU - A12706611 covers the ICA. Supplier Tubsa Flexngate was in Otosan last week to approve the AAR/FTN. As they were here, a part with the issue of the aims was given to the Supplier for further analysis. They agreed with the Plant to give an answer between today and tomorrow. - The part is being measured to be sure that is according to spec. - There are 8 cavities from every part of the batch. There is a free play defined by eng, so the S&amp;R is in by definition, although it would be acceptable or not depending of the tolerance rate. - Once the part is measured, we will know if it is a quality issue or design. Difficult to implement a sorting or ICA as the free place is spec. All the parts are measured by a gauge go/no go before to leave the plant. Let us see the result. Issue to be pended as soon as the PCA revealed by supplier in G8D., 03-Jul-2013 - IAKKARPU - SRI has been issued to Tubsa Automacion as G8D raised against them to contain the PCA. In the meantime please find the measurement report attached as requested from STA., 02-Jul-2013 - UOZMEN2 - ICA Implemented By changed from [no previous value] to "IAKKARPU". ICA Implemented Date changed from [no previous value] to ... (Status info truncated)</t>
  </si>
  <si>
    <t>A12706611</t>
  </si>
  <si>
    <t>Injection moulding parameters to be adjusted by 09-Aug confirmed by Tubsa &amp; STA pertaining to PCA.</t>
  </si>
  <si>
    <t>use improved parts</t>
  </si>
  <si>
    <t>ICA: use improved parts
PCA: 22.07.2013: 8D is completed and added to AIMs. Application of the PCA is 9th of Aug.</t>
  </si>
  <si>
    <t>F. Khan</t>
  </si>
  <si>
    <t>F. Khan
Fatih Bay 
Ihsan Akkarpuz</t>
  </si>
  <si>
    <t xml:space="preserve">Heatshield rattle and buzz-touch condition between body and heat shield </t>
  </si>
  <si>
    <t>08-Jul-2013 - GBAILE51 - Pending Fix Point Date: 06-Sep-2013, Fix Point Phase: PP - concern raised to address issue, 05-Jul-2013 - GGOKCE - The route cause of this issue is the FWD heatshield can not be fitted to the FWD CCAB vehicle. As an ICA action RWD heatshield used but causing touch condition between the chassis rail and the heatshield. Require an urgent resolution from design., 05-Jul-2013 - GGOKCE - Issue Type changed from "Manufacturing" to "Design"., 05-Jul-2013 - GBAILE51 - By design there is clearance ranging from 9mm to 17mm between the Heatshield &amp; Body (see attached JPEG). This issue is due to Supplier Quality or Manufacturing. Data forwarded to Y.Ozansoy &amp; G.Gokce to advise further action., 26-Jun-2013 - UOZMEN2 - ICA Implemented By changed from [no previous value] to "ETAPO". ICA Implemented Date changed from [no previous value] to 01-Jan-2020. ICA Description changed., 26-Jun-2013 - UOZMEN2 - Open</t>
  </si>
  <si>
    <t>C12707469 -X-
C12707392 -C- (FoE only)</t>
  </si>
  <si>
    <t>ICA=PCA</t>
  </si>
  <si>
    <t>Use assy fixt to ensure
proper gap.</t>
  </si>
  <si>
    <t>15/07 documents promised for today
12/07 ICA=PCA. 
Güliz Gökce to provide Process sheets;
safe VIN# is needed ICA is working.</t>
  </si>
  <si>
    <t>Jamie Marlow</t>
  </si>
  <si>
    <t>Heat shield rattle on door slam-heatshields touch condition to each other</t>
  </si>
  <si>
    <t>15-Aug-2013 - GGOKCE - ICA=PCA ICA in place and will be use in the production as well., 31-Jul-2013 - SPATEL3 - Pending Fix Point Date: 30-Aug-2013, Fix Point Phase: PP, 08-Jul-2013 - GGOKCE - Pending Fix Point Date: 22-Jul-2013, Fix Point Phase: TT - Operator is going to use two attached gauge to check the clearance between the two heatshield and the chassis rail to heatshield. Attached visual aid shows how the gauges can be use., 05-Jul-2013 - GGOKCE - -No information valid if the vehicle is FWD or RWD. If the vehicle is FWD, issue is related with AIMs 3341900.The FWD vehicle can not be fitted to the body due to the CAB chassis rail size is different than the VBK., 04-Jul-2013 - GBAILE51 - By design there is 15mm clearance between the Heatshields as per SDS requirements (see attached JPEG). This issue is due to Supplier Quality or Manufacturing. Data forwarded to Y.Ozansoy &amp; G.Gokce to advise further action., 26-Jun-2013 - UOZMEN2 - ICA Implemented By changed from [no previous value] to "ETAPO". ICA Implemented Date changed from [no previous value] to 01-Jan-2020. ICA Description changed., 26-Jun-2013 - UOZMEN2 - Open</t>
  </si>
  <si>
    <t>Manufacturing will use gauges (go/no go) to set the heatshields apart.
 process sheets have to be issued to authorise this as a PCA</t>
  </si>
  <si>
    <t>12/07 ICA=PCA. Use assy fixt to ensure
proper gap.
Güliz Gökce to provide Process sheets; ICA is working.
Manuf. Is requesting design help on at his issue</t>
  </si>
  <si>
    <t>Güliz Gökce 
Jamie Marlow</t>
  </si>
  <si>
    <t>2A</t>
  </si>
  <si>
    <t xml:space="preserve">Handbrake lever scuff when lowering the lever down from pull up position-Handbrake bezel on the lever scuff´s to the metal bracket
(old aim 3249201)
</t>
  </si>
  <si>
    <t>31-Jul-2013 - SPATEL3 - Pending Fix Point Date: 30-Aug-2013, Fix Point Phase: PP, 09-Jul-2013 - GKURTOGL - Pending Fix Point Date: 31-Jul-2013, Fix Point Phase: TT, 09-Jul-2013 - GKURTOGL - fixture is updated to solve this diffirent gap condition, issue is needed to be pend at TT time to investigate if we have this issue again., 29-Jun-2013 - IPORTER - Under Investigation today to compare with V362., 26-Jun-2013 - UOZMEN2 - ICA Implemented By changed from [no previous value] to "ETAPO". ICA Implemented Date changed from [no previous value] to 01-Jan-2020. ICA Description changed., 26-Jun-2013 - UOZMEN2 - Open</t>
  </si>
  <si>
    <t>improve fixture gap</t>
  </si>
  <si>
    <t>V362 c/o parts; ICA/PCA: fixture is updated to solve this different gap condition, S&amp;R will monitor 5 safe VIN's.
22.07.2013: Gulce Kurtoglu will complete the operator trainings till COB tomorrow.</t>
  </si>
  <si>
    <t>Mark Barber</t>
  </si>
  <si>
    <t>RH RCD lower trim buzz on door slam + on excitation-Plastic liner to sheet metal in upper area
(old aim 3269112 @ pending)</t>
  </si>
  <si>
    <t>01-Jul-2013 - CCIGTEKI - Closed Validated by: Alp, Gulsah (GALP), 01-Jul-2013 - CCIGTEKI - Pending Fix Point Date: 02-Jul-2013, Fix Point Phase: TT - Re-opened to change WB: No., 01-Jul-2013 - GALP - Closed Validated by: Alp, Gulsah (GALP) - this problem solved, 17-Jun-2013 - CCIGTEKI - Pending Fix Point Date: 19-Jun-2013, Fix Point Phase: TT, 13-Jun-2013 - MJUKES - Pending Fix Point Date: 13-Jun-2013, Fix Point Phase: TT - Parts validated on FTN. Concurred with manufacturing (R. Osterberg / G. Alp), 13-Jun-2013 - ROSTERB7 - ADW level has been approved for FtN 1 OKTG . ( subject to OK measurement reports ) Part is OK , all further builds will use new level parts. Stock will be replaced next week. AIMS can be closed. Gulsah will fit parts to verify., 10-Jun-2013 - ROSTERB7 - C12679417 releases new level ADW, with extra Ribs and revised material with 20% talc. A12683831 covers TT. New level parts available wk 24 . Parts will be replaced for TT with new level this week , FtN wed 12th., 08-Jun-2013 - GALP - Open - Issue was seen on TVU vehicle, 07-May-2013 - DYURDAKU - Pending Fix Point Date: 12-Jun-2013, Fix Point Phase: TT, 11-Jan-2013 - DYURDAKU - Pending Fix Point Date: 06-May-2013, Fix Point Phase: TT, 05-Dec-2012 - DYURDAKU - Pending Fix Point Date: 04-Mar-2013, Fix Point Phase: TT - As per MFG request., 03-Oct-2012 - MRYAN67 - Pending Fix Point Date: 30-Nov-2012, Fix Point Phase: VP - cocnern raised: C12616996, 25-Sep-2012 - MRYAN67 - Looking at possible solutions. Adding clips. difficult.major tool change. holes required in BiW RCD Changing material spec. Stiffer material. could affect tool/part shrinkage adding ribs to stiffen part, 21-Sep-2012 - GALP - Open</t>
  </si>
  <si>
    <t xml:space="preserve">A12683831 </t>
  </si>
  <si>
    <t>C12679417 -C-
C12616996 -C- (FoE &amp; FNA)</t>
  </si>
  <si>
    <t>use latest part level</t>
  </si>
  <si>
    <t>ICA: n/a : affected parts are old level
PCA: C12679417 releases with new level parts with extra ribs.</t>
  </si>
  <si>
    <t>Mehmet Sahin
Ray Osterberg</t>
  </si>
  <si>
    <t>Paul Moore (PMOORE89)</t>
  </si>
  <si>
    <t>Bulkhead liner stick/tick noise when touched with seat backrest; hot melt glue issue</t>
  </si>
  <si>
    <t>01-Aug-2013 - IAKKARPU - Pending Fix Point Date: 31-Aug-2013, Fix Point Phase: PP - Fix Point Date is revised., 12-Jul-2013 - GPAKSOY - Pending Fix Point Date: 19-Jul-2013, Fix Point Phase: TT - Improvement required in the pressing operation and tooling. Results will be available in week., 05-Jul-2013 - GPAKSOY - Pending Fix Point Date: 11-Jul-2013, Fix Point Phase: TT - Fix point date is updated., 02-Jul-2013 - IAKKARPU - G8D to be updated by COB today., 29-Jun-2013 - UOZMEN2 - ICA Implemented By changed from [no previous value] to "IAKKARPU". ICA Implemented Date changed from [no previous value] to 01-Jan-2020. ICA Description changed., 29-Jun-2013 - UOZMEN2 - Open</t>
  </si>
  <si>
    <t>19.07 Supplier will provide updated parts for ICA=PCA trial
Prototype parts will be evaluated by
S&amp;R team. 
New parts are available, S&amp;R trail on 24.07; S&amp;R OK, 
waiting for approved 8D</t>
  </si>
  <si>
    <t>Mehmet Sahin; gpaksoy 
Ihsan Akkarpuz</t>
  </si>
  <si>
    <t>LH SLD flutter at rear upper corner-LH SLD flutter at rear upper corner; Upper bump stop not set</t>
  </si>
  <si>
    <t>31-Jul-2013 - SPATEL3 - Pending Fix Point Date: 30-Aug-2013, Fix Point Phase: PP, 04-Jul-2013 - CCORLU - Pending Fix Point Date: 05-Jul-2013, Fix Point Phase: TT - The process change is to leave the c pillar bump stopper at the first point meaning stopper would touch to the SLD in any case. And if required fitter will take the bumper in to get flushness of the door to the c-pillar in spec like we do in 362 for PCA Process sheet should be attached to the system by T&amp;F. ICA vin no 71082 as agreed with T&amp;F (Emre Uylukçuoðlu)., 29-Jun-2013 - UOZMEN2 - ICA Implemented By changed from [no previous value] to "CCORLU". ICA Implemented Date changed from [no previous value] to 01-Jan-2020. ICA Description changed., 29-Jun-2013 - UOZMEN2 - Open</t>
  </si>
  <si>
    <t>362 has the same issue and there is a solution for the assembly operation. according to the results same solution will go to 363. Solution is update in process sheet 
No PCA date yet</t>
  </si>
  <si>
    <t>re-set door settings</t>
  </si>
  <si>
    <t xml:space="preserve">Sinem Temur/Cenk Corlu manufacturing, will check the door settings
Safe vin# 71082 </t>
  </si>
  <si>
    <t>RHF seat front scuff  noise - RHF seat pan tilt knob scuff to seat valence while adjusting</t>
  </si>
  <si>
    <t>01-Aug-2013 - IAKKARPU - Pending Fix Point Date: 31-Aug-2013, Fix Point Phase: PP - Fix Point Date is revised., 19-Jul-2013 - EYAZICI - Pending Fix Point Date: 22-Jul-2013, Fix Point Phase: TT - ICA can be seen attached. PCA: mold modification. G8D will be attrached on Monday, 16-Jul-2013 - ADATYAL - PPt updated to AIMS to show issue is SQ. The valence 2D drawings for both V362 &amp; V363, dont meet the current 3D CAD. The B side ribs for the tilt wheel should fully touch the valence rib. Further to tech review today, Magna to advise Robust ICA today. Also a timing for availability of latest level valence. The latest parts should then be assessed by engineering and S&amp;R. The b-side rib of recline wheel also has a 100% touch condition to the valence and there is no noise on that part., 16-Jul-2013 - CCIGTEKI - Global AIMS Meeting Note: Valence not to latest drawing. To be discussed in the Tech Review on 16th July. Issue confirmed as SQ as parts are not to spec., 16-Jul-2013 - CCIGTEKI - Issue Type changed from "Design" to "Supplier Quality"., 15-Jul-2013 - DYURDAKU - As per AIMS meeting discussion, a meeting took place between Magna, Seats PD and STA, it was agreed the parts are OK to CAD and issue is design., 15-Jul-2013 - DYURDAKU - Issue Type changed from "Supplier Quality" to "Design"., 13-Jul-2013 - A-BAKIR1 - Structure, wheel and valance are in spec. Wheel to Valance measurement is done and reviewed by Magna Eng. All reports are attached to deck. Next ; a complete seat will be scanned by Magna Eng , then it will be compared with CAD data. Comparison report will be shared on Monday., 11-Jul-2013 - P-ALEX25 - Seat measurement data and supplier measurement reports attached. Being analysed by Magna Sailauf Engineering this today., 09-Jul-2013 - P-ALEX25 - Magna SQA Engineers are out at suppliers today (09 JUL), so I will upload the measurements first thing tomorrow morning (10 JUL). Merve Onay, Michael Haas and I had a review of the assembly process this afternoon and do not see any obvious errors or causes of this issue. By pressing on the valance at the 4 o'clock position by approx 1-2 mm, the issue seems to disappear. We have as yet no explanation for this and need more measurements. As structure, wheel and valance are in specification, our next steps are: - Place a stock V362 seat into the shaker room overnight which is kept at a constant 20 deg - Tomorrow morning, scan the side valance measurement points of the "cold" seat (Bernd to provide measuring points) with wheel on and off. - Take a seat straight off the line and measure at same points - Compare these measurements to CAD to see if any tolerance stack ups are present, or if the high temp/humidity here is having an influence., 08-Jul-2013 - OKURT2 - Issue Type changed from "Design" to "Supplier Quality"., 08-Jul-2013 - GBARKE34 - Photo showing uneven gapping of the Handwheel to Valance added, 08-Jul-2013 - HPATEL65 - Agreed with Erdem Yazici that this is supplier quality. Please update status., 08-Jul-2013 - P-ALEX25 - Review of current assembly methodology to be carried out at Magna on 09 JUL. Also latest measurement results requested for tilt wheel and valance requested from T2 supplier - available 10 JUL., 06-Jul-2013 - HPATEL65 - In order for an AIMS to be declared MDI, the design requirements, or a deviation to the design requirements need to be stated. Currently there is no requirement/deviation that states the tilt wheel can be at an angle, either due to the fitting of the side valence or the wheel itself. Magna Local team are not aware of existing deviation. Magna engineering team in Germany to confirm existence of a deviation from 1mm clearance of side valance to tilt wheel. Please move to supplier quality to investigate and advise root cause and corrective action., 28-Jun-2013 - EYAZICI - Issue Type cha ... (Status info truncated)</t>
  </si>
  <si>
    <t>A12711281</t>
  </si>
  <si>
    <t>Alert A12711281 to be updated to include FNA by 14.00 Turkey, 12.00 UK time 2nd Aug 2013.</t>
  </si>
  <si>
    <t xml:space="preserve">ICA proposal: add felt tape between tilt
knob and seat valance </t>
  </si>
  <si>
    <t xml:space="preserve"> waiting for 8D completion; V362 solution is in progress, V363 will c/o the V362 solution</t>
  </si>
  <si>
    <t>19.07 Double tape should be in place.</t>
  </si>
  <si>
    <t>Amit Datyal (ADATYAL), serdar.Eren@magna.com; Merve.Onay@magna.com (Supplier)</t>
  </si>
  <si>
    <t>D-pillar mounted gap hider (black plastic cover) rattle to sheet metal</t>
  </si>
  <si>
    <t>06-Aug-2013 - JFLOREN3 - Pending Fix Point Date: 30-Aug-2013, Fix Point Phase: TT - C12708074 added at A stauts, C12706332 removed from WERs field., 05-Aug-2013 - JFLOREN3 - Open - C12706332 is not a valid CR in the AIMS system, please add the correct CR # prior to pending. Part is common with FNA, KCAP added as plant affected., 03-Jul-2013 - MJUKES - Pending Fix Point Date: 26-Aug-2013, Fix Point Phase: PP, 02-Jul-2013 - ROSTERB7 - C12706332 now raised to add B-surface Foam PIA part. AIMS can be pended, Current builds are reworked , no issues, 29-Jun-2013 - IPORTER - Raise CR on Monday to add foam. (Paul Moore), 29-Jun-2013 - UOZMEN2 - ICA Implemented By changed from [no previous value] to "ROSTERB7". ICA Implemented Date changed from [no previous value] to 01-Jan-2020. ICA Description changed., 29-Jun-2013 - UOZMEN2 - Open</t>
  </si>
  <si>
    <t>A12705337</t>
  </si>
  <si>
    <t>C12708074 -C- (FoE &amp; FNA)</t>
  </si>
  <si>
    <t>A12717498</t>
  </si>
  <si>
    <t xml:space="preserve">foam washer on B-surface
</t>
  </si>
  <si>
    <t xml:space="preserve">ICA=PCA: foam washer on B-surface
</t>
  </si>
  <si>
    <t>Ray Osterberg
Nigel Beagley
Paul Moore</t>
  </si>
  <si>
    <t>B-pillar mounted wire harness rattle to sheet metal</t>
  </si>
  <si>
    <t>02-Jul-2013 - MJUKES - Pending Fix Point Date: 26-Aug-2013, Fix Point Phase: PP, 01-Jul-2013 - NBEAGLE1 - ICA and PCA is to add a foam to the B-surface Alert number A12705957. PCA to be released in C12699799., 29-Jun-2013 - IPORTER - 1 CR already exists to revise profile of ducting (Nigel). Add foam on clips to CR., 29-Jun-2013 - UOZMEN2 - ICA Implemented By changed from [no previous value] to "NBEAGLE1". ICA Implemented Date changed from [no previous value] to 01-Jan-2020. ICA Description changed., 29-Jun-2013 - UOZMEN2 - Open</t>
  </si>
  <si>
    <t>A12705957</t>
  </si>
  <si>
    <t>C12699799 -C- (FoE &amp; FNA)</t>
  </si>
  <si>
    <t xml:space="preserve"> Addition of a 1.5mm thick foam washer</t>
  </si>
  <si>
    <t>Ray Osterberg will provide the PCA release V362 clip for V363.</t>
  </si>
  <si>
    <t>Nigel Beagley</t>
  </si>
  <si>
    <t>Cargo area oil canning on door slam and during dynamic
-Roof sheet metal is to flexible causing it to drum on dynamic and creating the oil canning noise on door slam
(old aim 3253681)</t>
  </si>
  <si>
    <t>21-Aug-2013 - CCIGTEKI - Pending Fix Point Date: 10-Sep-2013, Fix Point Phase: PP, 02-Aug-2013 - MISKEN1 - Pending Fix Point Date: 02-Aug-2013, Fix Point Phase: PP - DR71058 described as Safe VIN, 27-Jul-2013 - TFEGAN - Trial in Body Construction to improve condition in last 10 TT vehicles - (manual rework) If successful, then either supplier quality or further design change to BSI required. Safe VIN to be issued by Tugba., 17-Jul-2013 - DYURDAKU - Issue Type changed from "Manufacturing Quality" to "Manufacturing"., 13-Jul-2013 - DYURDAKU - Tayfun to discuss with Volkan Birol to laser scan the inside of vehicle., 10-Jul-2013 - HOEZTU11 - Issue Type changed from "Design" to "Manufacturing Quality"., 09-Jul-2013 - MDIENER1 - 1.) Gap between roof bow and roof inconsistant. Variation between "0" and "12mm". Material is not supposed to close this gap. Connection of roof bow to roof too soft. Fixtures and process needs to be checked and confirmed 2.) use of deadener pads in Paintshop were rejected for ergonomic reasons, 09-Jul-2013 - RCATTON - NVH team have confirmed that the roof drumming on #71035 is also audible if the RCD door is open and SLD is slamed. Initial CAE NVH results for investigation into swage pattern proposals due 12th July '13., 08-Jul-2013 - BENDACOT - Roof deadner ICA has been rejected by Kocaeli Plant due to ergo issues. Further investigations ongoing with S&amp;R team as issue only seen on one side of one MR LWB van. Roof panel is common for all LWB and issue not seen on other units. Webex with Huseyin 8/7 discussed re-running SLD slam-test with RCD open to understand if issue could be caused by insuffiicient air extraction when SLD is closed. NVH CAE team looking at potential roof swage changes that may help this issue. Update due 10/7., 05-Jul-2013 - MDIENER1 - VIN #71035 available to evaluate on Monday 8-July with Hueseyin Oeztuerk, 05-Jul-2013 - BENDACOT - Markus Diener has agreed to help BIW team with roof deadner trials in S&amp;R booth to verify that proposaed ICA will help resolve issue., 04-Jul-2013 - DWEIR13 - To implement ICA help required from Paint Engineering for deadener pads., 04-Jul-2013 - DWEIR13 - System changed from "1A BIW / Structures" to "1A BIW / Structures, 8 Paint"., 04-Jul-2013 - DWEIR13 - Please add video of roof drumming on dynamic, issue found on 1 of 4 vehicles 2 MR 2 HR., 03-Jul-2013 - UOZMEN2 - ICA Implemented By changed from [no previous value] to "RHUCKSTE". ICA Implemented Date changed from [no previous value] to 01-Jan-2020. ICA Description changed., 03-Jul-2013 - UOZMEN2 - Open</t>
  </si>
  <si>
    <t>air drying sealer (ref similar sidewall &amp; closure ICA)</t>
  </si>
  <si>
    <t>fixture adjustment</t>
  </si>
  <si>
    <t>Güliz Gökce to provide safe VIN &amp; process sheet update for ICA&amp;PCA
#71058 is nominated as Safe vin, S&amp;R to re-evaluate the issue</t>
  </si>
  <si>
    <t>Dave Weir (DWEIR13); John Evenden; Huckstepp, Robert</t>
  </si>
  <si>
    <t>Lock barrel to latch ring rattle-The lock barrel is rattling to the latch ring causing a metallic rattle</t>
  </si>
  <si>
    <t>18-Aug-2013 - CLUND - FP is not acceptable. Job 1 intent containment must be in for PP., 17-Aug-2013 - SNOYCE1 - Pending Fix Point Date: 18-Oct-2013, Fix Point Phase: PP - C12722116 raised to resolve the S&amp;R issue between the front door latch and lock., 12-Aug-2013 - RDAVEY - clearance to be added to Kiekert latch "ring" to Clear Lock Barrel "button" CR required from Vic sherwood, 05-Aug-2013 - JFLOREN3 - Open - A CR is required to pend this issue if a design action is required. Please do not pend until the CR is pulled and on the Job 1 deck for this issue. Lock barrell designs are not common between FNA and FoE per discussions with Mark Brown. KCAP removed as plant affected from X-Reference., 31-Jul-2013 - RDAVEY - Kiekert Latch will be modified to add tabs to the paper washer, as Latch is carry over V362 the change will come from PVT after the shut down (see attached) The BETA brace ICA will not fix this issue., 31-Jul-2013 - SPATEL3 - Pending Fix Point Date: 30-Aug-2013, Fix Point Phase: PP, 30-Jul-2013 - RDAVEY - Witte &amp; Kiekert in plant to resolve this issue, 18-Jul-2013 - SNOYCE1 - Pending Fix Point Date: 02-Aug-2013, Fix Point Phase: TT - A12707365 raised to add a beta brace to the front door outer panel. Safe VIN #'s are DR-71051, 82563, 82539, 82547, 82536. AIMS put to Pending the trial of these vehicles., 16-Jul-2013 - SNOYCE1 - As discussed with Eren, the beta brace for the trials can be made from the same part used on the hood. Although it is only 65.0 mm wide, 2 L-shaped pieces can be cut with the cut line through the centre line of the U shape. Please see attached MMA from the Alert., 10-Jul-2013 - RDAVEY - Issue was evaluated, and agreed with S&amp;R team that it is the WiTTE lock Cylinder "ticking" against the Latch. ICA under Alert A12705321 is in place. Clean VIN for production line was DR71062 &amp; DR71094 included, and all vehicles after. PCA under investigation, next trial at Darren's request is to trial on 10 vehicles BETA Brace / sound deadener around the door lock cylinder area on the back side of the door outer panel under Alert A12707365, 09-Jul-2013 - UOZMEN2 - ICA Implemented By changed from [no previous value] to "SNOYCE1". ICA Implemented Date changed from [no previous value] to 01-Jan-2020. ICA Description changed., 09-Jul-2013 - UOZMEN2 - Open</t>
  </si>
  <si>
    <t>A12705321
A12707365 (beta brace)</t>
  </si>
  <si>
    <t>C12722116 -A-</t>
  </si>
  <si>
    <t>apply foam block</t>
  </si>
  <si>
    <t>safe vin: DR-71051, 82563, 82539, 82547, 82536</t>
  </si>
  <si>
    <t>Davey, Rob (R.E.) &lt;rdavey@ford.com&gt;
Mike Lemotte</t>
  </si>
  <si>
    <t>LH SLD knock on opening - LH SLD knock on opening; Lower roller hooks on lower rail</t>
  </si>
  <si>
    <t>31-Jul-2013 - SPATEL3 - Pending Fix Point Date: 30-Aug-2013, Fix Point Phase: PP, 04-Jul-2013 - CCORLU - Pending Fix Point Date: 05-Jul-2013, Fix Point Phase: TT - For ICA, inspection point are defined in pre-cal areas to check the clash conditionf lower roller to the track to catch any deformation or scratches on the top surface of lower roller creating noise as well as we do for 362 currently in the production. ICA vin no 71082 for verification Meanwhile, for everlasting solution - C12635477 for 362 must be quickly approved and released in parallel with 363 for PCA - Aims no 3340271 must be resolved as well for PCA Because SLD setting is completely carry over from 362, same process sheet being used, but different pictures. Pictures also would turn into the 363 ones asap. (edit), 30-Jun-2013 - EUSLU1 - ICA Implemented By changed from [no previous value] to "ETAPO". ICA Implemented Date changed from [no previous value] to 01-Jan-2020. ICA Description changed., 30-Jun-2013 - EUSLU1 - Open</t>
  </si>
  <si>
    <t>PP for PCA date
Process sheet update for 363 pictures only (c/o process sheet from 362)</t>
  </si>
  <si>
    <t>re-set SLD
process improvement sheet attached</t>
  </si>
  <si>
    <t>safe VIN# 71082 will be tested</t>
  </si>
  <si>
    <t>Cenk Corlu, Fatmagul Aksoy</t>
  </si>
  <si>
    <t>D-pillar ticking; Gap between flanges</t>
  </si>
  <si>
    <t>31-Jul-2013 - SPATEL3 - Closed Validated by: Oeztuerk, Hueseyin (HOEZTU11) - As per discussion and agreement with Hueseyin Oeztuerk on 7/31, this issue is closed as no repeat., 16-Jul-2013 - HOEZTU11 - Pending Fix Point Date: 31-Jul-2013, Fix Point Phase: TT - issue is not replicable on the affected vehicle; SR to monitor, 13-Jul-2013 - BENDACOT - S&amp;R team will bring affected unit back into booth to try to root-cause one off issue., 12-Jul-2013 - BENDACOT - Issue only seen on one vehicle - no design change proposed at current time. Monitor., 10-Jul-2013 - JEVENDEN - Attachment added showing design condition. Based on this file S&amp;R team to make an assessment if issue is design or Build quality related., 06-Jul-2013 - CCIGTEKI - Pumpable sealer to be applied btw flanges, alert raised, to be provided by John Evenden., 05-Jul-2013 - UOZMEN2 - ICA Implemented By changed from [no previous value] to "JEVENDEN". ICA Implemented Date changed from [no previous value] to 01-Jan-2020. ICA Description changed., 05-Jul-2013 - UOZMEN2 - Open</t>
  </si>
  <si>
    <t>issue is not replicable on affected vehicle; SR to monitor
30.07 one-off issue, no further re-occurrence, closure agreed</t>
  </si>
  <si>
    <t xml:space="preserve"> Huckstepp, Robert</t>
  </si>
  <si>
    <t>IP S&amp;R under IP stowage box (cockpit fixing to body, bracket on the cowl); screw washer loose causes rattle noise. 
X-threaded due to weldspatter</t>
  </si>
  <si>
    <t>31-Jul-2013 - SPATEL3 - Closed Validated by: Oeztuerk, Hueseyin (HOEZTU11) - As per discussion and agreement with Hueseyin Oeztuerk on 7/31, this issue is closed as no repeat., 12-Jul-2013 - GALP - Pending Fix Point Date: 12-Jul-2013, Fix Point Phase: TT, 12-Jul-2013 - GALP - Visual aid was added,after securing bolt is marked, 11-Jul-2013 - UOZMEN2 - ICA Implemented By changed from [no previous value] to "GALP". ICA Implemented Date changed from [no previous value] to 01-Jan-2020. ICA Description changed., 11-Jul-2013 - UOZMEN2 - Open</t>
  </si>
  <si>
    <t>July 16 for PCA date
Process sheet provided</t>
  </si>
  <si>
    <t xml:space="preserve">Process improvement added by Guliz 22.07.2013: </t>
  </si>
  <si>
    <t>PVB drive issue; no further reoccurrence, closure agreed</t>
  </si>
  <si>
    <t xml:space="preserve"> Tom Thompson and Emre Oymakkapi</t>
  </si>
  <si>
    <t>Croak noise at rear calliper when pulling up the hand brake - 
Spring winding are creating the croak
(old aim 3344960)</t>
  </si>
  <si>
    <t>13-Aug-2013 - ETAPO - Closed Validated by: Tapo, Erhan (ETAPO) - Closure of the issue concurred by the initiator. Issue can be reopened at PP if the issue reoccurs. No need for keeping the item in pending, 15-Jul-2013 - GKLEBER1 - Pending Fix Point Date: 30-Sep-2013, Fix Point Phase: PP - Issue is still present on current builds. Latest level parts will be available for PP., 13-Feb-2013 - HOEZTU11 - Closed Validated by: Oeztuerk, Hueseyin (HOEZTU11) - No further re-occurrences more, closure agreed as CR at C status, 09-Jan-2013 - DYURDAKU - Pending Fix Point Date: 06-May-2013, Fix Point Phase: TT, 05-Dec-2012 - REVELIN3 - Close AIMS when concerns go to C status, 05-Dec-2012 - CMACDIAR - Both C12598492 (FWD) and C12590276 (RWD) will release the croak fix for V363. Both AC'd., 04-Dec-2012 - BJACKSON - Pending Fix Point Phase: TT - C12598492. A-status. Pend., 04-Dec-2012 - ETAPO - Open - CR is in a status and pending overdue. New target date required, 09-Aug-2012 - REVELIN3 - Pending Fix Point Date: 28-Sep-2012, Fix Point Phase: VP - Concern at A status, 01-Aug-2012 - REVELIN3 - Noise path confirmed by Bosch. Chamfer to be added to all Rear Brake Calipers. Concern to be raised., 24-Jul-2012 - REVELIN3 - Chassis to discuss with Bosch, 24-Jul-2012 - SWINCH - Issue Type changed from "Supplier Quality" to "Design"., 24-Jul-2012 - SWINCH - Preliminary 8D received, noise tests ongoing. First identified counter measure is to add a chamfer on the return lever spring contact edge with spring to make it smooth and to ease the spring sliding. AIMS changed to Design pending engineering release change., 10-Jul-2012 - SWINCH - Parts received at Supplier on Friday 6th July. 8D being prepared., 04-Jul-2012 - CBARTON - Same issue witnessed on RH rear caliper of V363 VP vehicle TG337413 at Lommel 04.07.2012. Caliper same as V362. Awaiting 8D from supplier Chassis Brake International (formerly Bosch). Parts sent 29.06.2012 still not arrived at Chassis Brake International as of 04.07.2012, 04-Jul-2012 - REVELIN3 - Parts sent to Bosch 29/06/12 Tracking number UPS-SCS 205383 5916843108, 26-Jun-2012 - SWINCH - Bosch are still waiting for the return of the faulty parts, so that their investigations can begin., 11-Jun-2012 - SWINCH - Preliminary 8D received (attached). Waiting for faulty parts to be returned to Bosch for investigation., 11-Jun-2012 - SWINCH - SRI raised and emailed to supplier. Waiting for 8D report. Note:1 brake set (Replacement) has been sent to Ford Lommel (08-June-2012) att. of H Wouter Heytens (tracking n° 1Z 002 3FA 68 9375 9473)., 11-Jun-2012 - SWINCH - Bosch representatives, This appears to be an issue with part reference: BK21-2K328 AE (LH) &amp; BK21-2K327 AE (RH) (Rear Brake). Please start your investigation into this issue, Hueseyin Oeztuerk (tel:49-221-9031782) is the initiator of this issue, so contact him for details. Please start the 8D process and send your preliminary and completed 8Ds to Hueseyin, Ben Carew and myself, (hoeztu11@ford.com, bcarew@ford.com and SWINCH@ford.com). Thank you.., 11-Jun-2012 - SWINCH - Latest Issue description / testing: Spring winding for handbrake (LH+RH) on the rear calliper is creating croak noise while pulling up the hand brake; the noise is audible from driver cab., 08-Jun-2012 - MBASAK - Open, 07-Jun-2012 - TKAYA10 - Startup - Issue accepted to open for investigation., 06-Jun-2012 - HOEZTU11 - New</t>
  </si>
  <si>
    <t xml:space="preserve">A12691302 </t>
  </si>
  <si>
    <t>C12590276 -C-, C12598492 -C-</t>
  </si>
  <si>
    <t>improved parts are available @ PP .The counter measure add a chamfer on the sharp lever edge in contact with
the spring, on both lever and abutment</t>
  </si>
  <si>
    <t>improved parts are available @ TT .The counter measure add a chamfer on the sharp lever edge in contact with
the spring, on both lever and abutment</t>
  </si>
  <si>
    <t>design change</t>
  </si>
  <si>
    <t>Sup Q issue, BK31 2K327/2k328 AE  will be delivered in PP
The reason for S&amp;R: old parts were assembled; NO ICA available</t>
  </si>
  <si>
    <t>Green Adam</t>
  </si>
  <si>
    <t>Parking Brake Rod rattle - Handbrake rod is rattling to brake pipes
(old aim 3263297)</t>
  </si>
  <si>
    <t>25-Jul-2013 - BJACKSON - Pending Fix Point Phase: TT - C12712057 in A-status., 19-Jul-2013 - BJACKSON - C12712057 written. W-status., 19-Jul-2013 - BJACKSON - C12675331 has been rejected. What resolves this rattle?, 15-May-2013 - JFLOREN3 - Chassis Cab EL is Phase 1b content for FoE and Phase 2 content for FNA., 13-May-2013 - OKURT2 - Lead Vehicle - Model Year changed from "V363 Global-2013.50" to "V363 Phase 2-2013.50"., 03-May-2013 - VTRAN - This is a MUST FIX for S&amp;R. Need to be in for Job 1., 03-May-2013 - CCIGTEKI - Open - “Issue re-opened as CR is JB1+90. All severity 3 and 5 issues are JB1 must fix. The change should be moved to JB1, or initiator agreement is required to change issue severity to “1”., 29-Apr-2013 - SGOODSIT - Pending Fix Point Date: 01-Jul-2013, Fix Point Phase: TT, 05-Apr-2013 - REVELIN3 - Pending Fix Point Date: 06-May-2013, Fix Point Phase: TT - Close AIMS when concern goes to C status., 27-Mar-2013 - IPORTER - CR due April 5., 25-Mar-2013 - REVELIN3 - New support bracket to be designed. Timing TBD., 18-Mar-2013 - REVELIN3 - Build condition photo added. CAD shots added., 14-Mar-2013 - BJACKSON - Open - Trial performed at NMPDC with star sleeves added to p/b rod on TH430115. Rattle to heat shield still evident. Pictures/video forwarded., 13-Mar-2013 - REVELIN3 - Pending Fix Point Date: 30-Apr-2013, Fix Point Phase: TT - Close AIMS when KCAP have trialled &amp; approved change., 12-Mar-2013 - SMORTO22 - This is a known issue and it has been addressed by adding star sleeving to the rod. This has already been approved and is released with concern C12629653., 12-Mar-2013 - REVELIN3 - Can you add picture of area., 11-Mar-2013 - VTRAN - Open</t>
  </si>
  <si>
    <t>A12709636</t>
  </si>
  <si>
    <t>C12629653 -C- (FoE &amp; FNA), C12675331 -X-, C12712057 -A- (FoE &amp; FNA)</t>
  </si>
  <si>
    <t xml:space="preserve">Yes, counter measure will be wrap up with the combination of C12712057 (PP) and C12673300 </t>
  </si>
  <si>
    <t>Protective sleeving added</t>
  </si>
  <si>
    <t xml:space="preserve">additional grommet on rear brake cables and sleeves on park brake rods          </t>
  </si>
  <si>
    <t>Safe vin# DR71034, 1096, 1097 and 1054.</t>
  </si>
  <si>
    <t>SLD upper roller scuff noise on open/close-
-residue / welding splatter under the paint in the rail on the inboard side.
-roller surface NOK
(old aim 3247898)</t>
  </si>
  <si>
    <t>12-Jul-2013 - IAKKARPU - Closed Validated by: Akkarpuz, Ihsan (IAKKARPU) - Modified parts fully resolved the issue. Same problem will never be seen again with using these parts confirmed by STA., 11-Jul-2013 - IAKKARPU - Pending Fix Point Date: 18-Jul-2013, Fix Point Phase: TT - A12708258 is in place. Fix point revised as 18-Jul to see the modified parts (PCA reflected), 10-Jul-2013 - DYURDAKU - ICA Description changed., 10-Jul-2013 - IAKKARPU - Pending Fix Point Date: 12-Jul-2013, Fix Point Phase: TT - Lower track flange height and stud position is measured after improvements.Dimensions are OK which has caused the problem. Please take a look at the 8D attached., 08-Jul-2013 - IAKKARPU - Alert will be opened for rework operation on reinforcement bracket. (08.07.2013) Please find the rework details attached. RW operation will be done.(Overmold will be trimmed 3 mm.) W28 - Overmold on bracket which is out off flange is measured with calipper and decided to trim the overmold 3 mm. As for root cause lower track is measured and its shows us that the lower track flange height which is near the reinforcement bracket is low and screw position is out of tolerance. PCA details to be revealed herein shortly and the issue will then be pended., 05-Jul-2013 - IAKKARPU - Part number needs to be updated. Supplier has been notified regarding the issue and 8D raised against Rollmech to fully contain the issue., 05-Jul-2013 - JABERNE2 - Revised to SQ. Supplier (Jamie Tindale) has confirmed the studs and cut out are incorrect. 8D required., 05-Jul-2013 - JABERNE2 - Issue Type changed from "Design" to "Supplier Quality"., 04-Jul-2013 - JWHIT410 - Email sent to Armagan Goyunc to move AIMs to SQ., 03-Jul-2013 - OKURT2 - System changed from "1B Closures / Hardware" to "1BE Closures / Trim"., 03-Jul-2013 - JTINDA12 - AIMs for Lower track cover plate hanging down: - • Issue is supplier quality for the stud/cut out position on the lower track • Although we have released a 3mm edge change this is not in the TT stock so the particular issue in this aims is SQ against Rollmech track. • When we get 3mm trimmed tracks we will have the issue, ICA can be cut the cover brackets down 3mm. • PCA needs to be defined in agreement between V362 &amp; V363 for the direction, common brackets/unique tracks, common brackets/common tracks, unique brackets/unique tracks Please move to supplier quality &amp; request 8D., 01-Jul-2013 - CCORLU - Issue Type changed from "Manufacturing" to "Design"., 01-Jul-2013 - CCORLU - New snipped shot added, please look at it, it would b clear that the distance between the lower point of the track edge to the lower point of stopper point is 2,5 mm. This means that lower roller adjustment turns into to be limited by 2,5mm. this will cause potential clash condition of lower roller arm to that stopper. This is design issue as shown in the cad., 29-Jun-2013 - IPORTER - Review what issue is and then pend/close as appropriate., 19-Jun-2013 - CCIGTEKI - ICA Description changed., 19-Jun-2013 - CCIGTEKI - ICA Description changed., 19-Jun-2013 - CCIGTEKI - ICA Description changed., 18-Jun-2013 - UOZMEN2 - ICA Implemented By changed from [no previous value] to "CCORLU". ICA Implemented Date changed from [no previous value] to 01-Jan-2020. ICA Description changed., 18-Jun-2013 - UOZMEN2 - Open</t>
  </si>
  <si>
    <t>Need 8D for both RC's
STA contacts suppliers; Safe vin#82583; 
16/07 ICA:  lower track reinforcement bracket 3mm trim
PCA: parts confirmed &amp; aim closed by STA</t>
  </si>
  <si>
    <t>Jack Whitehurst
Brian Westgarth
Fatih Bay</t>
  </si>
  <si>
    <t>RH RCD scuff on open/close-Check arm creates a scuff noise (missing grease on check arm)
(old aim 3253678)</t>
  </si>
  <si>
    <t>31-Jul-2013 - SPATEL3 - Pending Fix Point Date: 30-Aug-2013, Fix Point Phase: PP, 22-Jul-2013 - SNOYCE1 - Pending Fix Point Date: 02-Aug-2013, Fix Point Phase: TT - C12705553 raised to release a less stiff spring. Trial parts in Kocaeli this week for testing. AIMS put to Pending the A status Concern and testing., 20-Jul-2013 - SNOYCE1 - Farouque and Flexngate investigating the use of a different spring tension. Feedback expected on Monday., 19-Jul-2013 - IAKKARPU - Issue Type changed from "Supplier Quality" to "Design"., 19-Jul-2013 - IAKKARPU - TUBSA team has given the following feedback with regard to the issue ''According to design, only grease is specified to be in the inner side of the RCD check arm (strap) roller, but not on the outer surface nor on the RCD check arm catchers so that this is not a supplier quality issue'' Issue is to be moved to design for further investigation based on the supplier's statement on the item., 18-Jul-2013 - IAKKARPU - SRI has been issued to the supplier. Tubsa to take necessary corrective actions to contain this issue., 18-Jul-2013 - DYURDAKU - ICA Implemented By changed from [no previous value] to "IAKKARPU". ICA Implemented Date changed from [no previous value] to 01-Jan-2020. ICA Description changed., 18-Jul-2013 - DYURDAKU - Open</t>
  </si>
  <si>
    <t>194811
C12705553 -C- (FoE and FNA)</t>
  </si>
  <si>
    <t>use non ppap2 parts for PP build for FoE</t>
  </si>
  <si>
    <t xml:space="preserve">check arm catcher and strap modified to resolve high efforts                       </t>
  </si>
  <si>
    <t>16/07 Need 8D
STA contacts supplier
ICA: apply grease on checkarm
19.07 new check arms available in cw 30</t>
  </si>
  <si>
    <t>F. Khan
Cenk Corlu</t>
  </si>
  <si>
    <t xml:space="preserve">RH Centre roller rattle on centre rail during door opening on the rail bend </t>
  </si>
  <si>
    <t>05-Aug-2013 - DSEZGIN1 - Pending Fix Point Date: 10-Sep-2013, Fix Point Phase: PP - Setting will be improved for PP built. New setting fixture strategy will be checked for PP instead of individual jigs., 01-Aug-2013 - DSEZGIN1 - Trim and Final jigs started to be used after 31.July, the last vehicles need to be checked, 31-Jul-2013 - KBASTIMA - jigs are in use for all of the rollers(upper-center-lower). So today's vehicle(s) (82561-....) built using center track mechanism jig., 29-Jul-2013 - CCORLU - The distance between center roller to the track wall changes from 2 mm up to 5mm causing vibration effect while opening. Please look to the picture attached showing where mentioned the critical distance to be under control. By changing all adjustment parametres it looks like issue gets better remaining still open issue but can not be the mass production cases, please be careful of that., 27-Jul-2013 - CYORE - Manufacturing to build at least 10 units ensuring that the centre track mechanism jig is used. Feedback is required to determine root cause., 26-Jul-2013 - JTINDA12 - Trial have been completed with new central tracks on 07/26 on same vehicle 71030. The new tracks have been measured dimensionally before and the parts were in fully spec. But the issue still remains on the vehicle with the new trusted tracks. The quality of the parts are not effecting this noise issue, therefore this can’t be a Supplier Quality Issue., 25-Jul-2013 - EDIKKAYA - Another trial has been done on 71030 at tuesday 07/23. Could not fix the issue with adjustment, issue still seems on the rail. Rollmech has been asked to bring new-trusted parts for further trial. T/F help required., 22-Jul-2013 - IAKKARPU - Issue Type changed from "Supplier Quality" to "Manufacturing"., 22-Jul-2013 - IAKKARPU - 8D prepared by Rollmech is attached. Issue type needs to be changed to manufacturing., 19-Jul-2013 - IAKKARPU - Rollmech have had some trials on the problematic vehicle to remove the issue in which it was done successfully by adjusting the male wedge &amp; center mechanism into an appropriate condition. G8D is now being completed by Rollmech by reflecting the permanent corrective actions. Furthermore, this item has been discussed in SnR review meeting with manufacturing team. There is apparently no quality issue on Rollmech's parts where the problem occurs due to manufacturing process on the line that the parts should be fitted by making an adjustment. Please bin to manufacturing., 18-Jul-2013 - DYURDAKU - ICA Implemented By changed from [no previous value] to "IAKKARPU". ICA Implemented Date changed from [no previous value] to 01-Jan-2020. ICA Description changed., 18-Jul-2013 - DYURDAKU - Open</t>
  </si>
  <si>
    <t>improve SLD door settings.</t>
  </si>
  <si>
    <t>29.07 Trial have been completed with new central tracks on 07/26 on same vehicle 71030
The issue still remains on the vehicle with the new trusted tracks, the issue could be improved with a proper SLD door settings.
05.08 Setting will be improved for PP built. 
New setting fixture strategy will be checked for PP instead of individual jigs</t>
  </si>
  <si>
    <t>Jack Whitehurst; 
Sinem Temur
iakkarpu</t>
  </si>
  <si>
    <t>LF Door drip seal stick-tick noise: During door open and close operation upper portion of the door has a stick tick noise coming through the drip seal itself.</t>
  </si>
  <si>
    <t>22-Jul-2013 - SNOYCE1 - Pending Fix Point Date: 18-Oct-2013, Fix Point Phase: PP - C12711219 now at A status., 19-Jul-2013 - SNOYCE1 - Silicon spray was tested and proved successful in eliminating the stick-tick noise. A12711219 raised to re-work to the remaining of the TT builds. Concern C12711219 raised to revise the extrusion tool. Saargummi to provide feasibility/cost/timing on Monday 22Jul12., 17-Jul-2013 - SNOYCE1 - Saargummi feedback proposed adding a small rib to prevent full surface contact. Jim Bailey to review. A silcon spray has been suggested as an ICA. This will be bought tonight and tested tomorrow., 17-Jul-2013 - SNOYCE1 - Vehicle 71088 tested today produced the tick noise, which clearly comes from 2 surfaces which are compressed when the door is closed and then came apart on opening. Please see attached presentation. Krytox was applied as a potential ICA, but this did not work. Information passed to supplier and awaiting feedback., 15-Jul-2013 - SNOYCE1 - Umut Ozcan was unable to find a suitable vehicle today to investigate. The squeak cannot really be heard outside and certainly not if the vehicle has been in the sun. A cool, problematic vehicle is required to be in the S&amp;R chamber for analysis. He has promised to locate one tomorrow and investigate during one of his time slots., 13-Jul-2013 - IAKKARPU - Issue Type changed from "Supplier Quality" to "Design"., 13-Jul-2013 - IAKKARPU - As agreed with Sean Noyce &amp; Christine Lund in AIMs meeting that issue type needs to be turned to design to find the root cause., 12-Jul-2013 - IAKKARPU - SRI has been issued to the supplier. Saargummi to prepare a robust 8D to fully contain the issue., 12-Jul-2013 - UOZMEN2 - ICA Implemented By changed from [no previous value] to "IAKKARPU". ICA Implemented Date changed from [no previous value] to 01-Jan-2020. ICA Description changed., 12-Jul-2013 - UOZMEN2 - Open</t>
  </si>
  <si>
    <t xml:space="preserve">A12711219 </t>
  </si>
  <si>
    <t>194618
C12711219 -C- (FoE &amp; FNA)</t>
  </si>
  <si>
    <t xml:space="preserve">apply krytox </t>
  </si>
  <si>
    <t>Add ribs to the profile and apply slipcoat alos on the back of the profile</t>
  </si>
  <si>
    <t>15/07 Under investigation
ICA: krytox is proposed, trail will be done on 16/07
19.07 Design change is proposed (Sean Noyce and SaarGummi) 22.07.2013: Sean Noyce will provide the design change date.</t>
  </si>
  <si>
    <t>Sean Noyce
Cenk Corlu</t>
  </si>
  <si>
    <t>Sean Noyce
Jim Bailey
Cenk Corlu</t>
  </si>
  <si>
    <t>Scuffplate croak noise-Misbuild off scuffplate on front door RHD croaks while loading</t>
  </si>
  <si>
    <t>31-Jul-2013 - SPATEL3 - Pending Fix Point Date: 30-Aug-2013, Fix Point Phase: PP, 18-Jul-2013 - GKURTOGL - Pending Fix Point Date: 31-Jul-2013, Fix Point Phase: TT, 18-Jul-2013 - GKURTOGL - visual warning is prepared for operators. Issue is needed to be pend at TT time., 17-Jul-2013 - GALP - Front door scuff can not assamble because of body.Need dimension report for this area,please llok attachment video, 15-Jul-2013 - UOZMEN2 - ICA Implemented By changed from [no previous value] to "GKURTOGL". ICA Implemented Date changed from [no previous value] to 01-Jan-2020. ICA Description changed., 15-Jul-2013 - UOZMEN2 - Open</t>
  </si>
  <si>
    <t>July 15 for PCA date ICA = PCA
Warning sheet provided</t>
  </si>
  <si>
    <t>re build the scuffplate</t>
  </si>
  <si>
    <t>operator awareness; provided process improvement sheet &amp; visual warning is prepared for operators</t>
  </si>
  <si>
    <t xml:space="preserve"> 22.07.2013: Operator warning sheet is present. Manufacturing will monitor in TT phase.</t>
  </si>
  <si>
    <t>Naim Yildirim</t>
  </si>
  <si>
    <t>headliner rattle noise on centre area-Headliner re-enforcement bracket for OHS console on the centre area is rattling vs. Front roof sheet metal</t>
  </si>
  <si>
    <t>05-Aug-2013 - MSAHIN12 - Pending Fix Point Date: 26-Aug-2013, Fix Point Phase: PP - C12699397, 15-Jul-2013 - MJUKES - Pending Fix Point Date: 26-Aug-2013, Fix Point Phase: PP - C12710364 ICA = PCA. Alert ICA: A12709985, 15-Jul-2013 - UOZMEN2 - ICA Implemented By changed from [no previous value] to "MOUGHTO1". ICA Implemented Date changed from [no previous value] to 01-Jan-2020. ICA Description changed., 15-Jul-2013 - UOZMEN2 - Open</t>
  </si>
  <si>
    <t>A12709985
A12710096</t>
  </si>
  <si>
    <t>C12710364  -X-
C12699397 -C-</t>
  </si>
  <si>
    <t xml:space="preserve">add foam blocks to the headliner bracket &amp; add foam on a pillar trim for airbag </t>
  </si>
  <si>
    <t>add foam pad on front headliner A/B Pillar</t>
  </si>
  <si>
    <t>ICA= foampads (U&amp;O alert). Green with safe VIN#
PCA=ICA . Need CR (avoid AIM) Mehmet Sahin will give the safe VIN numbers.
New CR# will be given by M. jukes</t>
  </si>
  <si>
    <t>Gülsah Alp
Mehmet Sahin</t>
  </si>
  <si>
    <t>backpanel buzz on door slam in RH upper area-Looks like backpanel window glue or sheet metal is creating the noise.(old aim 3269072 @ closed)</t>
  </si>
  <si>
    <t>01-Aug-2013 - CCIGTEKI - Closed Validated by: Isken, Medil (MISKEN1), 01-Aug-2013 - CCIGTEKI - Pending Fix Point Date: 01-Aug-2013, Fix Point Phase: TT, Fix Point VIN: DR82574, 31-Jul-2013 - LSANHAM - Pending Fix Point Date: 08-Aug-2013, Fix Point Phase: TT, Fix Point VIN: Not Specified - Issue agreed to be closed with Husayin Oezturk. Please Close., 30-Jul-2013 - HOEZTU11 - 30.07 tested vehicles were without float, issue is not replicable with assembled float, closure agreed., 30-Jul-2013 - MISKEN1 - Issue Type changed from "Manufacturing" to "Design"., 30-Jul-2013 - MISKEN1 - DR82568,DR71085, DR82574 vehicles have been checked as Safe VINs. No problem detected., 27-Jul-2013 - TFEGAN - Medil to investigate vehicle numbers stated to root-cause touch condition, 13-Jul-2013 - LSANHAM - Issue Type changed from "Design" to "Manufacturing"., 11-Jul-2013 - LSANHAM - Please move to Manufacturing. CAD shows a 2mm design gap between the seal and the window. I have reviewed several TT build CCABs today and they are showing a touch condition. I believe the PU application and window fitting procedure need to be investigated. See attachment., 09-Jul-2013 - IPANAYO2 - AIMS 3325648 Describes a rattle of the back panel due to low natural frequency which is close to road inputs and driveline. Back bannel vibrates in such way that it causes the air extractors to make flopping noise. This vibration could be exciting additional components. Can someone record a video of the vibration/rattle ovserved?, 09-Jul-2013 - UOZMEN2 - ICA Implemented By changed from [no previous value] to "LSANHAM". ICA Implemented Date changed from [no previous value] to 01-Jan-2020. ICA Description changed., 09-Jul-2013 - UOZMEN2 - Open</t>
  </si>
  <si>
    <t>tested vehicles were without float,  issue is not replicable with assembled float, closure agreed.</t>
  </si>
  <si>
    <t xml:space="preserve">22.07.2013: V363 Seals will be better than current seals. Manufacturing will check the adhesive application process.
</t>
  </si>
  <si>
    <t>Erol Gunes</t>
  </si>
  <si>
    <t>Passenger seat pan rattling -The seat pan up-down freeplay cause rattling noise</t>
  </si>
  <si>
    <t>19-Jul-2013 - EYAZICI - Pending Fix Point Date: 03-Sep-2013, Fix Point Phase: TT - ICA (Adding norglide bush between linkage bracket and the bearing bush in order to eliminate free play) will be presented Ford Monday. PCA holes on bracket will be enlarged. FPD 3 sep G8D will be attached on monday, 19-Jul-2013 - ADATYAL - Further to todays meeting with JCI/Magna/STA/PVT/PD. JCI have detected the issue during V363 DV/PV testing and have a PCA in place on power and swivel seats (details in attached ppt) but the implementation for manual seat is in september 2013, for the PP builds. JCI contact Serkant, Lutz to investigate if this can be implemented earlier than september or will propose an ICA. PVT Sali Canatanoglu will also assist with this, as seat is carry over V362., 15-Jul-2013 - IAKKARPU - Open - Re-opened as requested., 13-Jul-2013 - IAKKARPU - Pending Fix Point Date: 20-Jul-2013, Fix Point Phase: TT - Issue to be pended until JCI studies to be revealed., 13-Jul-2013 - A-BAKIR1 - Complaint seat review is done. %100 control is in place and parts are shipping with green certification label. Clean VIN no : 17220. Problem is issued to supplier ( JCI ) with DMR report. ( see attached file ) . JCI took the part to make a final judgement and raise permanent actions., 12-Jul-2013 - UOZMEN2 - ICA Implemented By changed from [no previous value] to "EYAZICI". ICA Implemented Date changed from [no previous value] to 01-Jan-2020. ICA Description changed., 12-Jul-2013 - UOZMEN2 - Open</t>
  </si>
  <si>
    <t>AIMS PCA Fixed Point Date: 3rd Sept 2013.</t>
  </si>
  <si>
    <t>Confirm Alert number for FNA by 14.00 Turkey, 12.00 UK time 2nd Aug 2013</t>
  </si>
  <si>
    <t>adding norglide bush between linkage bracket.</t>
  </si>
  <si>
    <t>22.07.2013: Yıldırım Ozansoy will provide the MAGNA report. Issue can not be considered as an MDI.
Issue closure is pending 8D approval; pending aim needs to be re-open</t>
  </si>
  <si>
    <t>eyazici</t>
  </si>
  <si>
    <t>SLD tick/knock at upper liner front area-SLD wooden liner has to much tension to sheet metal in front lower corner causing a stick/slip on the sheet metal paint.</t>
  </si>
  <si>
    <t>26-Jul-2013 - PMOORE89 - Pending Fix Point Date: 06-Sep-2013, Fix Point Phase: PP - Concern raised to "A status to implement ICA in Alert 127141355 as PCA., 25-Jul-2013 - PMOORE89 - ICA to be released as PCA. Concen raised and pending cost and timing., 25-Jul-2013 - MJUKES - Add foam as ICA., 23-Jul-2013 - UOZMEN2 - ICA Implemented By changed from [no previous value] to "PMOORE89". ICA Implemented Date changed from [no previous value] to 01-Jan-2020. ICA Description changed., 23-Jul-2013 - UOZMEN2 - Open</t>
  </si>
  <si>
    <t>A127141355</t>
  </si>
  <si>
    <t>C12714558 -C- (FoE only)</t>
  </si>
  <si>
    <t xml:space="preserve">use foam on upper wooden boards above SLD </t>
  </si>
  <si>
    <t>ICA/PCA: add foam</t>
  </si>
  <si>
    <t>LH RCD plop on closing-LH RCD plop on closing; Check arm foam hooks on check arm</t>
  </si>
  <si>
    <t>25-Jul-2013 - SNOYCE1 - Pending Fix Point Date: 18-Oct-2013, Fix Point Phase: PP - Prototype parts of the check arm foam pads are on TT vehicles. A sample of the production part was tested and the noise disappeared. As agreed with Hueseyin, AIMS can be put to Pending PP with production level parts., 23-Jul-2013 - UOZMEN2 - ICA Implemented By changed from [no previous value] to "FKHAN27". ICA Implemented Date changed from [no previous value] to 01-Jan-2020. ICA Description changed., 23-Jul-2013 - UOZMEN2 - Open</t>
  </si>
  <si>
    <t>C12683400 -C- (FoE and FNA)</t>
  </si>
  <si>
    <t>Material revision to EPDM and Poron
Production intend parts are available and have been evaluated;  S&amp;R OK</t>
  </si>
  <si>
    <t>prototype parts were assembled</t>
  </si>
  <si>
    <t>RCD check arm tick noise-RCD check arm tick noise during open and close action while the door is 30 degrees open position.</t>
  </si>
  <si>
    <t>08-Aug-2013 - JFLOREN3 - Pending Fix Point Date: 27-Sep-2013, Fix Point Phase: TT - CR C12718043 added per tech review 08-AUG, primary direction in CR will be to rework parts to J1 intent. John Abernethy to pull Alert., 07-Aug-2013 - IPANAYO2 - Has CR been raised for the following issue? Please update AIMS ASAP., 01-Aug-2013 - SNOYCE1 - Flexngate confirm 2 options are feasible. Cost and timing available tomorrow, 2Aug13. Concern to be raised COB., 25-Jul-2013 - SNOYCE1 - Issue Type changed from "Manufacturing" to "Design"., 25-Jul-2013 - SNOYCE1 - Issue under investigation with Flexngate in Kocaeli. Noise coming from the metal check arm rolling over the retainer plastic guides. A change to the check arm is expected, but awaiting manufacturing feedback for feasibility. When design solution is clear, a Concern will need to be raised., 24-Jul-2013 - EDIKKAYA - System changed from "1B Closures / Hardware" to "1BE Closures / Trim"., 24-Jul-2013 - EDIKKAYA - Not related with B/C., 23-Jul-2013 - IPANAYO2 - Can we get a video of this noise? We did not see this in FNA during VP., 23-Jul-2013 - UOZMEN2 - ICA Implemented By changed from [no previous value] to "EUYLUKCU". ICA Implemented Date changed from [no previous value] to 01-Jan-2020. ICA Description changed., 23-Jul-2013 - UOZMEN2 - Open</t>
  </si>
  <si>
    <t>A12720487</t>
  </si>
  <si>
    <t>C12718043 -A- (FoE and FNA)</t>
  </si>
  <si>
    <t>Supplier is awaiting for feasibility of two proposals that are being investigated to resolve this issue. (PCA). Confirmation will be received on 02.08</t>
  </si>
  <si>
    <t>Supplier is awaiting for feasibility of two proposals that are being investigated to resolve this issue. (PCA). Confirmation will be received on 02.09</t>
  </si>
  <si>
    <t>reworked parts at PP</t>
  </si>
  <si>
    <t>modify rear cargo check arm
 - Modify the stamping operation to lengthen the transition
rod to flat area.</t>
  </si>
  <si>
    <t>24.07 trail with cobbled parts planned
31.07 no updates still waiting for parts
05.08 no updates still waiting for parts</t>
  </si>
  <si>
    <t>Farouque Khan</t>
  </si>
  <si>
    <t>Front end grill rattle noise during hood close slam in the lower portion. Grill and bumper upper touch condition.</t>
  </si>
  <si>
    <t>24-Jul-2013 - GBAILE51 - Pending Fix Point Date: 16-Sep-2013, Fix Point Phase: PP - Issue will be corrected under C12714201, 24-Jul-2013 - CDIMMOC2 - ICA established as an application of adhesive foam between grille and reinforcement. Parts available from Magna 26th July. Safe VIN to be established. No retrofit action is proposed due to likelihood of collateral issues caused by disassembly., 24-Jul-2013 - GBAILE51 - Issue reviewed with supplier and MFG. Problem area identified between the B surf of the badge plinth on the grille and the A surf of the grille reinf panel behind it. Addition of Foam block between the 2 parts is proposed as an ICA and feedback from the supplier is awaited for a PCA., 23-Jul-2013 - UOZMEN2 - ICA Implemented By changed from [no previous value] to "GBAILE51". ICA Implemented Date changed from [no previous value] to 01-Jan-2020. ICA Description changed., 23-Jul-2013 - UOZMEN2 - Open</t>
  </si>
  <si>
    <t>A12719818</t>
  </si>
  <si>
    <t>C12714201 -C- (FoE &amp; FNA)</t>
  </si>
  <si>
    <t>ICA is crush ribs on C12714201, parts available 16/9/2013</t>
  </si>
  <si>
    <t xml:space="preserve">apply adhesive backed foam to reinforcement / oval feature </t>
  </si>
  <si>
    <t>24.07 ica: add tape between reinforcement and grill
PCA: crash ribs instead of the tape on grill reinforcement</t>
  </si>
  <si>
    <t>Guliz Gokce
Graham Bailey</t>
  </si>
  <si>
    <t>A-pillar upper area, headliner plastic trim in the load compartment rattle in the front area, wrong felt tape application</t>
  </si>
  <si>
    <t>06-Aug-2013 - MJUKES - Pending Fix Point Date: 26-Aug-2013, Fix Point Phase: PP, 06-Aug-2013 - GPAKSOY - Issue Type changed from "Supplier Quality" to "Design"., 06-Aug-2013 - GPAKSOY - There is concern for this issue. C12708074, 01-Aug-2013 - GPAKSOY - G8D has been raised against to supplier., 31-Jul-2013 - DYURDAKU - ICA Implemented By changed from [no previous value] to "GPAKSOY". ICA Implemented Date changed from [no previous value] to 01-Jan-2020. ICA Description changed., 31-Jul-2013 - DYURDAKU - Open</t>
  </si>
  <si>
    <t xml:space="preserve">A12705337  </t>
  </si>
  <si>
    <t xml:space="preserve">Add FOAM Washer 1.5mm thick behind fixing holes </t>
  </si>
  <si>
    <t>Add S&amp;R FOAM  : TO B SURFACE  Washer diam 25  x  1.5mm thick behind fixing holes Add Foam Pad 50 x 20 x 1.5mm  front</t>
  </si>
  <si>
    <t>Already an ICA is applied but according to Ray Osterberg, operator applied wrong tape, in wrong position.</t>
  </si>
  <si>
    <t>Tow hook under dualco seat rattle-Tow hook under dualco seat rattle due to the freeplay of the part with the fixing bracket.</t>
  </si>
  <si>
    <t>25-Jul-2013 - DYURDAKU - ICA Description changed., 24-Jul-2013 - DYURDAKU - ICA Description changed., 19-Jul-2013 - CSPARKE2 - Pending Fix Point Date: 06-Sep-2013, Fix Point Phase: PP - please pend against Concern C12712379 which releases a 30% GRP bracket to replace the current flexible PP part, 18-Jul-2013 - CSPARKE2 - new material parts received on 17th July. Of the 3 options of material, only the GRP is stiffer. Has been fitted to DR71083E for a trial. Feedback due on 19th July, 13-Jul-2013 - DYURDAKU - New material parts on 16th July, to be decided if new material will be released after the trial., 12-Jul-2013 - CSPARKE2 - parts expected to be delivered to plant on 17th July. I am trying to improve the timing with the supplier, 11-Jul-2013 - CSPARKE2 - Birinci to supply 3 samples of recovery eye bracket shot in WSK-M4D556-A4 which contains 15% Talc fill. This should be a far superior robust material. Once parts received and inspected OK, concern to be raised to change material specification., 09-Jul-2013 - CSPARKE2 - Current assumption is material needs to change to specify the exact property of plastic required. Concern to be raised after a review with Max MIrza and interior trim, 08-Jul-2013 - IAKKARPU - Issue Type changed from "Supplier Quality" to "Design"., 08-Jul-2013 - IAKKARPU - Please find the conversation attached which was released from Birinci team as they are stating that the raw material they use is to FFI so that issue has nothing to do with SQ type. Moved back to design based on STA concurrence., 06-Jul-2013 - CCIGTEKI - Issue Type changed from "Design" to "Supplier Quality"., 04-Jul-2013 - ODOGAN9 - material of part being checked, should be a hard plastic like equivalent V362 part., 04-Jul-2013 - CCIGTEKI - ICA Description changed., 04-Jul-2013 - ODOGAN9 - MDI assessment being made, 02-Jul-2013 - ODOGAN9 - The issue can be seen from the pictures, but is plant strapping the tow eye too tight? As you pull the strap tighter it looks like it bends the middle portion of the plastic which pulls the clips out of their holes. Design actions could be strap removal, plastic part strenghtening or the addition of a stopper against the tow eye., 27-Jun-2013 - AGOYUNC1 - That's my 2nd opinion add strep area support , see at the jpg-5 photo., 27-Jun-2013 - AGOYUNC1 - Issue Type changed from "Supplier Quality" to "Design"., 27-Jun-2013 - AGOYUNC1 - Supplier representatives visited FO plant, we discussed that problem. This issue is design issue. See attached photos. Issue is turning to design. My opinion, plastic parts bottom area will be add a rib or fixing hole solve this problem., 27-Jun-2013 - DTECU1 - Supplier representatives are coming today in Otosan Plant to witness the issue., 26-Jun-2013 - GKLEBER1 - System changed from "3 Chassis" to "1AC Underbody"., 26-Jun-2013 - ABANKS2 - The Chassis AIMS to resolve the towing hook location on vehicles with hydraulic jack is 3340237 and is seperate to this issue. The towing eye bolted to the floor is a Body engineering designed component and process. This has been communicated to the underbody team (Max Mirza and Craig Sparkes). Please ensure this AIMS is Body owned., 26-Jun-2013 - DTECU1 - SRI issued to Birinci supplier. G8D#194141 raised against it., 26-Jun-2013 - KMASSING - The Towing Eye is not a Chassis Part and is owned by Body Engineering however on N2's only we stow the towing eye in the Jack Pod underneath the tool bag for the Bottle Jack If a Scissor jack is on the vehicle so a N1 the Towing Eye has a seperate package position that is released by Body From this photograph this looks like a N1 if so AIMS is not Chassis, 26-Jun-2013 - CCIGTEKI - Moved to Chassis as per Whiteboard meeting, part belongs to chassis., 26-Jun-2013 - CCIGTEKI - System changed from "1AC ... (Status info truncated)</t>
  </si>
  <si>
    <t>C12712379 -C- (FoE only)
194141</t>
  </si>
  <si>
    <t>C12712379 will stow the BIW Towing eye into the Jack Pod. This will be delivered for PP.</t>
  </si>
  <si>
    <t>doule side tape on the eye holder</t>
  </si>
  <si>
    <t>Material change to recovery eye plastic bracket
WSK-M4D732-A1 (polypropylene homopolymer 30% glass fibre reinforced)</t>
  </si>
  <si>
    <t xml:space="preserve">27.08 new front tow hook holder (new material)  is promising more </t>
  </si>
  <si>
    <t>Guliz Gokce</t>
  </si>
  <si>
    <t>LH RCD rattle on door slam and on dynamic-
1. E-wire connector has no park position. After trying the park position we noticed the hole is too big causing the connector to fall out of it
2. Connector for wire to license plate illumination rattles to edge of sheetmetal inner panel.
Connector is clipped in place but has no means keeping it from rotating around the clip. 
(old aim 3256633)</t>
  </si>
  <si>
    <t>13-Aug-2013 - SNOYCE1 - Pending Fix Point Date: 18-Oct-2013, Fix Point Phase: PP, Fix Point VIN: Not Specified - C12720642 raised to modify the slot length. AIMS put to Pending PP verification., 13-Aug-2013 - AJOHN485 - Issue investigated in Ford Otosasn last week by S-Y harness designer Mark Cowling. The clip is correct to drawing and CAD. The slot measured on the vehicle was 6.2mm x 14.2mm rather than 6.0mm x 12.2mm as shown in CAD. The longer slot is causing insufficient engagement between the clip/tab and not controlling the position of the connector., 09-Aug-2013 - JABERNE2 - EESE added to investigate if clip is correct., 09-Aug-2013 - JABERNE2 - System changed from "1B Closures / Hardware" to "1B Closures / Hardware, 5 Electrical"., 05-Aug-2013 - RDAVEY - Terry Gilbey to provide CR for hole size change, 03-Aug-2013 - JFLOREN3 - Issue Type changed from "Manufacturing" to "Design"., 03-Aug-2013 - JFLOREN3 - Per 03-AUG AIMS blitz, Body Engineering to contact electrical to understand hole requirement vs. what is released. KCAP added as plant affected, TT containment will be required in FNA. Move to design., 01-Aug-2013 - DSEZGIN1 - Issue is not related to Body Construction, please change to design or manufacturing quality, 01-Aug-2013 - ETOSUN1 - Slot size in spec. Measurement report has attached., 31-Jul-2013 - UOZMEN2 - Open</t>
  </si>
  <si>
    <t>C12720642 -A-</t>
  </si>
  <si>
    <t>tape</t>
  </si>
  <si>
    <t>revise hole size</t>
  </si>
  <si>
    <t>red</t>
  </si>
  <si>
    <t>05.08 Terry will liaise with EESE regarding the hole diameter</t>
  </si>
  <si>
    <t>Kevin Grzebyk (KGRZEBYK), Terry Gilbey (TGILBEY4)</t>
  </si>
  <si>
    <t>RH D-pillar rattle in lower area-e-wire connector has no home position and can move free play in the D-pillar</t>
  </si>
  <si>
    <t>C12689650 -A-</t>
  </si>
  <si>
    <t>add foam on D-Pillar</t>
  </si>
  <si>
    <t>IC A/PCA add foam on D-Pillar, trail was done on 06.08 S&amp;R OK; waiting for CR#</t>
  </si>
  <si>
    <t>Celikkaya, Semra</t>
  </si>
  <si>
    <t>headrest rattle: All rear seat headrest rattle: stem to locking pin &amp; to bezel (old VP aim 3282327)</t>
  </si>
  <si>
    <t>15-Aug-2013 - CCIGTEKI - Issue still present on #82536 in S&amp;R. (WB No: 1790 closed to this issue), 31-Jul-2013 - SPATEL3 - Pending Fix Point Date: 30-Aug-2013, Fix Point Phase: PP, 08-Jul-2013 - P-ALEX25 - Rear seats shown to Umut Ozcan (FMC S&amp;R). Seats need to be reviewed in-vehicle on 4-poster. Once completed, he will inform us of the outcome,, 17-Jun-2013 - CCIGTEKI - Pending Fix Point Date: 05-Jul-2013, Fix Point Phase: TT, 12-Jun-2013 - P-ALEX25 - Due to late availability of structures from JCI, the first review of completed seats will be organised with FCPA, Craftsmanship, S&amp;R, PD Engineering, and Magna Quality will be on 28 JUN 13., 27-Mar-2013 - DYURDAKU - Pending Fix Point Date: 26-Jun-2013, Fix Point Phase: TT - Assesed by FoE T&amp;F VOME-Güliz GÖKÇE, 27-Mar-2013 - OKURT2 - Pending Fix Point Date: 01-Jul-2013, Fix Point Phase: TT, 27-Mar-2013 - OKURT2 - Lead Vehicle - Model Year changed from "V363 Global-2013.50" to "V363 Phase 1B-2013.50"., 27-Mar-2013 - OKURT2 - Open - Moved to 1B deck - Requested by Dogan Yurdakurban., 14-Jan-2013 - DYURDAKU - Pending Fix Point Date: 06-May-2013, Fix Point Phase: TT, 14-Dec-2012 - MCRANE22 - Pending Fix Point Phase: TT - Pending C12629850, 13-Dec-2012 - P-ALEX25 - Lessons learned from V362 progressed in parallel with V363 rear bus seats, so not present in these prototype parts. Release of K11 level structure on C12629850 @ A Status with updated stem tubes., 12-Dec-2012 - MCRANE22 - Issue identified on V363 Rear Seats. Seat Engineering will investigate issue further to determine root cause., 07-Dec-2012 - HOEZTU11 - The issue is known since V362, I assume the current V363 headrests are c/o V362. Headrest is rattling @ dynamic test. 1.) Locking knob spring rattle to stem 2.) Stem loose in bezel Please confirm if the parts are not the latest level (V362), for more information please see aim: 3252943 &amp; 3237791,, 07-Dec-2012 - P-ALEX25 - More information requested from Hueseyin Oeztuerk, 06-Dec-2012 - HOEZTU11 - Open</t>
  </si>
  <si>
    <t>C12629850 -C- (FoE and FNA)</t>
  </si>
  <si>
    <t>AIMS PCA Fixed Point Date: 30th Aug 2013.</t>
  </si>
  <si>
    <t>Confirm Alert number for FNA by 14.00 Turkey, 12.00 UK time 02-Aug-2013</t>
  </si>
  <si>
    <t xml:space="preserve">use no ppap parts for TT/PP phases on seat structures, rails and track end caps FoE only                </t>
  </si>
  <si>
    <t>modification of the back frame structures</t>
  </si>
  <si>
    <t>PAUL ALEXANDER (P-ALEX25)</t>
  </si>
  <si>
    <t>Passenger area floor liner croak on load: (EPP) spacer block´s to floor sheet metal: movement between the spacers and the floor due to a lack of support under the liner causing a croak between the moving spacer and the floor paint. (old VP aim 3282326)</t>
  </si>
  <si>
    <t>A12720494</t>
  </si>
  <si>
    <t>C12718465 -A-</t>
  </si>
  <si>
    <t>Repositioning and addition of EPP blocks</t>
  </si>
  <si>
    <t>ICA/PCA: Repositioning and addition of EPP blocks</t>
  </si>
  <si>
    <t xml:space="preserve">Jukes, Mark </t>
  </si>
  <si>
    <t>Passenger area  side trim rattle:
-D/ D-C-Pillar trim not enough clearance to window
-poor quality of the uppertrim cut-out
old aim (3282323)</t>
  </si>
  <si>
    <t>open</t>
  </si>
  <si>
    <t>05.08 issue needs to be discussed in WB Meeting</t>
  </si>
  <si>
    <t>All rear seats buzz/rattle noise on dynamic-Retractor units themselves, rattle noise from the sensor ball (old VP aim 3333229)</t>
  </si>
  <si>
    <t>14-Aug-2013 - CCIGTEKI - Issue observed in #82536​, WB 1789 is closed to this AIMS., 01-Aug-2013 - IAKKARPU - Pending Fix Point Date: 31-Aug-2013, Fix Point Phase: PP - Fix Point Date is revised., 09-Jul-2013 - EYAZICI - Pending Fix Point Date: 24-Jul-2013, Fix Point Phase: TT - Bus vehicles should be reevaluated @ Lommel plant in order to decide further steps for this issue. Once S&amp;R Team completes its investigations we will be able to talk about next step., 11-Jun-2013 - CCIGTEKI - Pending Fix Point Date: 18-Jun-2013, Fix Point Phase: TT, 21-May-2013 - EYAZICI - Pending Fix Point Date: 10-Jun-2013, Fix Point Phase: TT - While discussion between S&amp;R Team and Autoliv Team is ongoing, we still need to clarify the root cause. Team is working on the issue and will define the problem, then we will clearly understand what we request from supplier. As agreed with initiator, issue goes to pending till studies are completed, 15-May-2013 - EYAZICI - Supplier has been notified via SRI. G8D has been raised against supplier. G8D number: 192885, 13-May-2013 - EUSLU1 - Open</t>
  </si>
  <si>
    <t>Fatih Bay 
Fricker, David</t>
  </si>
  <si>
    <t>Interior trim rattles-Interior trim rattles - top roll to side trim (old VP aim 3287982)</t>
  </si>
  <si>
    <t>A12666161</t>
  </si>
  <si>
    <t>C12648318 - C, C12653094 - C (FoE and FNA)</t>
  </si>
  <si>
    <t xml:space="preserve">use ungraind parts with latest upsuffix grain proccess  </t>
  </si>
  <si>
    <t xml:space="preserve">additional retention to lower portion of top roll trims             </t>
  </si>
  <si>
    <t>24.07.2013
05.08.2013</t>
  </si>
  <si>
    <t>Osterberg, Ray
Oughton, Mark</t>
  </si>
  <si>
    <t>LH RCD release handle rattle-handle rod vs. bracket rattle, free play</t>
  </si>
  <si>
    <t>Farouque Khan
Tolgahan Kundus</t>
  </si>
  <si>
    <t>LH RCD oilcanning while disengaging check arm-check arm setting NOK</t>
  </si>
  <si>
    <t>16-Aug-2013 - KBASTIMA - Pending Fix Point Date: 10-Sep-2013, Fix Point Phase: PP - Issue is one off. However it is pended to monitor in PP., 16-Aug-2013 - COZEL1 - Information provided by Emre Altun (SMF office), we have image of CMMS3 for this AIMS Last shipment for BA level on 08/10/12 during VP Also we used BA level 4 parts on 18/03/13 Please check image of CMMS3 record and attached e-mail, 16-Aug-2013 - KBASTIMA - Çagatay from MP&amp;L to provide input. T&amp;F has nothing to do with it. Old level part must have been removed from production line. Also supplier must filter old level parts while sending., 16-Aug-2013 - IAKKARPU - Issue Type changed from "Supplier Quality" to "Manufacturing"., 16-Aug-2013 - IAKKARPU - Referring to the below comment of Farouque Khan that the type of the issue is now changed to manufacturing., 16-Aug-2013 - FKHAN27 - Vehicle Assessed and quite clearly the LH part used is BA(VP level) level whilst the RH part is BE level (TT level). Issue will not exist if correct level parts are used as evident on the same vehicle RH does not have this issue whilst LH has. Please see attachment comparing the two check arms on the vehicle. This is not supplier quality issue but manufactuing mis build., 14-Aug-2013 - IAKKARPU - SRI has been issued to Tubsa. G8D to be completed by the supplier as soon as possible to fully contain the issue., 06-Aug-2013 - KBASTIMA - Issue Type changed from "Manufacturing" to "Supplier Quality"., 06-Aug-2013 - KBASTIMA - You can see the difference between cad data and related part by looking attachments.Process applied correctly, issue is related with whether part is correct or not, dimensional report of the part is required., 31-Jul-2013 - DYURDAKU - ICA Implemented By changed from [no previous value] to "EUYLUKCU". ICA Implemented Date changed from [no previous value] to 01-Jan-2020. ICA Description changed., 31-Jul-2013 - DYURDAKU - Open</t>
  </si>
  <si>
    <t>31.07 ICA setting on check arm, at present there is misalignment
05.08 no updates</t>
  </si>
  <si>
    <t>Cenk Corlu
Farouque Khan</t>
  </si>
  <si>
    <t>outer release handle rattle on door slam-free play on handle fix point</t>
  </si>
  <si>
    <t>Man Q</t>
  </si>
  <si>
    <t>Tolgahan Kundus</t>
  </si>
  <si>
    <t>all headliner Airvents rattle-Airvents have free play on hinge</t>
  </si>
  <si>
    <t>09-Aug-2013 - MJUKES - Pending Fix Point Date: 26-Aug-2013, Fix Point Phase: PP - C12697734, 09-Aug-2013 - RROXAS - 9/08/2013: - C12697734 &lt;DESIGN MODIFICATION OF THE AIRVENTS&gt; issued, 09-Aug-2013 - GKLEBER1 - Lead Vehicle - Model Year changed from "V363 Global-2013.50" to "V363 Phase 1B-2013.50"., 09-Aug-2013 - MJUKES - Design proposal submitted to Ototrim for cost, timing and feasibility., 06-Aug-2013 - GPAKSOY - Issue Type changed from "Supplier Quality" to "Design"., 06-Aug-2013 - GPAKSOY - Agreed with PD drawing to be updated with GD&amp;T data and turning forces inline with V362 circular airvents. Inner diameter to be increased by 0.4 mm., 03-Aug-2013 - GPAKSOY - Dimensional reports to be supplied (05/08/2013). PD to consider design changes., 01-Aug-2013 - GPAKSOY - G8D has been raised against to supplier., 31-Jul-2013 - DYURDAKU - Open</t>
  </si>
  <si>
    <t>195266
C12697734 -W-</t>
  </si>
  <si>
    <t>Design modification of the airvents</t>
  </si>
  <si>
    <t>05.08 issue needs to be discussed in WB Meeting
ICA: add  foam
PCA??</t>
  </si>
  <si>
    <t>RH B-Pillar croak on twist: no clearance between sharp edge and structure. Body side reinforcement touch condition to the track pocket upper. Issue has been shown to Dave Weir.</t>
  </si>
  <si>
    <t>21-Aug-2013 - DWEIR13 - Pending Fix Point Date: 01-Dec-2013, Fix Point Phase: MP1, 20-Aug-2013 - DWEIR13 - C12723408 raised to revise trim edge., 15-Aug-2013 - TDILAVER - Issue Type changed from "Manufacturing" to "Design"., 15-Aug-2013 - TDILAVER - there is 3 mm difference between two parts. there can be always S&amp;R issue., 07-Aug-2013 - BENDACOT - S&amp;R team to explain where endoscope was inserted into BIW so we can ascertain the area involved and the potential root-cause of this issue. Tayfun Dilaver and Hueseyin Oezerck to meet in Kocaeli during week of 12-16th August., 31-Jul-2013 - DYURDAKU - ICA Implemented By changed from [no previous value] to "CCORLU". ICA Implemented Date changed from [no previous value] to 01-Jan-2020. ICA Description changed., 31-Jul-2013 - DYURDAKU - Open</t>
  </si>
  <si>
    <t>NO INFORMATION SINCE NEW ISSUE</t>
  </si>
  <si>
    <t xml:space="preserve">05.08 issue needs to be discussed in WB Meeting
13.08/ 06.08 S&amp;R to find the vehicle and investigate the issue
</t>
  </si>
  <si>
    <t>Dave Weir (DWEIR13)</t>
  </si>
  <si>
    <t>RCD croak noise-RCD margin seal croak on twist</t>
  </si>
  <si>
    <t>01-Aug-2013 - SNOYCE1 - Pending Fix Point Date: 16-Aug-2013, Fix Point Phase: TT - Same noise as 3344845, which is related to the front door primary seals. Now confirmed that Saargummi will produce 2 different primary seals for S&amp;R testing. First with an alternative slip coat “STAHL Permuthane and second with an increased CLD value F = 6,5 +/- 1,5 N / 100 mm (approx). Due to their Plant summer shutdown, parts will not be available in Kocaeli until week 33 (12Aug13). AIMS put to Pending these trials., 31-Jul-2013 - DYURDAKU - ICA Implemented By changed from [no previous value] to "SNOYCE1". ICA Implemented Date changed from [no previous value] to 01-Jan-2020. ICA Description changed., 31-Jul-2013 - DYURDAKU - Open</t>
  </si>
  <si>
    <t>05.08 design change is proposed, no further updates
Same noise as 3344845, sample parts are promised after cw33</t>
  </si>
  <si>
    <t>Sean Noyce</t>
  </si>
  <si>
    <t>rear axle knocking - LH + RH rear shock absorber top mount knocking.
(Old mail 3254496) root cause investigation ongoing</t>
  </si>
  <si>
    <t>21-Aug-2013 - SGENCTUR - Issue Type changed from "Manufacturing" to "Design"., 21-Aug-2013 - SGENCTUR - As agreed with M.Elms design of the BK31-10626/7-A will change to have more gap., 21-Aug-2013 - DTECU1 - Please remove Chassis from this AIM., 21-Aug-2013 - BBLACKM6 - Please see emails with photo attached - this shows the variance in the BIW Bracket - Rr Dampers all confirmed to be in spec as stated in previous comments., 17-Aug-2013 - NSAVILLE - Issue Type changed from "Design" to "Manufacturing"., 17-Aug-2013 - NSAVILLE - The rear dampers on the complaint vehicle were removed and carded at the supplier. The damper performance was within specification and the damper had no fault found. During discussions during the aims meeting today, it6 was agreed that we need manufacturing help, alongside S&amp;R to evaluate the root cause of this issue. This is being moved to manufacturing until the root cause has been verified., 16-Aug-2013 - NSAVILLE - The rear dampers from a complaint vehicle were returned to the supplier and carded. The parts had no fault found. Chassis are to be completing an analysis of another complaint vehicle in Kocaeli on the hydro-pulse on 19/08/13 to determine the root cause. I have added body engineering onto the aims until root cause established. Body related items being reviewed: - Confirm damper function and noise transfer via ABA analysis on hydro-pulse. The slots added to some vehicles are excessive and is a potential root cause. The underbody sealer is not masked in this area (requested to be masked by Chassis), which would cause clamp loss and is a potential root cause., 16-Aug-2013 - NSAVILLE - System changed from "3 Chassis" to "1AC Underbody, 3 Chassis"., 13-Aug-2013 - CCIGTEKI - System changed from "1AC Underbody" to "3 Chassis"., 13-Aug-2013 - DTECU1 - On behalf of Ben Blackman: ''David - looking at the pictures, the body rail contacting the Rr Damper is at an angle, even thoguh this joint has been torqued. The washer is also included - this suggests to me that the body didn't enable the Rr Damper joint to be torqued correctly - there should be a contact between the Rr Damper bush &amp; the Body covering the entire Bush surface - not a point contact as shown", 13-Aug-2013 - DYOUNG26 - Rework for shackle bracket was only for FWD varainats only. New slot added as per on RWD. This slot was agreed solution to allow for Body Constructiom tolerances and Chassis attachment. By Design there isn't any area which touches BIW structures therefore a Chassis shock absorebr issue., 13-Aug-2013 - DTECU1 - Please see attached email from Lommel PD engineer Nico Arts regarding the condition of vehicle DR71090 in which was claimed shock absorbers noisy: This vehicle has had an on site modification at Kocaeli to have washers placed underneath the rear damper bolts because the BIW mounting hole was out of specification. Body variance is enough to cause noise issues – the addition of a washer just to get the vehicle built, shows there is an issue in this area., 09-Aug-2013 - PMACNAM1 - Paul Macnamara to arrange vehicle measurement upon return from shutdown on 12 August., 07-Aug-2013 - BENDACOT - System changed from "1A BIW / Structures" to "1AC Underbody"., 07-Aug-2013 - GKLEBER1 - Measurement required of hole in body where rear damper upper bush is located. See snapshot of CAD in "RE Upper Shock BIW rework.msg" email attachment., 07-Aug-2013 - GKLEBER1 - Issue Type changed from "Supplier Quality" to "Design"., 07-Aug-2013 - GKLEBER1 - System changed from "3 Chassis" to "1A BIW / Structures"., 07-Aug-2013 - BBLACKM6 - All testing is completed on the Damper - all results show the Dampers are the same (OK vs NOK) - there is no reason technically with the parts, for any noise to be created. It is important we now have the body hole measured thanks, 07-Aug-2 ... (Status info truncated)</t>
  </si>
  <si>
    <t>knock noise is audible  @ Ambient and worse at cold condition
8D is opened</t>
  </si>
  <si>
    <t>Ben Blackman</t>
  </si>
  <si>
    <t>SLD rattle noise @ open / close - missing Spot welds in upper SLD area; rattle noise during door slam</t>
  </si>
  <si>
    <t>13-Aug-2013 - TDILAVER - Closed Validated by: Dilaver, Tayfun (TDILAVER) - process sheets updated., 13-Aug-2013 - TDILAVER - Pending Fix Point Date: 13-Aug-2013, Fix Point Phase: TTO, 13-Aug-2013 - EDIKKAYA - System changed from "1B Closures / Hardware" to "1A BIW / Structures"., 13-Aug-2013 - EDIKKAYA - Attached photo doesn't belong to SLD door. Issue re-bined to BIW structures., 06-Aug-2013 - DRIXON1 - Attached jpg is not SLD., 03-Aug-2013 - JFLOREN3 - Per 03-AUG AIMS blitz, move to 1B., 03-Aug-2013 - JFLOREN3 - System changed from "1A BIW / Structures" to "1B Closures / Hardware"., 31-Jul-2013 - DYURDAKU - ICA Implemented By changed from [no previous value] to "CCORLU". ICA Implemented Date changed from [no previous value] to 01-Jan-2020. ICA Description changed., 31-Jul-2013 - DYURDAKU - Open</t>
  </si>
  <si>
    <t>process sheets updated.</t>
  </si>
  <si>
    <t>pp</t>
  </si>
  <si>
    <t>14.08 process sheets updated.</t>
  </si>
  <si>
    <t>Sean Noyce
Brian Westgarth</t>
  </si>
  <si>
    <t>Unique Environmental 4-Poster Issues (Hot/Cold)</t>
  </si>
  <si>
    <t>Dualco seat backrest foam croak to frame at headrest bezel area (inboard) and side support (outboard)
(old aim 3188577)</t>
  </si>
  <si>
    <t>raise WB</t>
  </si>
  <si>
    <t>new</t>
  </si>
  <si>
    <t>Barker, Glenn (G.) &lt;gbarke34@ford.com&gt;; Patel, Hitesh (H.) &lt;hpatel65@ford.com&gt;; Datyal, Amit (A.) &lt;adatyal@ford.com&gt;</t>
  </si>
  <si>
    <t>RH front door rear lower rubber bump stop tick/stick to sheet metal
(old aim 3256639)</t>
  </si>
  <si>
    <t>Brian Westgarth</t>
  </si>
  <si>
    <t xml:space="preserve">IP cluster storage bin release button spring noise (driver side)
The spring causing a metallic clonk noise on close
</t>
  </si>
  <si>
    <t>17-Jul-2013 - RCOWLIN4 - Tooling should be finished by end July., 16-Jul-2013 - CCIGTEKI - Pending Fix Point Date: 16-Sep-2013, Fix Point Phase: PP, 04-Jul-2013 - JGOLDER - Pending Fix Point Phase: PP - Concern C12691298 at A status, 29-Jun-2013 - IPORTER - C12691298 at W will position spring (wrap-up CR)., 22-Jun-2013 - TTHOM193 - ICA Implemented By changed from [no previous value] to "TTHOM193". ICA Implemented Date changed from [no previous value] to 20-Jun-2013. ICA Description changed., 20-Jun-2013 - CCIGTEKI - Issue Type changed from "Supplier Quality" to "Design"., 20-Jun-2013 - TTHOM193 - An ICA has been established. This has been tested today by the S&amp;R team and found to be robust. An O-type Alert A12702429 has been raised and is going through the approval status to rework TT &amp; TVU vehicles build. Faurecia will re-work all stock available in time for the next builds. The cut-off is DR71098., 18-Jun-2013 - RCOWLIN4 - Currently under investigation., 17-Jun-2013 - GPAKSOY - G8D has been raised against to Faurecia., 15-Jun-2013 - UOZMEN2 - Open</t>
  </si>
  <si>
    <t>A12702429</t>
  </si>
  <si>
    <t xml:space="preserve">193776
C12691298 -C- (FoE &amp; FNA)
</t>
  </si>
  <si>
    <t>The cluster lid concern will be available for PP</t>
  </si>
  <si>
    <t>is not applicable, FNA don’t have a storage in this area</t>
  </si>
  <si>
    <t xml:space="preserve">ICA:  apply tape; rework of cluster stowage lid to solve detent spring noise. </t>
  </si>
  <si>
    <t>PCA: add ribs &amp; ring in order to retain the spring in vertical direction</t>
  </si>
  <si>
    <t>02.08 PCA tested on safe vin# DR1085 S&amp;R is OK</t>
  </si>
  <si>
    <t>Thompson, Tom (T.P.) &lt;tthom193@ford.com&gt; (D&amp;R)</t>
  </si>
  <si>
    <t>LH + RH rear ARB lower and upper chassis mounted bush croak</t>
  </si>
  <si>
    <t>31-Jul-2013 - SPATEL3 - Pending Fix Point Date: 30-Aug-2013, Fix Point Phase: PP - As per discussion and agreement with Hueseyin Oeztuerk on 7/31, fix point date has been moved to 8/30., 26-Jul-2013 - NGEARY3 - Test date required to determine when we can close., 05-Jun-2013 - GKLEBER1 - Pending Fix Point Date: 01-Jul-2013, Fix Point Phase: TT, 24-May-2013 - HOEZTU11 - Pending Fix Point Phase: TT - Correction: According the new V363E Vehicle Dynamics Specification Chart, the rear axle ARB is program content for the following vehicles It says: Rear ARB: only FWD C/Cab &amp; All DRW (Van/bus/CC) will have this part. Based on this information we have an outstanding S&amp;R validation test with the proposed parts. Therefore the aim is on pending again, closure of AIM is pending these tests., 21-Nov-2012 - HOEZTU11 - Closed Validated by: Oeztuerk, Hueseyin (HOEZTU11) - The aim is closed referring to the current Dynamic spec chart ““V363E Vehicle Dynamics Specification Chart - v4.5 20-Nov-12)”. As the issues were only on Buses (350) and there will be no rear ARB on the SRW buses., 15-Nov-2012 - HOEZTU11 - S&amp;R validation test to be done with agreed parts. Closure of AIM is pending these tests., 15-Nov-2012 - REVELIN3 - Close AIMS when concern goes to C status, 15-Nov-2012 - ABANKS2 - Pending Fix Point Phase: TT - Pended to CR C12610660, 15-Nov-2012 - ABANKS2 - Issue will be resolved on C12610660 (at A status). Please pend this AIMS., 12-Nov-2012 - MNUTTIN1 - Funding for supplier tests approved awaiting work plan. S and R tests scheduled this wek, 06-Nov-2012 - MNUTTIN1 - S and R scheduling test for week 46 to trial new links, funding aplied for through chassis core group for supplier tests, 22-Oct-2012 - MNUTTIN1 - Modified trial links have been produced in Lommel and provided to S&amp;R for testing. Funding applied for, for supplier tests., 10-Oct-2012 - MNUTTIN1 - link test setup is on going, 19-Sep-2012 - MNUTTIN1 - Ok thank you. The link supplier is curenlty trying to recreate the issue on a rig. Once this is done they will try some different hardware solutions., 19-Sep-2012 - HOEZTU11 - I confirm the issue is with the link not the bush, 19-Sep-2012 - MNUTTIN1 - Please confirm issue is with link and not bush as shown in video, 11-Sep-2012 - REVELIN3 - Investigation started, 06-Sep-2012 - HOEZTU11 - Open</t>
  </si>
  <si>
    <t>C12610660 -C- (FoE and FNA)</t>
  </si>
  <si>
    <t>Nutting, Matt (M.) &lt;mnuttin1@ford.com&gt;</t>
  </si>
  <si>
    <t>LH + RH leaf spring shackle bush croak: shackle bush vs. body mounted bracket
(old aim)</t>
  </si>
  <si>
    <t>Nick Watson</t>
  </si>
  <si>
    <t>Back panel body ticking in center area: reinforcement X-member e-coat between weld spots</t>
  </si>
  <si>
    <t>C12705713 -X- (FoE &amp; FNA)</t>
  </si>
  <si>
    <t>Erol Günes
Sanham, Luke (L.) &lt;lsanham@ford.com&gt;</t>
  </si>
  <si>
    <t>Bulk head rattle at LH upper B-pillar: Not enough clearance between bulkhead upper part 
and main panel fixing x-member</t>
  </si>
  <si>
    <t>05.08 issue needs to be discussed in WB Meeting
06.05 ICA/PCA add tape; furter investigations are ongoing with Lucas and P. Connew
13.08 P. Connew will send the S&amp;R tape for further re-evaluation. Alert and CR# will be raised by P Connew</t>
  </si>
  <si>
    <t>Peter Coonew</t>
  </si>
  <si>
    <t>LH C-pillar creak on body twist: moving flange edge to sheet metal (see picture)</t>
  </si>
  <si>
    <t>05.08 issue needs to be discussed in WB Meeting
06.08 Rob. H will discuss with Amir and get back to S&amp;R team
13.08 issue root cause is still unclear, further investigation are needed, S&amp;R to provide more details</t>
  </si>
  <si>
    <t>Irshad, Amir (A.) &lt;airshad3@ford.com&gt;</t>
  </si>
  <si>
    <t>LH + RH leaf spring tip liner to leafspring croak on body twist</t>
  </si>
  <si>
    <t>SLD primary seal croak to sheet metal on body twist</t>
  </si>
  <si>
    <r>
      <rPr>
        <b/>
        <sz val="10"/>
        <rFont val="Arial"/>
        <family val="2"/>
      </rPr>
      <t>Other Unique Issues (</t>
    </r>
    <r>
      <rPr>
        <b/>
        <sz val="10"/>
        <color indexed="10"/>
        <rFont val="Arial"/>
        <family val="2"/>
      </rPr>
      <t>Issues identified in other audits such as GFCPA/</t>
    </r>
    <r>
      <rPr>
        <b/>
        <sz val="10"/>
        <rFont val="Arial"/>
        <family val="2"/>
      </rPr>
      <t>R202/</t>
    </r>
    <r>
      <rPr>
        <b/>
        <sz val="10"/>
        <color indexed="10"/>
        <rFont val="Arial"/>
        <family val="2"/>
      </rPr>
      <t xml:space="preserve">VOCF </t>
    </r>
    <r>
      <rPr>
        <b/>
        <strike/>
        <sz val="10"/>
        <color indexed="10"/>
        <rFont val="Arial"/>
        <family val="2"/>
      </rPr>
      <t>DEMS</t>
    </r>
    <r>
      <rPr>
        <b/>
        <sz val="10"/>
        <rFont val="Arial"/>
        <family val="2"/>
      </rPr>
      <t>/Durability)</t>
    </r>
  </si>
  <si>
    <t>OHC internal rattle-OHC internal rattle, unused sensor connector, no parking feature</t>
  </si>
  <si>
    <t>31-Jul-2013 - SPATEL3 - Closed Validated by: Oeztuerk, Hueseyin (HOEZTU11) - As per discussion and agreement with Hueseyin Oeztuerk on 7/31, this issue is closed as no repeat., 30-Jul-2013 - HOEZTU11 - 30.07 No further re-occurrence more noticed, closure agreed, 06-Jul-2013 - PALLE101 - Pending Fix Point Date: 31-Jul-2013, Fix Point Phase: TT, 06-Jul-2013 - PALLE101 - BOM issue will not be accepted by PD due to PDL errors. but Alert was raised to capture issue please close as no issue from PD. Alert A12693964, 05-Jul-2013 - GKURTOGL - System changed from "2C Interior Trim" to "5 Electrical"., 05-Jul-2013 - MJUKES - BOM issue with vehicle wiring loom. please transfer to EESE (agreed with P. Allen)., 03-Jul-2013 - MJUKES - Issue Type changed from "Design" to "Manufacturing"., 03-Jul-2013 - MJUKES - Wrong part fitted to unit. OHC had microphone fitted, but there was no main loom in the vehicle to connect to. transferred to manufacturing., 03-Jul-2013 - UOZMEN2 - Open</t>
  </si>
  <si>
    <t>A12693964</t>
  </si>
  <si>
    <t xml:space="preserve"> Wrong part fitted to unit. OHC had microphone fitted.
ICA: apply felt tape for no parking feature
PCA: correct BOM issue
30.07 No further re-occurrence more noticed, closure agreed</t>
  </si>
  <si>
    <t>Cansevi CAKMAK</t>
  </si>
  <si>
    <t>RHD seat belt tongue vs. b-pillar interior 
WB 687-RHD seat belt tongue is very close to the B-Pillar interior causing rattle noise while dynamic test</t>
  </si>
  <si>
    <t>05-Jul-2013 - MSCOT147 - Pending Fix Point Date: 27-Sep-2013, Fix Point Phase: PP - C12707232 will release a new stopper for the seatbelt tongue that moves the park/home position away from the B-Pillar, solving the squeak and rattle. New parts for PP, ICA will be added to remaining TT builds., 28-Jun-2013 - MSCOT147 - Due to legal/homologation requirements, we cannot raise the tongue's home position permanently. We can however put a slider on the seatbelt that will retain the tongue higher up the B-Pillar when desired, to stop the contact to the B-Pillar. This slider can then be pulled down when installing a child seat, to ensure the belt retains the child seat properly. A special sample seatbelt will be made and delivered to Otosan Monday 1st July for Squeak and Rattle appraisal., 27-Jun-2013 - MSCOT147 - 3 proposals are being trialled today. 1, Adding Webbing loop behind the tongue to dampen sound. 2, Tongue position raised to provide clearance (homologation/legal issues being investigated). 3, adding sticky back felt to the tongue. PCA is likely to be proposal 1, ICA is likely to be proposal 3. S&amp;R will confirm effectiveness of proposals today., 24-Jun-2013 - MSCOT147 - This issue is seen on Dual CO Seat vehicles only. CAD checks and vehicles being reviewed to check if the home position of the tongue can be changed to give more clearance. Other possibilities include changing tongue position stop to a webbing loop or adding felt to Pillar trim., 20-Jun-2013 - UOZMEN2 - ICA Implemented By changed from [no previous value] to "YFILIZ". ICA Implemented Date changed from [no previous value] to 01-Jan-2020. ICA Description changed., 20-Jun-2013 - UOZMEN2 - Open</t>
  </si>
  <si>
    <t>A12707966</t>
  </si>
  <si>
    <t>194153
C12707232 -C- (FoE only)</t>
  </si>
  <si>
    <t>12/07 ICA=PCA add clip-on slider, more cost effective
than webbing loop.
Dave Fricker to provide date for when
reworked parts are at line. Alert not signed
yet Ask Dave for ICA date.</t>
  </si>
  <si>
    <t>Michael Scott (MSCOT147), Yasemin Filiz (YFILIZ)</t>
  </si>
  <si>
    <t>Hood stay up rod croak when unfolding-Rubber washer material to rod paint</t>
  </si>
  <si>
    <t>25-Jul-2013 - YOZANSO2 - Closed Validated by: Ozansoy, Yildirim (YOZANSO2) - AIMS closed no issue seen even on the problematic vehicle after re-assembled the grommet to GOR. However grommet diameter will be improved according to magna info. AIMS will be reopened if seen same issue again during S&amp;R test by Hueseyin Oeztuerk., 25-Jul-2013 - YOZANSO2 - AIMS closed no issue seen even on the problematic vehicle after re-assembled the grommet to GOR. However grommet diameter will be improved according to magna info., 09-Jul-2013 - YOZANSO2 - Pending Fix Point Date: 31-Jul-2013, Fix Point Phase: TT - G8D closed. issue solved on the problematic vehicle when the grommet re-assembled to gor hole. AIMS will be followed as pending till to new trial by Hueseyin Oeztuerk. other hand grommet diameter will be improved with concern, 08-Jul-2013 - YOZANSO2 - ý have reviewed issue on the problematic vehicle.G8D will be completed today,I will update the findings and change the AIMS status to pending dated on tomorrow early morning., 06-Jul-2013 - YOZANSO2 - G8D 194439 has been opened against to supplier.( target 11.07.2013 ), 05-Jul-2013 - ETALAYA2 - Issue Type changed from "Design" to "Supplier Quality"., 05-Jul-2013 - ETALAYA2 - Rod grommet c/o V362. By design, GOR hole diameter in V363 is the same as V362. This is a supplier quality issue, 30-Jun-2013 - EUSLU1 - ICA Implemented By changed from [no previous value] to "CDIMMOC2". ICA Implemented Date changed from [no previous value] to 01-Jan-2020. ICA Description changed., 30-Jun-2013 - EUSLU1 - Open</t>
  </si>
  <si>
    <t>ICA/PCA GOR structure grommet hole
diameter increased, D closed
S&amp;R will monitor 5 safe VIN's and close the
aim PCA date is 31-Jul-2013.</t>
  </si>
  <si>
    <t xml:space="preserve">Geary Reynolds
</t>
  </si>
  <si>
    <t>camera cover loose fit-Camera cover metal part has free play</t>
  </si>
  <si>
    <t>20-Aug-2013 - YOZANSO2 - Pending Fix Point Date: 19-Sep-2013, Fix Point Phase: PP - latest level part will be evaluated during PP Build. AIMS will be closed if not seen any issue during PP., 31-Jul-2013 - IAKKARPU - Pending Fix Point Date: 16-Aug-2013, Fix Point Phase: PP - Fix Point Date is revised., 25-Jul-2013 - YOZANSO2 - ý have been informed by Senad form plascam that improvement on the tool will be completed 16.08.2013.( FtN target is 24.08.2014 ), 05-Jul-2013 - YOZANSO2 - Pending Fix Point Date: 31-Jul-2013, Fix Point Phase: TT - ICA: rework with ALERT 12701839. Reworked and Grained covers tested in S&amp;R device,and accepted by Mehmet Sahin and Hueseyin Oeztuerk. PCA: Fixing Clip improvement in tool. Team agreed AIMS pended till to PCA implemented., 01-Jul-2013 - YOZANSO2 - G8D 194315 has been opened against to Plascam.( g8d completion target 05.07.2013 ), 29-Jun-2013 - UOZMEN2 - ICA Implemented By changed from [no previous value] to "YOZANSO2". ICA Implemented Date changed from [no previous value] to 01-Jan-2020. ICA Description changed., 29-Jun-2013 - UOZMEN2 - Open</t>
  </si>
  <si>
    <t>A12701839</t>
  </si>
  <si>
    <t>ICA: tape
PCA waiting for 8D completion 8D
completion date is 31-Jul-2013.</t>
  </si>
  <si>
    <t>Gizem Paksoy (GPAKSOY)
Paul Evens</t>
  </si>
  <si>
    <t>Hydraulic Jack rattle-1.) Hydraulic Jack rattle on holder
2. H-Jack lever parts rattle on RH step</t>
  </si>
  <si>
    <t>05-Jul-2013 - NSAVILLE - Pending Fix Point Date: 11-Oct-2013, Fix Point Phase: PP, 05-Jul-2013 - NSAVILLE - C12707396 raised to prevent jack rattle issue, 30-Jun-2013 - EUSLU1 - ICA Implemented By changed from [no previous value] to "LYILDIZ1". ICA Implemented Date changed from [no previous value] to 01-Jan-2020. ICA Description changed., 30-Jun-2013 - EUSLU1 - Open</t>
  </si>
  <si>
    <t>A12684765</t>
  </si>
  <si>
    <t>C12707396 -C- FoE &amp; FNA)</t>
  </si>
  <si>
    <t>The PCA is being implemented on C12707396</t>
  </si>
  <si>
    <t>ICA/PCA Jack: add rubber pad on Holder
ICA/PCA Jack lever: add additional strap</t>
  </si>
  <si>
    <t>Adam Green</t>
  </si>
  <si>
    <t>Matthew O'Neil (MONEIL47)</t>
  </si>
  <si>
    <t>Bulkhead rattle @ door slam-Bulkhead rattle @ door slam;  lower bulkhead to B-Pillar rattle</t>
  </si>
  <si>
    <t>01-Aug-2013 - AGOYUNC1 - Revised welding control plan attached., 01-Aug-2013 - IAKKARPU - Pending Fix Point Date: 31-Aug-2013, Fix Point Phase: PP - Fix Point Date is revised., 19-Jul-2013 - MINCE5 - Pending Fix Point Date: 29-Jul-2013, Fix Point Phase: TT, 19-Jul-2013 - MINCE5 - supplier applied V362 welding data processed on V363 part. F / O stock was reworked, We will put on the foam welding missing area on the vehicle Bulkhead. Welding robot program by creating separate programs for V362 and V363 prevented error., 09-Jul-2013 - HOEZTU11 - Issue is clearly Supplier Quality issue, the both sheet metal layer of the lower bulkhead are not properly welded to each other. BK31-545-AB, 07-Jul-2013 - AGOYUNC1 - Supplier has been notified via SRI. G8D has been raised against supplier. G8D number:194449, 06-Jul-2013 - CCIGTEKI - Supplier to review the vehicle., 06-Jul-2013 - CCIGTEKI - Issue Type changed from "Manufacturing" to "Supplier Quality"., 05-Jul-2013 - GKURTOGL - System changed from "2C Interior Trim" to "1A BIW / Structures"., 05-Jul-2013 - HOEZTU11 - aims admin please change the aim system to 1A biw/Structure, 03-Jul-2013 - MJUKES - ., 03-Jul-2013 - UOZMEN2 - ICA Implemented By changed from [no previous value] to "ETAPO". ICA Implemented Date changed from [no previous value] to 01-Jan-2020. ICA Description changed., 03-Jul-2013 - UOZMEN2 - Open</t>
  </si>
  <si>
    <t>Need ICA foampad application
STA contacts supplier
PCA : Design change; additional weld spots
are proposed Supplier forgot to add spot
welds. New parts are available, S&amp;R trail on 24.07; S&amp;R OK
waiting for approved 8D</t>
  </si>
  <si>
    <t>Erhan Tapo (ETAPO)
Peter Connew
agoyunc</t>
  </si>
  <si>
    <t>LH RCD tick on opening; Lower striker POM ring comes out and clicks in again</t>
  </si>
  <si>
    <t>10-Jul-2013 - IAKKARPU - Closed Validated by: Akkarpuz, Ihsan (IAKKARPU), 10-Jul-2013 - IAKKARPU - Pending Fix Point Date: 10-Jul-2013, Fix Point Phase: TT - As agreed in AIMS meeting that issue can now be closed as there is no need for 8D since there is no quality issue. If the issue is reoccurred it would then be binned to manufacturing. Part &amp; Process is the same as V362., 10-Jul-2013 - IAKKARPU - It can be classified as one-off issue as the ring removed from its place after the extreme impact. As an ICA all stocks have been sorted and no defective part found. PCA not required when all these info taken into consideration. Issue to be pended for closure when all these information to be reflected to the 8D by Kiekert., 10-Jul-2013 - IAKKARPU - Issue description is not clear enough to understand what has gone wrong. Given part number by the initiator is not correct as it belongs to Yildiz Kalip while the problem mentioned seems pertaining to Kiekert. Type of the issue needs to be reviewed again to decide who can take the lead for resolution., 10-Jul-2013 - CCORLU - The ring which is fitted to the striker pin hole should has more robust strength, either due to the design or part quality failed., 10-Jul-2013 - CCORLU - Issue Type changed from "Manufacturing" to "Supplier Quality"., 06-Jul-2013 - TFEGAN - Review vehicle, 30-Jun-2013 - EUSLU1 - ICA Implemented By changed from [no previous value] to "GKURTOGL". ICA Implemented Date changed from [no previous value] to 01-Jan-2020. ICA Description changed., 30-Jun-2013 - EUSLU1 - Open</t>
  </si>
  <si>
    <t>ICA/PCA: re-set the RCD
Process impr. Sheet will be provided by Manuf.
PCA: part quality confirmed &amp; aim closed by STA</t>
  </si>
  <si>
    <t>Gulce Kurtoglu (GKURTOGL)
iakkarpu</t>
  </si>
  <si>
    <t>WB1739</t>
  </si>
  <si>
    <t>LH + RH door whistle noise on door slam: air forced underneath drip rail</t>
  </si>
  <si>
    <t>21-Aug-2013 - JBECKERM - Open - Needs appropriate Attribute Manager (Nick Mason) concurrence., 20-Aug-2013 - CCIGTEKI - Pending "Awaiting MDI Quality Assessment", 19-Aug-2013 - SNOYCE1 - Issue Type changed from "Design" to "Meets Design Intent"., 19-Aug-2013 - SNOYCE1 - As directed in the Tech Review, this issue is to be assessed as MDI. MDI questions and answers: 1) What Design/Attribute Requirement(s) are being met?: DV-0022 Commercial car wash. DY-0032 Auxiliary barrier against Water, Dirt, and Noise Transmission. 2) What is the requirement value? On V363 the primary seals must prevent, water, dirt or wind noise into the vehicle. These are the secondary seals which are the first barrier and are designed to reduce these as much as possible. 3) What is the measured / evaluated data associated with the issue? VoCF and S&amp;R have stated that when the front door is closed there is a high pitched noise coming from the top of the door on some vehicles. The attached presentation, sheets 1 and 2, show the investigation results, root cause assumptions and potential solutions. 4) If carry over content for the vehicle line, what is the current quality TGW or R/1000 information for each region affected: Not carry over sealing strategy, as current CV’s do not have a B-pillar margin seal and therefore do not generate a similar noise. 5) If new content or technology to the vehicle line or region/market, what is benchmarking or surrogate quality information (TGW and/or R/1000 from surrogate vehicle line or application) for each region affected: Attached presentation shows competitor vehicles with a similar strategy, but no known issues. 6) What PD Functional Manager and affected Attribute Manager (if applicable) has reviewed and approved as MDI (Name, CDSID for each individual)? John Strudwick (jstrudw1@ford.com)., 17-Aug-2013 - SNOYCE1 - Tech review Friday 16Aug13., 03-Aug-2013 - JFLOREN3 - KCAP added to plants affected, common design in both regions., 01-Aug-2013 - SNOYCE1 - Investigations indicate it is caused by air being compressed when the door is closed and escaping between the top of the door and the lip of the drip rail seal. Not apparent on all front doors and seems to be influenced by a certain combination of gaps and flushness settings. Please see attached presentation. Peter Kleesattel to check NVH influence of proposals to modify the B-pillar margin and drip rail seals on Merkenich vehicle next week. Investigations on-going., 27-Jul-2013 - TPAMUKCU - Open</t>
  </si>
  <si>
    <t>05.08 investigations to shorten the primary sealer 20mm is ongoing, in order to get rid of the S&amp;R issue</t>
  </si>
  <si>
    <t xml:space="preserve">OHC ticking on LH side;  Overhead Shelf sub-components ticking noise on LHS close to tachygraphy. </t>
  </si>
  <si>
    <t>03-Jul-2013 - MJUKES - Pending Fix Point Date: 26-Aug-2013, Fix Point Phase: PP, 03-Jul-2013 - ROSTERB7 - This issue was Fixed by using felt tape around the RKE reciever . BK2T-15K602-A. This will be released in C12705706.Aims can be pended., 03-Jul-2013 - DYURDAKU - ICA Implemented By changed from [no previous value] to "ROSTERB7". ICA Implemented Date changed from [no previous value] to 01-Jan-2020. ICA Description changed., 03-Jul-2013 - DYURDAKU - Open</t>
  </si>
  <si>
    <t>A12706598</t>
  </si>
  <si>
    <t>C12705706 -C- (FoE only)</t>
  </si>
  <si>
    <t>15/07 
ICA:  felt tape around the RKE receiver
Green with safe VIN#
PCA=ICA 22.07.2013: Ray Osterberg will check Autotrim to add the foams.</t>
  </si>
  <si>
    <t>Alex Johnson</t>
  </si>
  <si>
    <t>Ray Osterberg (ROSTERB7)</t>
  </si>
  <si>
    <t>Driver airbag rattle  - Inside of the air bag system there is a installation problem that causes a gap between the air bag and the steering wheel column, that occurs rattle noise - PVP drive issue</t>
  </si>
  <si>
    <t>02-Aug-2013 - MWARD5 - Pending Fix Point Date: 14-Sep-2013, Fix Point Phase: TT - Evidence is that rattle was due to incorrect fitment of DAB to Steering Wheel. This is the same interface as V362 DAB &amp; Steering Wheel. To be monitored on V363N TT Builds ., 02-Aug-2013 - MWARD5 - No ICA required - evidence is that rattle was due to incorrect fitment of DAB to Steering Wheel., 01-Aug-2013 - MSCOT147 - Only one part has been found to have a noise issue. No other reports for TT. From Hueseyin's description of thie issue, the part could have been assembled incorrectly at Faurecia or the part was defective. Can STA please confirm the module from the affected vehicle was sent to Autoliv for assessment and a new module installed into the vehicle., 30-Jul-2013 - MSCOT147 - Seeking clarification from Squeak and Rattle team today. DIfferent members of the team are giving different OK/NOK responses to the noise., 29-Jul-2013 - GPAKSOY - Issue Type changed from "Supplier Quality" to "Design"., 29-Jul-2013 - GPAKSOY - Open, 29-Jul-2013 - GPAKSOY - According to Autoliv squeak and rattle measurement which is attached, all measurements are in spec so issue needs to be changed into MDI., 25-Jul-2013 - EYAZICI - Pending Fix Point Date: 26-Jul-2013, Fix Point Phase: TT, 25-Jul-2013 - EYAZICI - A trial has been appointed for 26.07.2013 with attendance of Autoliv Team. Next steps will be decided afterwards., 19-Jul-2013 - EYAZICI - Autoliv team visited Golcuk Plant today and agreed with Incoming Quality to get the part back to Autoliv plant in order to make deep dive investigation. It is expected to have a feedback on Tuesday (23.07), 18-Jul-2013 - EYAZICI - Supplier has been notified via SRI. G8D has been raised against supplier. G8D number: 194804, 16-Jul-2013 - GPAKSOY - According to the PvP drive test squeak noise has been reported in the airbag area. After the SnR evaluation no squeak problem has been observed but a tick noise has been reported. After the supplier has replaced the airbag with a new one, tick nose problem has been solved. There is going to be a test in another OK vehichle with the problematic airbag for final check after Faurecia send the problematic airbag back., 13-Jul-2013 - IAKKARPU - There is no visual supportive data to help STA understand the issue. Attachment needs to be provided by the initiator considering the fact that it is a S&amp;R item., 12-Jul-2013 - DYURDAKU - ICA Implemented By changed from [no previous value] to "GPAKSOY". ICA Implemented Date changed from [no previous value] to 01-Jan-2020. ICA Description changed., 12-Jul-2013 - DYURDAKU - Open</t>
  </si>
  <si>
    <t xml:space="preserve">18/07 issue replicated on vin# 1076.and
shown to Y. Filiz (Autoliv); STA: Asli Akyol; 
30.07 issue is one-off, S&amp;R will monitor and close in case of no reoccurrence
</t>
  </si>
  <si>
    <t>Yasemin Filiz
eyazici</t>
  </si>
  <si>
    <t>Passenger door rattle on rough roads (seal squeak) 
Door settings issue</t>
  </si>
  <si>
    <t>24-Jul-2013 - SNOYCE1 - Pending Fix Point Date: 16-Aug-2013, Fix Point Phase: TT - As agreed in today's AIMS meeting, put to Pending the trials of these specially manufactured sample parts., 24-Jul-2013 - SNOYCE1 - Now confirmed that Saargummi will produce 2 different primary seals for S&amp;R testing. First with an alternative slip coat “STAHL Permuthane and second with an increased CLD value F = 6,5 +/- 1,5 N / 100 mm (approx). Due to their Plant summer shutdown, parts will not be available in Kocaeli until week 33 (12Aug13). Propose that this AIMS can be put to Pending these trials., 20-Jul-2013 - SNOYCE1 - Saargummi informed of this issue. Slip coat and CLD information has been requested with reference to V363, V362 and V408 where this noise has also existed. Past experience proved that this is caused by the very soft seals required to meet the closing effort targets, especially the front door with bulkhead. Lessons learnt will be incorporated to determine the manufacture of trail parts for testing. Meeting will be planned for Monday., 18-Jul-2013 - CCORLU - Design investigation required., 18-Jul-2013 - CCORLU - Issue Type changed from "Manufacturing" to "Design"., 18-Jul-2013 - CCORLU - I ve added 71048 measurement report. I can surely say that the door set is fully perfect, all green in terms of gap and flushness. If you consider sealgaps, max 0.8mm out of tolerances on unrelated areas., 15-Jul-2013 - UOZMEN2 - ICA Implemented By changed from [no previous value] to "CCORLU". ICA Implemented Date changed from [no previous value] to 01-Jan-2020. ICA Description changed., 15-Jul-2013 - UOZMEN2 - Open</t>
  </si>
  <si>
    <t>19.07 19.07 Design change is proposed (Sean Noyce and SaarGummi)
24.07 new parts will be available in cw33
ICA: apply krytox</t>
  </si>
  <si>
    <t>Cenk Corlu
Sean Noyce</t>
  </si>
  <si>
    <t>Click noise from driver seat armrest while loading
PVP drive issue</t>
  </si>
  <si>
    <t>31-Jul-2013 - IAKKARPU - Pending Fix Point Date: 31-Aug-2013, Fix Point Phase: PP - As asked by Sunil Patel that the fix point of this particular item is fixed to 31-Aug., 18-Jul-2013 - EYAZICI - Pending Fix Point Date: 26-Jul-2013, Fix Point Phase: TT - As agreed with initiator, issue turns to pending in order to monitor if problem will occur again or not., 18-Jul-2013 - EYAZICI - Supplier has been notified via SRI. G8D has been raised against supplier. G8D number: 194807, 17-Jul-2013 - UOZMEN2 - ICA Implemented By changed from [no previous value] to "EYAZICI". ICA Implemented Date changed from [no previous value] to 01-Jan-2020. ICA Description changed., 17-Jul-2013 - UOZMEN2 - Open</t>
  </si>
  <si>
    <t>15/07 parts are exchanged.
Need 8D
STA contacts supplier
17/06 issue is not replicable, S&amp;R to
monitor S&amp;R team to monitor the issue.</t>
  </si>
  <si>
    <t>Serdar Eren; Selin Korkmaz (Magna)
eyazici</t>
  </si>
  <si>
    <t>Park Brake Lever Noise - While applying the park brake lever, without the button pressed, there is a rubbing noise audible. The noise occurs before the lever reaches the ratchet section but there is no noise when the button is pressed.</t>
  </si>
  <si>
    <t>02-Aug-2013 - SMORTO22 - FNA have a shorter lever than FOE, but this issue is common on both levers. Both FOE and FNA levers have been improved in C12607491., 31-Jul-2013 - IPANAYO2 - Are FOE and FNA parking brake levers common?, 22-Jul-2013 - BJACKSON - If levers from C12607491 corrects this condition, it should be closed as a duplicate to 3280344 which is currently on the deck in pending status., 22-Jul-2013 - LYILDIZ1 - Pending Fix Point Date: 22-Sep-2013, Fix Point Phase: PP - Concern is at C status., 22-Jul-2013 - SMORTO22 - After a review in Dunton, this is not going to be closed against MDI. C12607491 updates the levers with the new pawl and push rod. The sliding noise will be reduced since there is less load on the pawl. The root cause (pawl load/pretention) is the same as for the ratchet noise., 16-Jul-2013 - AGREEN89 - Just to clarify the noise issue: C12607491 fixes the noise created when the handbrake lever is 'dropped' to the floor. This noise in this AIMS is created by the pawl running into the secotr of the handbrake lever. It is design intent. The handbrake levers are c/o V362. MDI questions will be completed to close this AIMS., 16-Jul-2013 - DTECU1 - Issue Type changed from "Supplier Quality" to "Design"., 16-Jul-2013 - DTECU1 - TT parts are not the latest definition. CR C12607491 for the pawl / pushrod / bearing change. Turn to design type., 15-Jul-2013 - UOZMEN2 - Open</t>
  </si>
  <si>
    <t>C12607491 -C- (FoE and FNA)</t>
  </si>
  <si>
    <t xml:space="preserve">Change is V362 production led 
PPAP date is between PP MRD and MP1 MRD
V362 production parts will be supplied for V363 until PPAP 
Sample “non-PSW” parts are available for assessment if required.
</t>
  </si>
  <si>
    <t>NA levers are PPAP for TT with these improvements in place</t>
  </si>
  <si>
    <t>19.07 handbrake levers are c/o V362
MDI questions will be completed to close this AIMS 
22.07.2013: Umut Ozcan to check V362 status. Chassis team will provide new bush rod. They will not raise MDI process.</t>
  </si>
  <si>
    <t>Cargo area LH upper wire harness cover ticking - Cargo area LH upper wire harness cover ticking, clipses are creating the ticking vs. sheet metal . See picture&amp;video</t>
  </si>
  <si>
    <t>06-Jul-2013 - MJUKES - Pending Fix Point Date: 26-Aug-2013, Fix Point Phase: PP - C12699799: release of foam and new clip design C12707389, 06-Jul-2013 - MJUKES - Issue Type changed from "Manufacturing" to "Design"., 06-Jul-2013 - MJUKES - Extrusion fixing clips were missing from the vehicle., 06-Jul-2013 - UOZMEN2 - ICA Implemented By changed from [no previous value] to "GALP". ICA Implemented Date changed from [no previous value] to 01-Jan-2020. ICA Description changed., 06-Jul-2013 - UOZMEN2 - Open</t>
  </si>
  <si>
    <t>C12707389 -C- (FoE only)
C12699799 -C- (FoE and FNA)</t>
  </si>
  <si>
    <t xml:space="preserve">ICA/PCA: release of foam and new clip design </t>
  </si>
  <si>
    <t>CCAB 71052 GCPA DRIVE TEST - HEADLINER NOISY Headliner touching to bulk head. Rattling on rough roads.</t>
  </si>
  <si>
    <t>12-Jul-2013 - GPAKSOY - Closed Validated by: Paksoy, Gizem (GPAKSOY) - Safe VIN number is DR71044. Issue can be closed., 05-Jul-2013 - GPAKSOY - Pending Fix Point Date: 10-Jul-2013, Fix Point Phase: TT - Fix point date is updated., 04-Jul-2013 - GKURTOGL - Issue Type changed from "Manufacturing" to "Supplier Quality"., 04-Jul-2013 - GKURTOGL - Foam on headlýner mýssýng and mýs-posýtýoned. Please transfer to SQ, 04-Jul-2013 - CCIGTEKI - ICA Implemented Date changed from 01-Jun-2020 to 04-Jul-2013. ICA Description changed., 03-Jul-2013 - CCIGTEKI - ICA Description changed., 02-Jul-2013 - CCIGTEKI - ICA Description changed., 01-Jul-2013 - CCIGTEKI - ICA Description changed., 29-Jun-2013 - IPORTER - Erol to review measurement report for vehicle for confirm vehicle ok. If OK review as SQ., 29-Jun-2013 - DYURDAKU - ICA Description changed., 29-Jun-2013 - GALP - Need body dimension report, 27-Jun-2013 - DYURDAKU - ICA Implemented By changed from [no previous value] to "GALP". ICA Implemented Date changed from [no previous value] to 01-Jun-2020. ICA Description changed., 26-Jun-2013 - CCIGTEKI - Open</t>
  </si>
  <si>
    <t>A12706669</t>
  </si>
  <si>
    <t>ICA/PCA:  rework rear trim edge on SCC headliners to eliminate touch condition to rear header              
safe vin# 71044 
22.07.2013: Autotrim will provide the correct parts. But the parts are NOK. PCA is the geometric check of the all parts. PCA not working. Change the status to RED.</t>
  </si>
  <si>
    <t>Ray Osterberg (ROSTERB7); gpaksoy</t>
  </si>
  <si>
    <t>x1B</t>
  </si>
  <si>
    <t>x76</t>
  </si>
  <si>
    <t>LH + RH front door croak on open/close: e-wires moving in rubber grommet</t>
  </si>
  <si>
    <t>x328</t>
  </si>
  <si>
    <t>LH front door squeak on open/close: Metal pin to metal lower hinge check feature</t>
  </si>
  <si>
    <t>x2B</t>
  </si>
  <si>
    <t>x77</t>
  </si>
  <si>
    <t>LH + RH front seat ratchet noise on move forw/back: ribbed e-wire convoluted tube cutline edges</t>
  </si>
  <si>
    <t>x2C</t>
  </si>
  <si>
    <t>x331</t>
  </si>
  <si>
    <t>RH door step creak on load: Jack holder lid vs. door step. Closed lid is under tension</t>
  </si>
  <si>
    <t>x1A</t>
  </si>
  <si>
    <t>x332</t>
  </si>
  <si>
    <t>LH B-pillar upper, body ticking: Weld spot/ e- coat ticking</t>
  </si>
  <si>
    <t>x335</t>
  </si>
  <si>
    <t>SLD oil canning on door slam: structures are attached panel need to be deadened</t>
  </si>
  <si>
    <t>x339</t>
  </si>
  <si>
    <t>Driver seat scuff on move forw/back in lowest position : inboard valence has no clearance to hand 
brake bezel</t>
  </si>
  <si>
    <t>OFF-LINE DATE</t>
  </si>
  <si>
    <t>JAN</t>
  </si>
  <si>
    <t>WK1</t>
  </si>
  <si>
    <t>WK2</t>
  </si>
  <si>
    <t>WK3</t>
  </si>
  <si>
    <t>WK4</t>
  </si>
  <si>
    <t>WK5</t>
  </si>
  <si>
    <t>TESTed vehicle</t>
  </si>
  <si>
    <t>缺陷数</t>
  </si>
  <si>
    <t>c/1000</t>
  </si>
  <si>
    <t>年</t>
  </si>
  <si>
    <t>月</t>
  </si>
  <si>
    <t>周</t>
  </si>
  <si>
    <t>目标值</t>
  </si>
  <si>
    <t>日</t>
  </si>
  <si>
    <t xml:space="preserve">top issues
</t>
  </si>
  <si>
    <r>
      <rPr>
        <b/>
        <sz val="12"/>
        <rFont val="Arial"/>
        <family val="2"/>
      </rPr>
      <t xml:space="preserve">IssueStatus
</t>
    </r>
    <r>
      <rPr>
        <b/>
        <sz val="12"/>
        <rFont val="宋体"/>
        <family val="3"/>
        <charset val="134"/>
      </rPr>
      <t>问题状态</t>
    </r>
  </si>
  <si>
    <t>OCT</t>
  </si>
  <si>
    <t>NOV</t>
  </si>
  <si>
    <t>DEC</t>
  </si>
  <si>
    <t>total</t>
  </si>
  <si>
    <t>issue Type</t>
  </si>
  <si>
    <t>issue Description</t>
  </si>
  <si>
    <t>原因分析</t>
  </si>
  <si>
    <t>下一步计划</t>
  </si>
  <si>
    <t>状态</t>
  </si>
  <si>
    <t>ICA</t>
  </si>
  <si>
    <t>尾箱漏水</t>
  </si>
  <si>
    <t>M</t>
  </si>
  <si>
    <t>曾峰</t>
  </si>
  <si>
    <t>总装密封条装配不到位</t>
  </si>
  <si>
    <t>培训员工装配完成后进行自检，保证密封条百分百贴实钣金</t>
  </si>
  <si>
    <t>李安</t>
  </si>
  <si>
    <t>S</t>
  </si>
  <si>
    <t>倒车雷达线束包扎不良</t>
  </si>
  <si>
    <t>供应商排查了线边的物料没有发现1月9日</t>
  </si>
  <si>
    <t>已经做了设变，所有线束都加了防水泥</t>
  </si>
  <si>
    <t>占卫军</t>
  </si>
  <si>
    <t>焊装规范员工操作</t>
  </si>
  <si>
    <t>胡江荣</t>
  </si>
  <si>
    <t>雷达线束少海绵</t>
  </si>
  <si>
    <t>排查线边全部数量未发现故障件</t>
  </si>
  <si>
    <t>后保螺栓处存在多余垫片造成螺栓未打紧</t>
  </si>
  <si>
    <t>区长确认，培训员工</t>
  </si>
  <si>
    <t>尾箱铆钉装配不良(新员工操作）</t>
  </si>
  <si>
    <t>培训员工</t>
  </si>
  <si>
    <t>余小磊</t>
  </si>
  <si>
    <t>金文根</t>
  </si>
  <si>
    <t>1、雷达线束护套处刷胶太厚，导致和钣金不贴合2、雷达线束护套处胶带纸干涉</t>
  </si>
  <si>
    <t>1、涂装在尾箱降低打胶高   2、涂装检验点围堵</t>
  </si>
  <si>
    <t>徐一天</t>
  </si>
  <si>
    <t>尾门铰链处胶洞</t>
  </si>
  <si>
    <t>故障现象传递至线上，检验点围堵</t>
  </si>
  <si>
    <t>黄光亮、金文根</t>
  </si>
  <si>
    <t>培训员工，装配后完成自检</t>
  </si>
  <si>
    <t>扰流板装配不良</t>
  </si>
  <si>
    <t>周伟民</t>
  </si>
  <si>
    <t>Y</t>
  </si>
  <si>
    <t>黄光亮</t>
  </si>
  <si>
    <t>尾灯三角处胶洞</t>
  </si>
  <si>
    <t>尾灯线束卡扣没有完全卡进去</t>
  </si>
  <si>
    <t>总装装配后完成自检</t>
  </si>
  <si>
    <t>员工未按工艺要求操作</t>
  </si>
  <si>
    <t>尾箱门框线束护套下陷导致漏水</t>
  </si>
  <si>
    <t>1、扬声器螺丝底座没有完全按下去导致螺丝未打紧</t>
  </si>
  <si>
    <t>区长做过程确认，督处员工</t>
  </si>
  <si>
    <t>彦姗姗</t>
  </si>
  <si>
    <t>车门外飘</t>
  </si>
  <si>
    <t>CAL线已识别在线围堵</t>
  </si>
  <si>
    <r>
      <rPr>
        <b/>
        <sz val="12"/>
        <rFont val="宋体"/>
        <family val="3"/>
        <charset val="134"/>
        <scheme val="major"/>
      </rPr>
      <t>1、线束卡扣失效</t>
    </r>
    <r>
      <rPr>
        <b/>
        <sz val="12"/>
        <color rgb="FF00B0F0"/>
        <rFont val="宋体"/>
        <family val="3"/>
        <charset val="134"/>
        <scheme val="major"/>
      </rPr>
      <t>2、线束卡扣未卡到位</t>
    </r>
  </si>
  <si>
    <t>彦姗姗 孔域林</t>
  </si>
  <si>
    <t>后门漏水</t>
  </si>
  <si>
    <t>1、漏水重点位置工程师和员工已经交代，而且需要滚压两边。                                                      2、对责任员工进行考核谈话，区长对该员工进行PJO确认。Cutoff vin：JTA09436</t>
  </si>
  <si>
    <t>同ica</t>
  </si>
  <si>
    <t>前档漏水</t>
  </si>
  <si>
    <t>前档右上角漏水</t>
  </si>
  <si>
    <t>右上角顶棚拐角处偏高，造成顶棚与玻璃胶干涉蹭胶，导致漏水</t>
  </si>
  <si>
    <t xml:space="preserve">
1、请焊装支持检测顶棚安装孔的三坐标数据（如图）；——曾峰，钟式吉
2、请STA让供应商提供两套符合TCE设计要求的小天窗顶棚；——徐冠中
</t>
  </si>
  <si>
    <t>占卫军、李安</t>
  </si>
  <si>
    <t>天窗水管未接</t>
  </si>
  <si>
    <t>小叶窗漏水</t>
  </si>
  <si>
    <t>鲨鱼旗装配不到位</t>
  </si>
  <si>
    <t>总装培训员工</t>
  </si>
  <si>
    <t>行李架胶洞</t>
  </si>
  <si>
    <t>涂装检验点围堵，可视化培训员工（已做QCM围堵）</t>
  </si>
  <si>
    <t>天窗水管异物堵塞</t>
  </si>
  <si>
    <t>现场要求整改，将水管单独存放避免混放掉入异物。Cutoff vin：8665</t>
  </si>
  <si>
    <t>水管接头有个螺钉</t>
  </si>
  <si>
    <t>行李架焊点焊穿</t>
  </si>
  <si>
    <t>M/D</t>
  </si>
  <si>
    <t>行李架胶裂（拍裂了）</t>
  </si>
  <si>
    <t>行李架与车身上的安装支架，为卡扣式，对孔卡紧相对困难，员工节拍考虑，进行快速拍紧卡入时，将支架拍变形造成行李架凹槽胶裂，导致漏水</t>
  </si>
  <si>
    <t xml:space="preserve">对比N35X及U375：设计上U375/N35X均采用螺柱与行李架配合紧固方式，员工直接拧紧装配，无N330钣金卡扣式，对比装配状态及漏水故障率，建议N330优化同样设计，该问题将纳入Aims管控，对CX743提前预防改善-付似愚-2018.3.26 </t>
  </si>
  <si>
    <r>
      <rPr>
        <b/>
        <sz val="12"/>
        <rFont val="宋体"/>
        <family val="3"/>
        <charset val="134"/>
      </rPr>
      <t>目前该问题会输入</t>
    </r>
    <r>
      <rPr>
        <b/>
        <sz val="12"/>
        <rFont val="Arial"/>
        <family val="2"/>
      </rPr>
      <t>aims</t>
    </r>
    <r>
      <rPr>
        <b/>
        <sz val="12"/>
        <rFont val="宋体"/>
        <family val="3"/>
        <charset val="134"/>
      </rPr>
      <t>进行整改</t>
    </r>
  </si>
  <si>
    <t>李安、李瑰</t>
  </si>
  <si>
    <t>尾门框钣金焊点焊穿</t>
  </si>
  <si>
    <t>副驾驶漏水</t>
  </si>
  <si>
    <t>空调排水口皮套褶皱堵塞</t>
  </si>
  <si>
    <t>空调进气格栅处余胶</t>
  </si>
  <si>
    <t>纳入到漏水检查清单中，同时总装装配时检查是否有余胶并清理，对管道内车辆进行排查，共排查了35量车未发现该问题cutoffvin:07896</t>
  </si>
  <si>
    <t>员工刷胶时将余胶掉落在空调进气格栅安装孔未擦净</t>
  </si>
  <si>
    <t xml:space="preserve">培训员工，识别这种余胶导致漏水的故障模式 </t>
  </si>
  <si>
    <t>翼子板内打胶不良</t>
  </si>
  <si>
    <t>1、将可视化打印张贴至到现场，交于白晚班签字培训员                              2、每天13：00对该处打胶状态进行确认，记录并通报结果给区组长</t>
  </si>
  <si>
    <t>胶条位置与工艺标准偏移了4mm</t>
  </si>
  <si>
    <t>曾峰、钟式吉</t>
  </si>
  <si>
    <t>1.协调三方对零件100%测量螺柱间距，并将测量数据标于件上，按247±1.2mm确认；
2.在进风格栅处进行加丁基胶再装配。cutoff vin:8436</t>
  </si>
  <si>
    <r>
      <rPr>
        <b/>
        <sz val="12"/>
        <rFont val="宋体"/>
        <family val="3"/>
        <charset val="134"/>
        <scheme val="major"/>
      </rPr>
      <t>Y向螺距超差根本原因：焊接夹具连接处松动，导致焊接套圈偏移松动，致间距变大；
逃逸点：</t>
    </r>
    <r>
      <rPr>
        <b/>
        <sz val="12"/>
        <color rgb="FF00B0F0"/>
        <rFont val="宋体"/>
        <family val="3"/>
        <charset val="134"/>
        <scheme val="major"/>
      </rPr>
      <t>确认kit区一共3筐物料，其中2筐做了ICA，有一筐遗漏，目前已将这筐物料隔离，通知线服过来返工3月30日</t>
    </r>
  </si>
  <si>
    <t xml:space="preserve">  零件螺距超差PCA管控：
1.新增钢制简易检具，按100%比例检查出货-2018.3.23；
2. IQ对零件超差问题加入QCM巡检抽查-2018.3.23。</t>
  </si>
  <si>
    <t>针对钣金型面与通风栅型面不贴合漏水下一步行动计划;
1.改装厂产钣金螺柱位置X向距离偏下：通风栅与钣金R角提前干涉，导致通风栅左边与钣金漏风，出现渗水。改装厂制作检具并提供控制措施；STA刘亮华-
2针对钣金与通风栅橡胶的干涉量是1mm，而通风栅+钣金的轮廓度实际要求超过2mm，存在设计不合理现象，下一步设计优化将通风栅安装面橡胶改为厚度再高一点的泡棉，提升密封效果- PVT 陈磊</t>
  </si>
  <si>
    <t>钟式吉、陈磊</t>
  </si>
  <si>
    <t>小天窗漏水</t>
  </si>
  <si>
    <t>大天窗左右间隙不均</t>
  </si>
  <si>
    <t>天窗前座架和导轨脱胶</t>
  </si>
  <si>
    <t>sta反馈排查结果 12月15日</t>
  </si>
  <si>
    <t>张之凌</t>
  </si>
  <si>
    <t>天窗水管堵塞</t>
  </si>
  <si>
    <t>熊区长已经确认，规范员工装水管的接法</t>
  </si>
  <si>
    <t>M/S</t>
  </si>
  <si>
    <t>天窗前后间隙不均</t>
  </si>
  <si>
    <t>a总装调整天窗玻璃时，先打紧右后侧螺栓，再打紧其他螺栓（对角线顺序）。——总装
b供应商提供测量合格后的天窗玻璃进行装车
1、已更换工装，并在FAI和calshe设置检验点 cutoff vin:8521</t>
  </si>
  <si>
    <t xml:space="preserve">1、工装开裂只使用一个工  2、天窗玻璃尺寸偏小
</t>
  </si>
  <si>
    <t xml:space="preserve">
</t>
  </si>
  <si>
    <t xml:space="preserve">
关于玻璃整形工序，计划从面差上下限加严、整形工装优化评审、整形次数、增加抽检巡检频次等方面与供应商一同制定改进措施。
</t>
  </si>
  <si>
    <t>李安、傅科鹏</t>
  </si>
  <si>
    <r>
      <rPr>
        <b/>
        <sz val="12"/>
        <rFont val="宋体"/>
        <family val="3"/>
        <charset val="134"/>
        <scheme val="major"/>
      </rPr>
      <t>小天窗断差3mm(标准0</t>
    </r>
    <r>
      <rPr>
        <b/>
        <sz val="12"/>
        <rFont val="宋体"/>
        <family val="3"/>
        <charset val="134"/>
      </rPr>
      <t>±</t>
    </r>
    <r>
      <rPr>
        <b/>
        <sz val="8.4"/>
        <rFont val="宋体"/>
        <family val="3"/>
        <charset val="134"/>
      </rPr>
      <t>1.5</t>
    </r>
    <r>
      <rPr>
        <b/>
        <sz val="12"/>
        <rFont val="宋体"/>
        <family val="3"/>
        <charset val="134"/>
        <scheme val="major"/>
      </rPr>
      <t>)</t>
    </r>
  </si>
  <si>
    <t>1、Fai和Cal在线围堵超出2mm的车子          2、总装培训员工装配，装配完成后自检</t>
  </si>
  <si>
    <t>天窗调整未到位（右边有面差）</t>
  </si>
  <si>
    <t>区长做过程确认故障现象，并传递至线上。员工调整之后自检</t>
  </si>
  <si>
    <t>天窗外围密封条和钣金不贴合</t>
  </si>
  <si>
    <t>3月19日sta会过来分析</t>
  </si>
  <si>
    <t>傅科鹏、刘冬冬</t>
  </si>
  <si>
    <t>鲨鱼旗漏水</t>
  </si>
  <si>
    <t>总装装配不到位</t>
  </si>
  <si>
    <t>工程师确认，传递至班组</t>
  </si>
  <si>
    <t>尾门漏水</t>
  </si>
  <si>
    <t>尾门标识牌零尺寸超差</t>
  </si>
  <si>
    <t>使用增加橡胶垫的卡扣进行装配（已验证有效）目前lvt正在提alert走流程</t>
  </si>
  <si>
    <t>尾门标识牌零件尺寸超差，且密封卡扣设计无法对零件尺寸波动形成弥补密封（1.零件ABA验证，漏水故障跟随故障件走；2.故障件边缘密封泡棉高度超差，要求1.2mm，实测为0.8-0.9mm；3.故障上进行NEB验证，要求标准0+0.5，故障点实测尺寸超差为0.6-0.8）</t>
  </si>
  <si>
    <r>
      <rPr>
        <b/>
        <sz val="12"/>
        <rFont val="宋体"/>
        <family val="3"/>
        <charset val="134"/>
      </rPr>
      <t>（注：</t>
    </r>
    <r>
      <rPr>
        <b/>
        <sz val="12"/>
        <rFont val="Arial"/>
        <family val="2"/>
      </rPr>
      <t>330</t>
    </r>
    <r>
      <rPr>
        <b/>
        <sz val="12"/>
        <rFont val="宋体"/>
        <family val="3"/>
        <charset val="134"/>
      </rPr>
      <t>专用设计，与</t>
    </r>
    <r>
      <rPr>
        <b/>
        <sz val="12"/>
        <rFont val="Arial"/>
        <family val="2"/>
      </rPr>
      <t>CX743</t>
    </r>
    <r>
      <rPr>
        <b/>
        <sz val="12"/>
        <rFont val="宋体"/>
        <family val="3"/>
        <charset val="134"/>
      </rPr>
      <t>非共性问题）</t>
    </r>
  </si>
  <si>
    <t>赵松、李瑰</t>
  </si>
  <si>
    <t>雨刮护套装配不良</t>
  </si>
  <si>
    <t>区长现场确认，培训员工</t>
  </si>
  <si>
    <t>尾门标识牌漏水</t>
  </si>
  <si>
    <t>总装装配不到位，存在标识牌和尾门钣金之间存在间隙</t>
  </si>
  <si>
    <t>工程师确认，已经安排底涂底涂员工完成自检 3月6日</t>
  </si>
  <si>
    <t>JUL</t>
  </si>
  <si>
    <t>AUG</t>
  </si>
  <si>
    <t>SEP</t>
  </si>
  <si>
    <t>Vehicles</t>
  </si>
  <si>
    <t>C/1000</t>
  </si>
  <si>
    <t>目标</t>
  </si>
  <si>
    <t>S&amp;R #</t>
  </si>
  <si>
    <r>
      <rPr>
        <b/>
        <sz val="8"/>
        <rFont val="Arial"/>
        <family val="2"/>
      </rPr>
      <t xml:space="preserve">IssueStatus
</t>
    </r>
    <r>
      <rPr>
        <b/>
        <sz val="8"/>
        <rFont val="宋体"/>
        <family val="3"/>
        <charset val="134"/>
      </rPr>
      <t>问题状态</t>
    </r>
  </si>
  <si>
    <t>下步措施</t>
  </si>
  <si>
    <t>焊装整改钣金毛刺、焊点、开口和翻边3、针对N35X 尾门框问题，焊装扫尾已下发了返修工艺卡，并且已按要求执行</t>
  </si>
  <si>
    <r>
      <rPr>
        <b/>
        <sz val="11"/>
        <color theme="1"/>
        <rFont val="Arial"/>
        <family val="2"/>
      </rPr>
      <t>1</t>
    </r>
    <r>
      <rPr>
        <b/>
        <sz val="11"/>
        <color indexed="8"/>
        <rFont val="宋体"/>
        <family val="3"/>
        <charset val="134"/>
      </rPr>
      <t>、驭胜尾门漏水问题冲压厂有含左右件</t>
    </r>
    <r>
      <rPr>
        <b/>
        <sz val="11"/>
        <color indexed="8"/>
        <rFont val="Arial"/>
        <family val="2"/>
      </rPr>
      <t>6</t>
    </r>
    <r>
      <rPr>
        <b/>
        <sz val="11"/>
        <color indexed="8"/>
        <rFont val="宋体"/>
        <family val="3"/>
        <charset val="134"/>
      </rPr>
      <t>个产品要修改模具，尽量会在</t>
    </r>
    <r>
      <rPr>
        <b/>
        <sz val="11"/>
        <color indexed="8"/>
        <rFont val="Arial"/>
        <family val="2"/>
      </rPr>
      <t>4</t>
    </r>
    <r>
      <rPr>
        <b/>
        <sz val="11"/>
        <color indexed="8"/>
        <rFont val="宋体"/>
        <family val="3"/>
        <charset val="134"/>
      </rPr>
      <t>月中旬之前完成。</t>
    </r>
    <r>
      <rPr>
        <b/>
        <sz val="11"/>
        <color indexed="8"/>
        <rFont val="Arial"/>
        <family val="2"/>
      </rPr>
      <t xml:space="preserve"> 2</t>
    </r>
    <r>
      <rPr>
        <b/>
        <sz val="11"/>
        <color indexed="8"/>
        <rFont val="宋体"/>
        <family val="3"/>
        <charset val="134"/>
      </rPr>
      <t>、</t>
    </r>
    <r>
      <rPr>
        <b/>
        <sz val="11"/>
        <color indexed="8"/>
        <rFont val="Arial"/>
        <family val="2"/>
      </rPr>
      <t>1</t>
    </r>
    <r>
      <rPr>
        <b/>
        <sz val="11"/>
        <color indexed="8"/>
        <rFont val="宋体"/>
        <family val="3"/>
        <charset val="134"/>
      </rPr>
      <t>月</t>
    </r>
    <r>
      <rPr>
        <b/>
        <sz val="11"/>
        <color indexed="8"/>
        <rFont val="Arial"/>
        <family val="2"/>
      </rPr>
      <t>17</t>
    </r>
    <r>
      <rPr>
        <b/>
        <sz val="11"/>
        <color indexed="8"/>
        <rFont val="宋体"/>
        <family val="3"/>
        <charset val="134"/>
      </rPr>
      <t>日测试两根加胶的密封条，一根加胶</t>
    </r>
    <r>
      <rPr>
        <b/>
        <sz val="11"/>
        <color indexed="8"/>
        <rFont val="Arial"/>
        <family val="2"/>
      </rPr>
      <t>109</t>
    </r>
    <r>
      <rPr>
        <b/>
        <sz val="11"/>
        <color indexed="8"/>
        <rFont val="宋体"/>
        <family val="3"/>
        <charset val="134"/>
      </rPr>
      <t>克，一根加胶</t>
    </r>
    <r>
      <rPr>
        <b/>
        <sz val="11"/>
        <color indexed="8"/>
        <rFont val="Arial"/>
        <family val="2"/>
      </rPr>
      <t>120</t>
    </r>
    <r>
      <rPr>
        <b/>
        <sz val="11"/>
        <color indexed="8"/>
        <rFont val="宋体"/>
        <family val="3"/>
        <charset val="134"/>
      </rPr>
      <t>克，验证有效，</t>
    </r>
    <r>
      <rPr>
        <b/>
        <sz val="11"/>
        <color indexed="8"/>
        <rFont val="Arial"/>
        <family val="2"/>
      </rPr>
      <t>.</t>
    </r>
    <r>
      <rPr>
        <b/>
        <sz val="11"/>
        <color indexed="8"/>
        <rFont val="宋体"/>
        <family val="3"/>
        <charset val="134"/>
      </rPr>
      <t>新件</t>
    </r>
    <r>
      <rPr>
        <b/>
        <sz val="11"/>
        <color indexed="8"/>
        <rFont val="Arial"/>
        <family val="2"/>
      </rPr>
      <t>2</t>
    </r>
    <r>
      <rPr>
        <b/>
        <sz val="11"/>
        <color indexed="8"/>
        <rFont val="宋体"/>
        <family val="3"/>
        <charset val="134"/>
      </rPr>
      <t>月</t>
    </r>
    <r>
      <rPr>
        <b/>
        <sz val="11"/>
        <color indexed="8"/>
        <rFont val="Arial"/>
        <family val="2"/>
      </rPr>
      <t>.17</t>
    </r>
    <r>
      <rPr>
        <b/>
        <sz val="11"/>
        <color indexed="8"/>
        <rFont val="宋体"/>
        <family val="3"/>
        <charset val="134"/>
      </rPr>
      <t>日已经到达，目前准备试装。到时候发出跟踪状态</t>
    </r>
    <r>
      <rPr>
        <b/>
        <sz val="11"/>
        <color indexed="8"/>
        <rFont val="Arial"/>
        <family val="2"/>
      </rPr>
      <t>.</t>
    </r>
    <r>
      <rPr>
        <b/>
        <sz val="11"/>
        <color indexed="8"/>
        <rFont val="宋体"/>
        <family val="3"/>
        <charset val="134"/>
      </rPr>
      <t>目前试装</t>
    </r>
    <r>
      <rPr>
        <b/>
        <sz val="11"/>
        <color indexed="8"/>
        <rFont val="Arial"/>
        <family val="2"/>
      </rPr>
      <t>60</t>
    </r>
    <r>
      <rPr>
        <b/>
        <sz val="11"/>
        <color indexed="8"/>
        <rFont val="宋体"/>
        <family val="3"/>
        <charset val="134"/>
      </rPr>
      <t>台，总共漏水的有</t>
    </r>
    <r>
      <rPr>
        <b/>
        <sz val="11"/>
        <color indexed="8"/>
        <rFont val="Arial"/>
        <family val="2"/>
      </rPr>
      <t>3</t>
    </r>
    <r>
      <rPr>
        <b/>
        <sz val="11"/>
        <color indexed="8"/>
        <rFont val="宋体"/>
        <family val="3"/>
        <charset val="134"/>
      </rPr>
      <t>台</t>
    </r>
  </si>
  <si>
    <t xml:space="preserve"> 曾峰、柯苏珊、王卫滨</t>
  </si>
  <si>
    <t>s</t>
  </si>
  <si>
    <t>尾门标识牌内海绵下陷</t>
  </si>
  <si>
    <t>锁头处漏水，尾门标识牌少海绵</t>
  </si>
  <si>
    <t xml:space="preserve">尾箱中部钣金翻边导致漏水                         </t>
  </si>
  <si>
    <r>
      <rPr>
        <b/>
        <sz val="12"/>
        <rFont val="宋体"/>
        <family val="3"/>
        <charset val="134"/>
        <scheme val="major"/>
      </rPr>
      <t>1、焊装调节机器人，打磨平整</t>
    </r>
    <r>
      <rPr>
        <b/>
        <sz val="12"/>
        <color indexed="30"/>
        <rFont val="宋体"/>
        <family val="3"/>
        <charset val="134"/>
      </rPr>
      <t>2、涂装实施堵胶措施1月18日</t>
    </r>
  </si>
  <si>
    <t>胡江荣、曾峰、周伟明</t>
  </si>
  <si>
    <t>钣金中部钣金焊点错位</t>
  </si>
  <si>
    <t>右尾灯卡扣松动漏水</t>
  </si>
  <si>
    <t xml:space="preserve"> 1.总装质量工程师已现场培训尾灯返工面差相关问题时不能通过调整尾门灯，需调整尾门间隙及侧围灯解决面差；                2.FAI/CAL 加强围堵围堵尾门尾灯间隙超3mm问题；                            
</t>
  </si>
  <si>
    <t>返修尾灯面差造成右尾灯松动</t>
  </si>
  <si>
    <t>尾门雨刮护套装配不良</t>
  </si>
  <si>
    <t>区长确认，已培训员工</t>
  </si>
  <si>
    <t>D</t>
  </si>
  <si>
    <t>钣金中部半圆角处太大</t>
  </si>
  <si>
    <t xml:space="preserve">驭胜尾门漏水问题冲压厂有含左右件6个产品要修改模具，尽量会在4月中旬之前完成。
</t>
  </si>
  <si>
    <t>万宏杰</t>
  </si>
  <si>
    <t>尾门调整未到位，左尾门存在面差，导致密封条没有压实</t>
  </si>
  <si>
    <r>
      <rPr>
        <b/>
        <sz val="12"/>
        <rFont val="宋体"/>
        <family val="3"/>
        <charset val="134"/>
        <scheme val="major"/>
      </rPr>
      <t>尾门调整不到位，扰流板和顶盖的间隙为10mm，标准为7</t>
    </r>
    <r>
      <rPr>
        <b/>
        <sz val="12"/>
        <rFont val="宋体"/>
        <family val="3"/>
        <charset val="134"/>
      </rPr>
      <t>±1.5mm</t>
    </r>
  </si>
  <si>
    <t>1、尾箱左下角钣金上溢胶2、底部三层钣金打胶过少</t>
  </si>
  <si>
    <t>故障现象传递至涂装线上，区组长关注摸胶状态</t>
  </si>
  <si>
    <t>密封条装配不到位导致密封条开口或者破损</t>
  </si>
  <si>
    <t>1、总装装配密封条在尾门框钣金翻边那个点捏紧装配密封条，不能强行敲进2、改换大榔头装配，增大接触面积。3、拉绳后检验密封条是否装配良好</t>
  </si>
  <si>
    <t>扰流板漏水</t>
  </si>
  <si>
    <t>尾门漏光</t>
  </si>
  <si>
    <t>尾门装配之后往后偏：焊装装完尾门后，每台车都检测尾门与顶盖的间隙，超差立即调整（2017/5/6）；</t>
  </si>
  <si>
    <t>1、尾门框右侧Z向下塌，焊装三坐标检测尾门框翻边切面Z向偏低2.5mmd造成seal gap 偏大导致尾门漏光漏水。</t>
  </si>
  <si>
    <t>、焊装6/6日在侧围总成30#工位将侧围上角翘起，6/8日在MB30#工位将后横梁夹紧工装左边往上调1.0mm，右边往上调1.5mm；在MB60#工位将顶盖夹紧工装左边往上调整1.0mm，右边往上2.0mm，调整后测量5台车seal gap 比较稳定，左边最大12.5mm，右边最大13.7mm，符合要求。（2017/6/8）。改善效果：跟踪调整效果OK，两个月没有漏水车辆了。</t>
  </si>
  <si>
    <t>Cal线在围堵、培训员工</t>
  </si>
  <si>
    <r>
      <rPr>
        <b/>
        <sz val="12"/>
        <rFont val="宋体"/>
        <family val="3"/>
        <charset val="134"/>
        <scheme val="major"/>
      </rPr>
      <t xml:space="preserve">尾门密封条右R渗水 </t>
    </r>
    <r>
      <rPr>
        <b/>
        <sz val="12"/>
        <color rgb="FF00B0F0"/>
        <rFont val="宋体"/>
        <family val="3"/>
        <charset val="134"/>
        <scheme val="major"/>
      </rPr>
      <t>密封条装配不良（左）</t>
    </r>
  </si>
  <si>
    <t>尾门密封条装配不良导致钣金排水槽堵塞</t>
  </si>
  <si>
    <t>钣金整形导致左边R角和后保间隙过小</t>
  </si>
  <si>
    <t>焊装规范员工钣金整形方法，尽量将钣金向里整形</t>
  </si>
  <si>
    <t>1.员工装配时未按照QPS要求对尾门线束护套未按压到位；
2.由于N352相比N351增加了AVM全景摄像，线束护套内的线束要更多，装配完成后线束护套开关尾门时候易受到拉力，造成护套和钣金之间存在间隙漏水；</t>
  </si>
  <si>
    <t>熊传菀、李安</t>
  </si>
  <si>
    <t>后档漏水</t>
  </si>
  <si>
    <t>钣金扭曲导致玻璃胶漏水</t>
  </si>
  <si>
    <t>焊装跟踪钣金状态，检验点围堵</t>
  </si>
  <si>
    <t>后档钣金焊点焊穿</t>
  </si>
  <si>
    <t>1、反查此处胶型，胶宽低于要求，昨晚已经重新调了胶型9月29日                         2、由于故障现象多出在右边，并对装配右边的员工进行了培训，目前还在跟踪。并有相应的可视化培训员工</t>
  </si>
  <si>
    <t>三角窗漏水</t>
  </si>
  <si>
    <t>1、现场培训操作工装配手法，区长对此工位进行做PJO                                     2、将装配时的关键动作和注意事项已加入到QPS卡中 11月24日</t>
  </si>
  <si>
    <t>前档钣金上存在焊装的发泡胶</t>
  </si>
  <si>
    <t>总装装配玻璃之前检查钣金状态</t>
  </si>
  <si>
    <t>曾峰、余小磊</t>
  </si>
  <si>
    <t>前档钣金上存在涂装打胶溢胶导致和总装玻璃胶有间隙</t>
  </si>
  <si>
    <t>前档上部钣金边沿向下弯曲了一点，导致玻璃胶和钣金之间有间隙</t>
  </si>
  <si>
    <t>涂装buyoff围堵</t>
  </si>
  <si>
    <t>车门漏水</t>
  </si>
  <si>
    <t>门上密封条双面胶和钣金没有贴合</t>
  </si>
  <si>
    <t>1、区长现场确认，故障现象传递至班组2、员工装配后完成自检</t>
  </si>
  <si>
    <t>颜珊珊</t>
  </si>
  <si>
    <t>车门密封条上的双面胶不贴合</t>
  </si>
  <si>
    <t xml:space="preserve">区长左PJO，并且传递故障现象给员工。培训员工 </t>
  </si>
  <si>
    <t>重新更换门框密封条不漏水</t>
  </si>
  <si>
    <t>目前故障件IQ易晓群正在分新</t>
  </si>
  <si>
    <t>易晓群</t>
  </si>
  <si>
    <t>迎宾灯线束处防水膜漏水</t>
  </si>
  <si>
    <t>线束通过口安装时尽量不撕开大口子，将线束预留约8cm在防水膜外（车门内、外板内）形成向下弯折状，再贴上防水胶带</t>
  </si>
  <si>
    <t>王卫滨、余小磊</t>
  </si>
  <si>
    <t>门子外飘，焊装调整未到位</t>
  </si>
  <si>
    <r>
      <rPr>
        <b/>
        <sz val="12"/>
        <color indexed="8"/>
        <rFont val="宋体"/>
        <family val="3"/>
        <charset val="134"/>
      </rPr>
      <t>放下玻璃，将后门窗框调整与侧围齐平。Cutoff vin 176219991、焊装规范员工操作，员工严格按照标准间隙和断差调整2、CAL线上也进行检验围堵</t>
    </r>
  </si>
  <si>
    <t>调整后门下铰链工装，将下铰链螺母板沿Y-1.5mm.</t>
  </si>
  <si>
    <t>防水膜未贴到位</t>
  </si>
  <si>
    <t>区长已经在做过程确认，规范员工操作</t>
  </si>
  <si>
    <t>门上密封条卡扣未卡到位</t>
  </si>
  <si>
    <t>1、区长确认，培训员工</t>
  </si>
  <si>
    <t>后档钣金处存在胶洞</t>
  </si>
  <si>
    <t>1、可视化培训员 2、涂装检验点围堵</t>
  </si>
  <si>
    <t>黄光亮 金文根</t>
  </si>
  <si>
    <t>工具箱漏水</t>
  </si>
  <si>
    <t>供应商来料卡扣故障，来料新旧件混稀.</t>
  </si>
  <si>
    <t>根据新件数模号已将旧件全部排出3月3日</t>
  </si>
  <si>
    <t>区长组长过来现场，培训员工</t>
  </si>
  <si>
    <t xml:space="preserve">黄光亮 </t>
  </si>
  <si>
    <t>尾灯卡扣装配不良（返修了尾灯和D立柱段差）</t>
  </si>
  <si>
    <t>检查返修记录、落实到责任人进行培训</t>
  </si>
  <si>
    <t>线束破损</t>
  </si>
  <si>
    <t>供应商排查30件未发现故障件3月2日</t>
  </si>
  <si>
    <t>尾灯侧围卡扣松动</t>
  </si>
  <si>
    <t>现场培训员工，卡紧卡子后，用手带一下检查是否按压到位再进行下面作业，跟踪做点检标识1个月，并与区长做该员工PJO确认。Cutoff Vin：JTP20943</t>
  </si>
  <si>
    <t>A立柱漏水</t>
  </si>
  <si>
    <t>A立柱钣金焊点焊穿</t>
  </si>
  <si>
    <t>玻璃胶和线束标牌干涉</t>
  </si>
  <si>
    <t>1、培训装前档玻璃员工装配前检查钣金是否有异物                         2、装配A立柱内饰板员工装配完成记性自检</t>
  </si>
  <si>
    <r>
      <rPr>
        <b/>
        <sz val="12"/>
        <color rgb="FFFF0000"/>
        <rFont val="宋体"/>
        <family val="3"/>
        <charset val="134"/>
        <scheme val="minor"/>
      </rPr>
      <t xml:space="preserve">1、打胶不良 </t>
    </r>
    <r>
      <rPr>
        <b/>
        <sz val="12"/>
        <rFont val="宋体"/>
        <family val="3"/>
        <charset val="134"/>
        <scheme val="minor"/>
      </rPr>
      <t xml:space="preserve">         </t>
    </r>
    <r>
      <rPr>
        <b/>
        <sz val="12"/>
        <color theme="1"/>
        <rFont val="宋体"/>
        <family val="3"/>
        <charset val="134"/>
        <scheme val="minor"/>
      </rPr>
      <t>2、前档胶和钣金没有贴合</t>
    </r>
  </si>
  <si>
    <t>更换胶嘴</t>
  </si>
  <si>
    <t>机器人角嘴挂胶，导致胶型不平整</t>
  </si>
  <si>
    <t>雨刮护板上少内板，导致副驾驶漏水</t>
  </si>
  <si>
    <t>1、CAL在线围2、总装装配时检查物料3、IQ排查20箱240件件未发现故障件，但又一箱左右错装的，已退货，目前还在跟踪。</t>
  </si>
  <si>
    <t>副驾驶室漏水</t>
  </si>
  <si>
    <t>焊装对已下线白车身进行排查，钣金变形原因正在调查，培训打胶员工，焊装扫尾对该位置重点关注（2017/8/17）</t>
  </si>
  <si>
    <t>雨刮护板下空调进风口格栅边缘钣金变形、打胶不良，钣金变形原因在调查</t>
  </si>
  <si>
    <t>调查钣金变形原因</t>
  </si>
  <si>
    <t>焊装曾峰</t>
  </si>
  <si>
    <t>发动机仓内线束漏水</t>
  </si>
  <si>
    <t>关于域虎PIA车型驾驶室内主驾驶和副驾驶进水情况，按正常整车行驶状态不会出现类似沿前舱线束和发动机线束进水问题，就目前域虎PIA车型加严淋雨前和售后均未出现进水情况，因此小组建议整车让步接受，同时更改在产零</t>
  </si>
  <si>
    <t>熊传菀、熊耀刚</t>
  </si>
  <si>
    <t>驾驶漏水</t>
  </si>
  <si>
    <t>焊装胶条脱开</t>
  </si>
  <si>
    <t>天窗漏水</t>
  </si>
  <si>
    <t>天窗存在断差，螺栓发白，可能有人松了天窗</t>
  </si>
  <si>
    <r>
      <rPr>
        <b/>
        <sz val="12"/>
        <rFont val="Arial"/>
        <family val="2"/>
      </rPr>
      <t>CAL</t>
    </r>
    <r>
      <rPr>
        <b/>
        <sz val="12"/>
        <rFont val="宋体"/>
        <family val="3"/>
        <charset val="134"/>
      </rPr>
      <t>在线围堵</t>
    </r>
  </si>
  <si>
    <t>喻无穷</t>
  </si>
  <si>
    <r>
      <rPr>
        <b/>
        <sz val="14"/>
        <rFont val="Arial"/>
        <family val="2"/>
      </rPr>
      <t xml:space="preserve">IssueStatus
</t>
    </r>
    <r>
      <rPr>
        <b/>
        <sz val="14"/>
        <rFont val="宋体"/>
        <family val="3"/>
        <charset val="134"/>
      </rPr>
      <t>问题状态</t>
    </r>
  </si>
  <si>
    <t>玻璃胶异物1、胶型扭曲，胶上有孔 2、前档玻璃漏水(确认为手工打胶）3、玻璃胶上有胶带</t>
  </si>
  <si>
    <t>1、区组长培训员工手工打胶手  2、总装装玻璃之前检查胶型和异物</t>
  </si>
  <si>
    <t>师傅和小组长一起培训该新员工。并要求师傅100%跟踪确认打胶状态。目前小组长一直跟踪每台新员工装配状态，进行指导和培训 --2018.7.20</t>
  </si>
  <si>
    <t>新员工实习生装配前档玻璃时员工未对准定位销，重新移动了玻璃造成胶倒漏水</t>
  </si>
  <si>
    <t>钣金凹陷造成胶型漏水</t>
  </si>
  <si>
    <t>驾驶室漏水</t>
  </si>
  <si>
    <t>左侧前风窗流水槽焊点焊穿</t>
  </si>
  <si>
    <t>前蒸发器连接空调管处存在异物（橡皮条）</t>
  </si>
  <si>
    <t>颜姗姗</t>
  </si>
  <si>
    <t>副驾驶漏水地毯</t>
  </si>
  <si>
    <t>空调排水口堵塞</t>
  </si>
  <si>
    <t>空调排水管未接到地板外面</t>
  </si>
  <si>
    <t>1.总装已安排人班组长确认，并对当天下线车辆进行全数排查，排查结果无发现类似故障；
2.总装工程师已制作SPL培训员工，并落实至责任员工进行考核；</t>
  </si>
  <si>
    <t>区长过来确认，并培训员工。目前排查25台，未发现故障车</t>
  </si>
  <si>
    <t xml:space="preserve">                                        1.总装已安排人班组长确认，并对当天下线车辆进行全数排查，排查结果无发现类似故障；
2.总装工程师已制作SPL培训员工，并落实至责任员工进行考核；
     </t>
  </si>
  <si>
    <t>前档右下角存在余胶造成玻璃胶和钣金存在间隙</t>
  </si>
  <si>
    <t>1.打胶线检验进行围堵
2.线上排查27台，发现一台异常已返修--2018.8.23</t>
  </si>
  <si>
    <t>前档下角打胶不良</t>
  </si>
  <si>
    <t>总装装配时检查胶型</t>
  </si>
  <si>
    <t>前档右下角胶型倒胶</t>
  </si>
  <si>
    <t>空调鼓风机出风管破损</t>
  </si>
  <si>
    <t>线边排查36件，未发现故障件</t>
  </si>
  <si>
    <t>孔彧琳</t>
  </si>
  <si>
    <t>标识牌装配不到位</t>
  </si>
  <si>
    <t>尾门标牌上的粘性海绵褶皱</t>
  </si>
  <si>
    <t>扰流板线束护套装配不良</t>
  </si>
  <si>
    <t>区组长确认培训员工</t>
  </si>
  <si>
    <t>扰流板少卡扣</t>
  </si>
  <si>
    <t>扰流板螺丝未打</t>
  </si>
  <si>
    <t>工程师确认落实到个人稽核并培训员工</t>
  </si>
  <si>
    <t>后顶棚漏水</t>
  </si>
  <si>
    <t>天线装配不到位</t>
  </si>
  <si>
    <t>区组长已确认，总装规范员工操作手法。装配完成增加一个动作，需要用手掰下天线是否松动</t>
  </si>
  <si>
    <t>铰链螺丝未打紧</t>
  </si>
  <si>
    <t>横梁密封条卡扣未完全卡进去</t>
  </si>
  <si>
    <t>培训内一检验点对该处百分之百检查 3月7日</t>
  </si>
  <si>
    <t>培训操作工装配时每个塑钉必须按进去，并培训员工装配完成后进行自检</t>
  </si>
  <si>
    <t>马万青</t>
  </si>
  <si>
    <t>尾门标牌卡扣海绵装配不良</t>
  </si>
  <si>
    <t>尾门密封条装配不良(右R角)</t>
  </si>
  <si>
    <t>1、排查当天所有U375 12台，发现一台已进行未贴合，已返                                                 2、加入内二检验点进行围堵 cutoff vin：11862</t>
  </si>
  <si>
    <t>密封条右上方R角处和底部未完全卡进去</t>
  </si>
  <si>
    <t>制作QCM培训该工位装配工，装配完后用手去检查两侧R角贴合情况</t>
  </si>
  <si>
    <t>右尾门尾灯卡扣松动</t>
  </si>
  <si>
    <t>区长现场培训白晚班员工，尾灯面差只能通过调整尾门来返工，不允许调整尾灯安装卡扣，并将该问题纳入考核 1月24日</t>
  </si>
  <si>
    <t>返工尾灯面差对尾灯卡扣进行直接调整</t>
  </si>
  <si>
    <t>备料区共排查375扰流板72件，352扰流板168件，未发现漏装卡扣的，且均在件上左绿勾标记</t>
  </si>
  <si>
    <t>易维、余小磊</t>
  </si>
  <si>
    <t>后排阅读灯漏水</t>
  </si>
  <si>
    <r>
      <rPr>
        <sz val="14"/>
        <color rgb="FF00B0F0"/>
        <rFont val="宋体"/>
        <family val="3"/>
        <charset val="134"/>
        <scheme val="major"/>
      </rPr>
      <t xml:space="preserve">1、天线装配不良    </t>
    </r>
    <r>
      <rPr>
        <sz val="14"/>
        <color theme="1"/>
        <rFont val="宋体"/>
        <family val="3"/>
        <charset val="134"/>
        <scheme val="major"/>
      </rPr>
      <t>2、钣金变形导致鲨鱼旗和钣金不贴合</t>
    </r>
  </si>
  <si>
    <t>1、1、培训员工规范装配 ，并在螺栓上做点检标识                    2、装配后完成后手动摇下天线看看自否会松动</t>
  </si>
  <si>
    <t>1、装配时拍变形。排查仓库440件库存没有问题</t>
  </si>
  <si>
    <t>李安、胡晓飞</t>
  </si>
  <si>
    <t>尾箱通风栅漏水</t>
  </si>
  <si>
    <t>后雨刮水管接头有间隙松动</t>
  </si>
  <si>
    <t xml:space="preserve">大天窗左边边间隙1.5mm，标准为0 </t>
  </si>
  <si>
    <t>FAI和CAL在线围堵天窗存在间隙的车子</t>
  </si>
  <si>
    <r>
      <rPr>
        <sz val="18"/>
        <rFont val="宋体"/>
        <family val="3"/>
        <charset val="134"/>
        <scheme val="major"/>
      </rPr>
      <t>1、天窗上检具无间隙          2、单件上检具目前IQ确认存在偏小，是有利方向。           3、</t>
    </r>
    <r>
      <rPr>
        <sz val="18"/>
        <color rgb="FFFF0000"/>
        <rFont val="宋体"/>
        <family val="3"/>
        <charset val="134"/>
        <scheme val="major"/>
      </rPr>
      <t xml:space="preserve">主副定位孔内边尺寸测量为892mm，已超差。（标准为890mm）
</t>
    </r>
  </si>
  <si>
    <t>尾门装的偏上</t>
  </si>
  <si>
    <t>1、拉绳完成后重新用橡胶榔头对密封条一周进行再次轻敲                                 2、线服对物料进行挑选，并单独做好标识</t>
  </si>
  <si>
    <t>1、钣金错位5.5mm          2、装配后在拉绳工位将密封条拨出来了，未完全卡紧钣金3、对接点标识位置偏差</t>
  </si>
  <si>
    <t xml:space="preserve">1、FAI/CAL在线围堵                                                         ERA:在总装上线工位安排专业手工敲顶盖后横梁中部Z向，并使用刚尺检测间隙，保证内密封条面间隙在18mm，已下发临时工艺卡，cutoff vin:08792              ICA:将顶盖后横梁Z向支撑往上调整1.0mm 中部Sealgap由原来的20改善至18-19mm
</t>
  </si>
  <si>
    <t>赵霞、王君</t>
  </si>
  <si>
    <r>
      <rPr>
        <sz val="10"/>
        <rFont val="Arial"/>
        <family val="2"/>
      </rPr>
      <t>J</t>
    </r>
    <r>
      <rPr>
        <sz val="10"/>
        <rFont val="Arial"/>
        <family val="2"/>
      </rPr>
      <t>MC</t>
    </r>
    <phoneticPr fontId="7" type="noConversion"/>
  </si>
  <si>
    <t>陈玉如</t>
    <phoneticPr fontId="7" type="noConversion"/>
  </si>
  <si>
    <t>目前正在排查库存</t>
    <phoneticPr fontId="7" type="noConversion"/>
  </si>
  <si>
    <t>S</t>
    <phoneticPr fontId="7" type="noConversion"/>
  </si>
  <si>
    <t>密封条泡管松脱</t>
    <phoneticPr fontId="7" type="noConversion"/>
  </si>
  <si>
    <t>尾门密封条内泡管位置不符合图纸要求，一台偏移70mm，一台偏移100mm</t>
    <phoneticPr fontId="7" type="noConversion"/>
  </si>
  <si>
    <t>张之凌、陈玉如</t>
    <phoneticPr fontId="7" type="noConversion"/>
  </si>
  <si>
    <t>尾门密封条渗水</t>
    <phoneticPr fontId="7" type="noConversion"/>
  </si>
  <si>
    <t>s</t>
    <phoneticPr fontId="7" type="noConversion"/>
  </si>
  <si>
    <t>尾门密封条内陷，旁边还有压痕</t>
    <phoneticPr fontId="7" type="noConversion"/>
  </si>
  <si>
    <t>M</t>
    <phoneticPr fontId="7" type="noConversion"/>
  </si>
  <si>
    <t>尾门sealgap超差，7号点为19.4mm，标准为15.85±3mm</t>
    <phoneticPr fontId="7" type="noConversion"/>
  </si>
  <si>
    <t>M/S</t>
    <phoneticPr fontId="7" type="noConversion"/>
  </si>
  <si>
    <t>排查60根无问题</t>
    <phoneticPr fontId="7" type="noConversion"/>
  </si>
  <si>
    <t>李安</t>
    <phoneticPr fontId="7" type="noConversion"/>
  </si>
  <si>
    <r>
      <t xml:space="preserve">    1、</t>
    </r>
    <r>
      <rPr>
        <sz val="18"/>
        <color rgb="FF00B0F0"/>
        <rFont val="宋体"/>
        <family val="3"/>
        <charset val="134"/>
        <scheme val="major"/>
      </rPr>
      <t>尾门框钣金sealgap超差为18.11mm，标准为15.85±3mm，密封条横截面走中值偏下一点点。相互配合，干涉量不足漏水</t>
    </r>
    <r>
      <rPr>
        <b/>
        <sz val="18"/>
        <rFont val="宋体"/>
        <family val="3"/>
        <charset val="134"/>
        <scheme val="major"/>
      </rPr>
      <t xml:space="preserve">  </t>
    </r>
    <r>
      <rPr>
        <sz val="18"/>
        <rFont val="宋体"/>
        <family val="3"/>
        <charset val="134"/>
        <scheme val="major"/>
      </rPr>
      <t xml:space="preserve">                    2、顶盖后延伸加强板中部往后张开，中部偏差3mm，标准为0±0.5mm，该偏差会造成顶盖后横梁中部干涉往后偏
</t>
    </r>
    <r>
      <rPr>
        <sz val="18"/>
        <color rgb="FF00B0F0"/>
        <rFont val="宋体"/>
        <family val="3"/>
        <charset val="134"/>
        <scheme val="major"/>
      </rPr>
      <t>3、总装为了调整尾门面差将锁扣往外调整</t>
    </r>
    <phoneticPr fontId="7" type="noConversion"/>
  </si>
  <si>
    <t xml:space="preserve"> </t>
    <phoneticPr fontId="7" type="noConversion"/>
  </si>
  <si>
    <r>
      <t xml:space="preserve">1、尾门旋塞左右相差3个牙                  </t>
    </r>
    <r>
      <rPr>
        <sz val="14"/>
        <color theme="1"/>
        <rFont val="宋体"/>
        <family val="3"/>
        <charset val="134"/>
        <scheme val="major"/>
      </rPr>
      <t xml:space="preserve">2、尾门Seal gap 超差                         3、 故障车密封条用成N330的尾箱密封条      4、 尾门调整不到尾门左侧下角外飘 
5、尾门和D立柱存在0.5mm左右的面差。标准-1.7+-2.3mm 
</t>
    </r>
    <r>
      <rPr>
        <sz val="14"/>
        <color rgb="FF00B0F0"/>
        <rFont val="宋体"/>
        <family val="3"/>
        <charset val="134"/>
        <scheme val="major"/>
      </rPr>
      <t>6、尾门向左侧围外斜，测量右侧下角sealgap为19.2，已超差</t>
    </r>
    <phoneticPr fontId="7" type="noConversion"/>
  </si>
  <si>
    <t>工程师现场确认，现场已培训员工并在FAI/CAL检验点围堵</t>
    <phoneticPr fontId="7" type="noConversion"/>
  </si>
  <si>
    <t>OCT</t>
    <phoneticPr fontId="7" type="noConversion"/>
  </si>
  <si>
    <t>OCT</t>
    <phoneticPr fontId="7" type="noConversion"/>
  </si>
  <si>
    <t>李安、刘战威、陈玉如</t>
    <phoneticPr fontId="7" type="noConversion"/>
  </si>
  <si>
    <r>
      <t xml:space="preserve">1.尾门密封条装配完成后松动（工具箱漏水）
2.尾门密封条插入需PVT刘战威重新定义
</t>
    </r>
    <r>
      <rPr>
        <sz val="14"/>
        <color rgb="FF0070C0"/>
        <rFont val="宋体"/>
        <family val="3"/>
        <charset val="134"/>
      </rPr>
      <t>3.密封条变形</t>
    </r>
    <r>
      <rPr>
        <sz val="14"/>
        <rFont val="宋体"/>
        <family val="3"/>
        <charset val="134"/>
      </rPr>
      <t xml:space="preserve">
</t>
    </r>
    <phoneticPr fontId="7" type="noConversion"/>
  </si>
  <si>
    <r>
      <rPr>
        <b/>
        <sz val="12"/>
        <color indexed="8"/>
        <rFont val="宋体"/>
        <family val="3"/>
        <charset val="134"/>
      </rPr>
      <t>2、工艺工程师发布单点教程，要求自上而下指按胶条，遮住钣金缝隙；Cutoff VIN：17617750；责任人：章圣洋</t>
    </r>
    <r>
      <rPr>
        <b/>
        <sz val="12"/>
        <color indexed="30"/>
        <rFont val="宋体"/>
        <family val="3"/>
        <charset val="134"/>
      </rPr>
      <t>1、王经理与检验区长一起在焊装现场确认，已识别问题点，并对操作工进行培训，2月28日会在工位设置可视化单点教程，焊装会100%检查确认，安全流水号：17616923，已安排今天晚班对总装、涂装车身进行排查</t>
    </r>
    <phoneticPr fontId="7" type="noConversion"/>
  </si>
  <si>
    <t>1.定位孔位置胶型未拍到                 2.装配时在垫块处蹭胶
3.新员工装配</t>
    <phoneticPr fontId="7" type="noConversion"/>
  </si>
  <si>
    <t>尾门锁头漏水</t>
    <phoneticPr fontId="7" type="noConversion"/>
  </si>
  <si>
    <t>后雨刮护套装反</t>
    <phoneticPr fontId="7" type="noConversion"/>
  </si>
  <si>
    <t xml:space="preserve">1、检验点围堵，故障现象传递至工              2、改变装配手法，先装内侧的护套再装里侧的                                 3、CAL和FAI在线围堵                                          </t>
    <phoneticPr fontId="7" type="noConversion"/>
  </si>
  <si>
    <t xml:space="preserve">CAL和FAI在线围堵 </t>
    <phoneticPr fontId="7" type="noConversion"/>
  </si>
  <si>
    <t>李安</t>
    <phoneticPr fontId="7" type="noConversion"/>
  </si>
  <si>
    <t xml:space="preserve"> </t>
    <phoneticPr fontId="7" type="noConversion"/>
  </si>
  <si>
    <t>李安</t>
    <phoneticPr fontId="7" type="noConversion"/>
  </si>
  <si>
    <t>胶内存在硬块</t>
    <phoneticPr fontId="7" type="noConversion"/>
  </si>
  <si>
    <t>胶内存在硬块</t>
    <phoneticPr fontId="7" type="noConversion"/>
  </si>
  <si>
    <t xml:space="preserve">    IQ检查物料卡扣标准为10±0.3，故障车测量9.78，线边物料测量10.08mm 符合要求。</t>
    <phoneticPr fontId="7" type="noConversion"/>
  </si>
  <si>
    <t>NOV</t>
    <phoneticPr fontId="7" type="noConversion"/>
  </si>
  <si>
    <t>尾门标牌亮饰条装配不良</t>
    <phoneticPr fontId="7" type="noConversion"/>
  </si>
  <si>
    <t>李安</t>
    <phoneticPr fontId="7" type="noConversion"/>
  </si>
  <si>
    <r>
      <t>右</t>
    </r>
    <r>
      <rPr>
        <b/>
        <sz val="12"/>
        <rFont val="宋体"/>
        <family val="3"/>
        <charset val="134"/>
        <scheme val="major"/>
      </rPr>
      <t>尾灯和后保压住密封条导致漏水</t>
    </r>
    <phoneticPr fontId="7" type="noConversion"/>
  </si>
  <si>
    <t>李安</t>
    <phoneticPr fontId="7" type="noConversion"/>
  </si>
  <si>
    <t>1、钣金焊点毛刺                                 2、三层钣金开口
3、钣金焊点炸枪</t>
    <phoneticPr fontId="7" type="noConversion"/>
  </si>
  <si>
    <t>装天窗工装将钣金撞变型</t>
    <phoneticPr fontId="7" type="noConversion"/>
  </si>
  <si>
    <t>M</t>
    <phoneticPr fontId="7" type="noConversion"/>
  </si>
  <si>
    <t>左侧扰流板钣金安装孔变形</t>
    <phoneticPr fontId="7" type="noConversion"/>
  </si>
  <si>
    <t>1.总装装配之前检查钣金孔状态
2.焊装反馈排查白车身钣金是否有变形</t>
    <phoneticPr fontId="7" type="noConversion"/>
  </si>
  <si>
    <t>喻无穷、李安</t>
    <phoneticPr fontId="7" type="noConversion"/>
  </si>
  <si>
    <t>防水膜破损</t>
    <phoneticPr fontId="7" type="noConversion"/>
  </si>
  <si>
    <r>
      <t>pvt</t>
    </r>
    <r>
      <rPr>
        <b/>
        <sz val="11"/>
        <rFont val="宋体"/>
        <family val="3"/>
        <charset val="134"/>
      </rPr>
      <t>正在线束护套加厚加深内唇边进行修模处理，试装</t>
    </r>
    <r>
      <rPr>
        <b/>
        <sz val="11"/>
        <rFont val="Arial"/>
        <family val="2"/>
      </rPr>
      <t>15</t>
    </r>
    <r>
      <rPr>
        <b/>
        <sz val="11"/>
        <rFont val="宋体"/>
        <family val="3"/>
        <charset val="134"/>
      </rPr>
      <t>个没有问题，目前库存</t>
    </r>
    <r>
      <rPr>
        <b/>
        <sz val="11"/>
        <rFont val="Arial"/>
        <family val="2"/>
      </rPr>
      <t>900</t>
    </r>
    <r>
      <rPr>
        <b/>
        <sz val="11"/>
        <rFont val="宋体"/>
        <family val="3"/>
        <charset val="134"/>
      </rPr>
      <t>件，预计</t>
    </r>
    <r>
      <rPr>
        <b/>
        <sz val="11"/>
        <rFont val="Arial"/>
        <family val="2"/>
      </rPr>
      <t>19</t>
    </r>
    <r>
      <rPr>
        <b/>
        <sz val="11"/>
        <rFont val="宋体"/>
        <family val="3"/>
        <charset val="134"/>
      </rPr>
      <t>年</t>
    </r>
    <r>
      <rPr>
        <b/>
        <sz val="11"/>
        <rFont val="Arial"/>
        <family val="2"/>
      </rPr>
      <t>2</t>
    </r>
    <r>
      <rPr>
        <b/>
        <sz val="11"/>
        <rFont val="宋体"/>
        <family val="3"/>
        <charset val="134"/>
      </rPr>
      <t>月份切换</t>
    </r>
    <phoneticPr fontId="7" type="noConversion"/>
  </si>
  <si>
    <t>左前门漏水</t>
    <phoneticPr fontId="7" type="noConversion"/>
  </si>
  <si>
    <t>左前门门框密封条卡扣未卡到底</t>
    <phoneticPr fontId="7" type="noConversion"/>
  </si>
  <si>
    <t>落实到责任人进行培训员工</t>
    <phoneticPr fontId="7" type="noConversion"/>
  </si>
  <si>
    <t>李安</t>
    <phoneticPr fontId="7" type="noConversion"/>
  </si>
  <si>
    <t>左行李架挂钩拍裂</t>
    <phoneticPr fontId="7" type="noConversion"/>
  </si>
  <si>
    <t>1.培训总装装配员工装配时发现难装及时在线出发，不能强行敲拍行李架装配-2018.11.21
2.打胶检验及抛光检验进行围堵、区组长对每台743车辆进行确认签发。
3.排查了8台车未发现问题，CUTOFF VIN：3634</t>
    <phoneticPr fontId="7" type="noConversion"/>
  </si>
  <si>
    <t>行李架后端胶洞</t>
    <phoneticPr fontId="7" type="noConversion"/>
  </si>
  <si>
    <t>1.总装拍裂2.涂装挂钩余胶</t>
    <phoneticPr fontId="7" type="noConversion"/>
  </si>
  <si>
    <t>何驰强</t>
    <phoneticPr fontId="7" type="noConversion"/>
  </si>
  <si>
    <t>黄光亮</t>
    <phoneticPr fontId="7" type="noConversion"/>
  </si>
  <si>
    <t xml:space="preserve"> </t>
    <phoneticPr fontId="7" type="noConversion"/>
  </si>
  <si>
    <t xml:space="preserve"> </t>
    <phoneticPr fontId="7" type="noConversion"/>
  </si>
  <si>
    <t>尾箱漏贴贴片</t>
    <phoneticPr fontId="7" type="noConversion"/>
  </si>
  <si>
    <t>雨刮护板下的空调排水口堵住</t>
    <phoneticPr fontId="7" type="noConversion"/>
  </si>
  <si>
    <t>左A立柱漏水</t>
    <phoneticPr fontId="7" type="noConversion"/>
  </si>
  <si>
    <t>前档左下角漏水</t>
    <phoneticPr fontId="7" type="noConversion"/>
  </si>
  <si>
    <t>雨刮护板下面VIN号贴纸</t>
    <phoneticPr fontId="7" type="noConversion"/>
  </si>
  <si>
    <t>李安</t>
    <phoneticPr fontId="7" type="noConversion"/>
  </si>
  <si>
    <t>1.培训员工规范对贴纸规放
2.装配雨刮护板之前检查排水口是否存在异物</t>
    <phoneticPr fontId="7" type="noConversion"/>
  </si>
  <si>
    <t>DEC</t>
    <phoneticPr fontId="7" type="noConversion"/>
  </si>
  <si>
    <t>DEC</t>
    <phoneticPr fontId="7" type="noConversion"/>
  </si>
  <si>
    <t>D立柱通风栅装配不良</t>
    <phoneticPr fontId="7" type="noConversion"/>
  </si>
  <si>
    <t>左后通风栅漏水</t>
    <phoneticPr fontId="7" type="noConversion"/>
  </si>
  <si>
    <t>铰链下贴纸有孔</t>
    <phoneticPr fontId="7" type="noConversion"/>
  </si>
  <si>
    <t>周武斌</t>
    <phoneticPr fontId="7" type="noConversion"/>
  </si>
  <si>
    <t>S</t>
    <phoneticPr fontId="7" type="noConversion"/>
  </si>
  <si>
    <t>M</t>
    <phoneticPr fontId="7" type="noConversion"/>
  </si>
  <si>
    <t>线束护套装配不良</t>
    <phoneticPr fontId="7" type="noConversion"/>
  </si>
  <si>
    <t>线束护套表面有轻微变形</t>
    <phoneticPr fontId="7" type="noConversion"/>
  </si>
  <si>
    <t>孔彧琳、李安</t>
    <phoneticPr fontId="7" type="noConversion"/>
  </si>
  <si>
    <r>
      <t xml:space="preserve">1.三角窗溢胶       2.钣金上存在异物                  </t>
    </r>
    <r>
      <rPr>
        <b/>
        <sz val="12"/>
        <color theme="1"/>
        <rFont val="宋体"/>
        <family val="3"/>
        <charset val="134"/>
        <scheme val="major"/>
      </rPr>
      <t>3.蹭胶</t>
    </r>
    <r>
      <rPr>
        <b/>
        <sz val="12"/>
        <color rgb="FFFF0000"/>
        <rFont val="宋体"/>
        <family val="3"/>
        <charset val="134"/>
        <scheme val="major"/>
      </rPr>
      <t xml:space="preserve"> 
</t>
    </r>
    <r>
      <rPr>
        <b/>
        <sz val="12"/>
        <color theme="1"/>
        <rFont val="宋体"/>
        <family val="3"/>
        <charset val="134"/>
        <scheme val="major"/>
      </rPr>
      <t xml:space="preserve">4.胶型搭接处修胶不良
</t>
    </r>
    <r>
      <rPr>
        <b/>
        <sz val="12"/>
        <color rgb="FF0070C0"/>
        <rFont val="宋体"/>
        <family val="3"/>
        <charset val="134"/>
        <scheme val="major"/>
      </rPr>
      <t>5.溢胶后修胶过多造成缺口</t>
    </r>
    <phoneticPr fontId="7" type="noConversion"/>
  </si>
  <si>
    <t>易维</t>
    <phoneticPr fontId="7" type="noConversion"/>
  </si>
  <si>
    <t>ERA：培训总装装配之前检查卡扣是否存再进行装配
ICA：.排查零件48件未发现异常，并在库存件卡扣做贯穿线标识2018.12.14</t>
    <phoneticPr fontId="7" type="noConversion"/>
  </si>
  <si>
    <t>原因分析：漏水点为扰流板缺失一个防水卡扣密封不良漏水
逃逸点：员工装配完成后卡扣在内表面无法识别造成遗漏
风险评估：扰流板漏水会漏至尾箱盖板上，检验员百分百识别围堵</t>
    <phoneticPr fontId="7" type="noConversion"/>
  </si>
  <si>
    <t>针对扰流板漏卡扣问题，IQ已加入GP12检验-2018.12.14</t>
    <phoneticPr fontId="7" type="noConversion"/>
  </si>
  <si>
    <t>更新QPS卡，将三角窗修胶后标准图片加入WES表格，培训员工-2018.12.13</t>
    <phoneticPr fontId="7" type="noConversion"/>
  </si>
  <si>
    <t>前档玻璃和中央后视镜线束干涉</t>
    <phoneticPr fontId="7" type="noConversion"/>
  </si>
  <si>
    <t>尾门框钣金上余胶，造成密封条装配不良</t>
    <phoneticPr fontId="7" type="noConversion"/>
  </si>
  <si>
    <t>尾门玻璃漏水</t>
    <phoneticPr fontId="7" type="noConversion"/>
  </si>
  <si>
    <t>尾门玻璃中间未拍实漏水</t>
    <phoneticPr fontId="7" type="noConversion"/>
  </si>
  <si>
    <t>1.防水膜没有贴到位
2.防水膜上胶有压痕</t>
    <phoneticPr fontId="7" type="noConversion"/>
  </si>
  <si>
    <t>ERA：针对漏水位置培训操作员进行重点滚压两遍以上
ICA：供应商在防水膜存在压痕的地方进行补一点丁基胶再进行装配CUTOFF VIN：40400</t>
    <phoneticPr fontId="7" type="noConversion"/>
  </si>
  <si>
    <t>根本原因及变异点：防水膜上的丁基胶存在压痕造成装配后丁基胶的高度不够形成缝隙漏水；具体压痕产生原因如下：
1.机器人打完胶之后，覆盖完离型纸，胶还未完全冷却就进行装箱，拿取过程中离型纸轻微折叠变形造成胶型受压凹陷产生压痕；
2.冬季室内外温度低，丁基胶低于10度以下，胶凹陷则定型不易回弹；</t>
    <phoneticPr fontId="7" type="noConversion"/>
  </si>
  <si>
    <t>新员工装配未拍实</t>
    <phoneticPr fontId="7" type="noConversion"/>
  </si>
  <si>
    <t>李安</t>
    <phoneticPr fontId="7" type="noConversion"/>
  </si>
  <si>
    <t>员工装配防水膜穿过拉丝撕破</t>
    <phoneticPr fontId="7" type="noConversion"/>
  </si>
  <si>
    <t>李安</t>
    <phoneticPr fontId="7" type="noConversion"/>
  </si>
  <si>
    <t>李安、赵松</t>
    <phoneticPr fontId="7" type="noConversion"/>
  </si>
  <si>
    <t>天窗水管脱开</t>
    <phoneticPr fontId="7" type="noConversion"/>
  </si>
  <si>
    <t>M</t>
    <phoneticPr fontId="7" type="noConversion"/>
  </si>
  <si>
    <t>尾门玻璃雨刮护套内陷</t>
    <phoneticPr fontId="7" type="noConversion"/>
  </si>
  <si>
    <t>1.IQ和STA排查1020件，无异常
2.总装排查管道中车子43台无异常
3。培训FAI和CAL检验员识别围堵</t>
    <phoneticPr fontId="7" type="noConversion"/>
  </si>
  <si>
    <t>风险点：员工装配时直接按压护套中间造成包裹螺杆护套内陷。</t>
    <phoneticPr fontId="7" type="noConversion"/>
  </si>
  <si>
    <t>已安排在A立柱装配工位对天窗水管接头进行检查，检查可视化图片已落实到工位，并已将该操作固化到QPS卡中。CUTOFF VIN:39029</t>
    <phoneticPr fontId="7" type="noConversion"/>
  </si>
  <si>
    <r>
      <rPr>
        <b/>
        <sz val="12"/>
        <rFont val="宋体"/>
        <family val="3"/>
        <charset val="134"/>
      </rPr>
      <t>在与</t>
    </r>
    <r>
      <rPr>
        <b/>
        <sz val="12"/>
        <rFont val="Arial"/>
        <family val="2"/>
      </rPr>
      <t>VOME</t>
    </r>
    <r>
      <rPr>
        <b/>
        <sz val="12"/>
        <rFont val="宋体"/>
        <family val="3"/>
        <charset val="134"/>
      </rPr>
      <t>及</t>
    </r>
    <r>
      <rPr>
        <b/>
        <sz val="12"/>
        <rFont val="Arial"/>
        <family val="2"/>
      </rPr>
      <t>PVT</t>
    </r>
    <r>
      <rPr>
        <b/>
        <sz val="12"/>
        <rFont val="宋体"/>
        <family val="3"/>
        <charset val="134"/>
      </rPr>
      <t>工程师一起确认防错优化方案。</t>
    </r>
    <phoneticPr fontId="7" type="noConversion"/>
  </si>
  <si>
    <t>驾驶室踏板漏水</t>
    <phoneticPr fontId="7" type="noConversion"/>
  </si>
  <si>
    <t>焊装钣金开口和错位4.5mm.标准为不大于3.5</t>
    <phoneticPr fontId="7" type="noConversion"/>
  </si>
  <si>
    <t>前档右上角打胶不良（倒胶）</t>
    <phoneticPr fontId="7" type="noConversion"/>
  </si>
  <si>
    <t>尾箱撑杆螺栓未打紧</t>
    <phoneticPr fontId="7" type="noConversion"/>
  </si>
  <si>
    <t>该处打胶前天已经优化了工艺，D立柱刮胶由从下往上刮胶改成了从上往下刮胶，防止在刮胶时把D立柱胶刮多了盖不住缝产生胶洞。</t>
    <phoneticPr fontId="7" type="noConversion"/>
  </si>
  <si>
    <t>1、焊装关注钣金状态，故障模式传递至焊装。2、针对CX743/N35X 尾门框问题，焊装扫尾已下发了返修工艺卡，并且已按要求执行</t>
    <phoneticPr fontId="7" type="noConversion"/>
  </si>
  <si>
    <t>喻无穷</t>
    <phoneticPr fontId="7" type="noConversion"/>
  </si>
  <si>
    <t>S</t>
    <phoneticPr fontId="7" type="noConversion"/>
  </si>
  <si>
    <t>扰流板少卡扣</t>
    <phoneticPr fontId="7" type="noConversion"/>
  </si>
  <si>
    <t>张之凌</t>
    <phoneticPr fontId="7" type="noConversion"/>
  </si>
  <si>
    <t>高鹏</t>
    <phoneticPr fontId="7" type="noConversion"/>
  </si>
  <si>
    <t>李安</t>
    <phoneticPr fontId="7" type="noConversion"/>
  </si>
  <si>
    <t>JAN</t>
    <phoneticPr fontId="7" type="noConversion"/>
  </si>
  <si>
    <t>2018YTD</t>
    <phoneticPr fontId="7" type="noConversion"/>
  </si>
  <si>
    <t>2019YTD</t>
    <phoneticPr fontId="7" type="noConversion"/>
  </si>
  <si>
    <t>2018YTD</t>
    <phoneticPr fontId="7" type="noConversion"/>
  </si>
  <si>
    <t>2019YTD</t>
    <phoneticPr fontId="7" type="noConversion"/>
  </si>
  <si>
    <t>根本原因：故障位置胶线有两个岗位涉及，属于操作重叠处，员工刷胶未搭接好导致出现胶洞漏水；
逃逸点：漏水点较隐蔽，之前漏水未出现异常，员工未有效执行检查导致漏检，同时也不在胶洞位置未列入检查清单中；
风险评估：检验员检查需百分百打开尾箱用手触摸可以百分百围堵；</t>
    <phoneticPr fontId="7" type="noConversion"/>
  </si>
  <si>
    <t>1.经梳理，出现该问题的车都是左侧，已经对左侧员工进行离岗培训及PJO确认-2018.12.24；
2.由于是员工操作重叠区，已经对该处的刷胶进行的可视化责任划分，明确员工操作-2018.12.24；
3.针对所有漏水点组织员工进行可视化重新培训-2018.12.24；</t>
    <phoneticPr fontId="7" type="noConversion"/>
  </si>
  <si>
    <t>M/D</t>
    <phoneticPr fontId="7" type="noConversion"/>
  </si>
  <si>
    <t>李安/杨进进</t>
    <phoneticPr fontId="7" type="noConversion"/>
  </si>
  <si>
    <t>机器人设备打胶左侧轨迹向内侧偏移，导致玻璃胶与钣金压合量不够导致漏水</t>
    <phoneticPr fontId="7" type="noConversion"/>
  </si>
  <si>
    <t>立即停止机器人打胶，手工打胶支持。并通知设备人员进行胶形轨迹调整，已完成1/18，首台VIN号：KTP01563</t>
    <phoneticPr fontId="7" type="noConversion"/>
  </si>
  <si>
    <t>制作可视化培训装配员工对胶形轨迹进行检查，轨迹要求在玻璃底涂（即玻璃叫轨迹点）上，发现偏移及时触发  完成时间1/19</t>
    <phoneticPr fontId="7" type="noConversion"/>
  </si>
  <si>
    <t>培训员工</t>
    <phoneticPr fontId="7" type="noConversion"/>
  </si>
  <si>
    <t xml:space="preserve"> </t>
    <phoneticPr fontId="7" type="noConversion"/>
  </si>
  <si>
    <t>雷达线束卡扣装配不良</t>
    <phoneticPr fontId="7" type="noConversion"/>
  </si>
  <si>
    <t>雷达线束护套装配不良</t>
    <phoneticPr fontId="7" type="noConversion"/>
  </si>
  <si>
    <t>M</t>
    <phoneticPr fontId="7" type="noConversion"/>
  </si>
  <si>
    <t>行李架拍裂</t>
    <phoneticPr fontId="7" type="noConversion"/>
  </si>
  <si>
    <t>D立柱内盖板少卡扣</t>
    <phoneticPr fontId="7" type="noConversion"/>
  </si>
  <si>
    <t>副驾驶漏水</t>
    <phoneticPr fontId="7" type="noConversion"/>
  </si>
  <si>
    <t>右天窗水管脱开漏水</t>
    <phoneticPr fontId="7" type="noConversion"/>
  </si>
  <si>
    <t>新员工装配，装配之前未检查。预装卡扣后未检查</t>
    <phoneticPr fontId="7" type="noConversion"/>
  </si>
  <si>
    <t>可视化培训装配检验员，装配之前检查</t>
    <phoneticPr fontId="7" type="noConversion"/>
  </si>
  <si>
    <t>尾门过渡线束装配不良</t>
    <phoneticPr fontId="7" type="noConversion"/>
  </si>
  <si>
    <t>1.培训CAL检验员检验围堵</t>
    <phoneticPr fontId="7" type="noConversion"/>
  </si>
  <si>
    <t>员工装配时按压将护套陷下去</t>
    <phoneticPr fontId="7" type="noConversion"/>
  </si>
  <si>
    <t>李安</t>
    <phoneticPr fontId="7" type="noConversion"/>
  </si>
  <si>
    <t>李安</t>
    <phoneticPr fontId="7" type="noConversion"/>
  </si>
  <si>
    <t>天窗水管堵塞</t>
    <phoneticPr fontId="7" type="noConversion"/>
  </si>
  <si>
    <t>培训员工在装配时候注意按压，禁止强行拍打支架Cutoff vin：8211</t>
    <phoneticPr fontId="7" type="noConversion"/>
  </si>
  <si>
    <t>培训员工在装配时候注意按压，禁止强行拍打支架</t>
    <phoneticPr fontId="7" type="noConversion"/>
  </si>
  <si>
    <t>M</t>
    <phoneticPr fontId="7" type="noConversion"/>
  </si>
  <si>
    <t>灯泡线束松脱</t>
    <phoneticPr fontId="7" type="noConversion"/>
  </si>
  <si>
    <t>1.今天下午安排人员开始对白车身进行排查
2.对漏堵孔补贴贴片 ICA&amp;PCA：制作SPL，培训责任员工漏堵区域及漏堵后果，并对48V和12V所有堵孔工艺进行再次培训，防止重复发生。</t>
    <phoneticPr fontId="7" type="noConversion"/>
  </si>
  <si>
    <t>扰流板漏水卡扣未卡到位（装配不良）</t>
    <phoneticPr fontId="7" type="noConversion"/>
  </si>
  <si>
    <t>区长培训员工</t>
    <phoneticPr fontId="7" type="noConversion"/>
  </si>
  <si>
    <t>员工辞职，定岗</t>
    <phoneticPr fontId="7" type="noConversion"/>
  </si>
  <si>
    <t>M</t>
    <phoneticPr fontId="7" type="noConversion"/>
  </si>
  <si>
    <t>李安</t>
    <phoneticPr fontId="7" type="noConversion"/>
  </si>
  <si>
    <t>侧围海绵标签纸遗漏至尾门框造成密封条装配不良</t>
    <phoneticPr fontId="7" type="noConversion"/>
  </si>
  <si>
    <t>李安、李瑰</t>
    <phoneticPr fontId="7" type="noConversion"/>
  </si>
  <si>
    <t>FEB</t>
  </si>
  <si>
    <t>尾门框密封条漏水</t>
    <phoneticPr fontId="7" type="noConversion"/>
  </si>
  <si>
    <t>1、现场培训操作工，卡紧线束卡子后，在卡子背面进行点检确认，确保卡子完全张开再画标记</t>
    <phoneticPr fontId="7" type="noConversion"/>
  </si>
  <si>
    <t>需支持对管道车子进行排查</t>
    <phoneticPr fontId="7" type="noConversion"/>
  </si>
  <si>
    <t>M/S</t>
    <phoneticPr fontId="7" type="noConversion"/>
  </si>
  <si>
    <t>D立柱内钣卡扣少海绵</t>
    <phoneticPr fontId="7" type="noConversion"/>
  </si>
  <si>
    <t>尾门玻璃右侧漏水</t>
    <phoneticPr fontId="7" type="noConversion"/>
  </si>
  <si>
    <t>已找IQ占卫军协调安排线服对顶棚右上角拐角处修剪支持，首台VIN03528。</t>
    <phoneticPr fontId="7" type="noConversion"/>
  </si>
  <si>
    <t>M</t>
    <phoneticPr fontId="7" type="noConversion"/>
  </si>
  <si>
    <t>前挡右上角玻璃胶倒胶</t>
    <phoneticPr fontId="7" type="noConversion"/>
  </si>
  <si>
    <t>1.培训员工打胶前检查胶型</t>
    <phoneticPr fontId="7" type="noConversion"/>
  </si>
  <si>
    <t>1.排查46台，未发现故障 安全底盘号；6802  
2.通知CAL检验围堵</t>
    <phoneticPr fontId="7" type="noConversion"/>
  </si>
  <si>
    <t>尾门框焊点点偏</t>
    <phoneticPr fontId="7" type="noConversion"/>
  </si>
  <si>
    <t>尾门雨刮护套装配不良</t>
    <phoneticPr fontId="7" type="noConversion"/>
  </si>
  <si>
    <t>雨刮护套未完全装下去，外观不可识别</t>
    <phoneticPr fontId="7" type="noConversion"/>
  </si>
  <si>
    <t>李安</t>
    <phoneticPr fontId="7" type="noConversion"/>
  </si>
  <si>
    <t>落实员工，进行培训装配技术要求</t>
    <phoneticPr fontId="7" type="noConversion"/>
  </si>
  <si>
    <t>S/M</t>
    <phoneticPr fontId="7" type="noConversion"/>
  </si>
  <si>
    <r>
      <t xml:space="preserve">1.尾门框线束护套装配完成后有间隙
</t>
    </r>
    <r>
      <rPr>
        <b/>
        <sz val="12"/>
        <color theme="1"/>
        <rFont val="宋体"/>
        <family val="3"/>
        <charset val="134"/>
        <scheme val="major"/>
      </rPr>
      <t>凹陷、</t>
    </r>
    <r>
      <rPr>
        <b/>
        <sz val="12"/>
        <color rgb="FF00B0F0"/>
        <rFont val="宋体"/>
        <family val="3"/>
        <charset val="134"/>
        <scheme val="major"/>
      </rPr>
      <t>翻起</t>
    </r>
    <phoneticPr fontId="7" type="noConversion"/>
  </si>
  <si>
    <t>D立柱内盖板装配不良</t>
    <phoneticPr fontId="7" type="noConversion"/>
  </si>
  <si>
    <t>涂装可视化检验点围堵，排查管道车辆74台，未发现故障车</t>
    <phoneticPr fontId="7" type="noConversion"/>
  </si>
  <si>
    <t>1。增加密封条内胶量，由70g加至110g，预计3月4日进行试装——PVT钟式吉
2. 将密封条外唇边厚度控制在下限，预计3月1日反馈计划——PVT钟式吉/STA朱新民
3. 总装优化密封条安装工位（参考375和 35X安装工位，在内一下线处，内饰板之前且安装高度底）或增加工时——VOME黄松/程鹏达，</t>
    <phoneticPr fontId="7" type="noConversion"/>
  </si>
  <si>
    <t>雾灯进水</t>
    <phoneticPr fontId="7" type="noConversion"/>
  </si>
  <si>
    <t>MAR</t>
  </si>
  <si>
    <t>尾门玻璃左侧未拍实</t>
    <phoneticPr fontId="7" type="noConversion"/>
  </si>
  <si>
    <t>喻无穷</t>
    <phoneticPr fontId="7" type="noConversion"/>
  </si>
  <si>
    <t>尾门玻璃装配未拍实</t>
    <phoneticPr fontId="7" type="noConversion"/>
  </si>
  <si>
    <t>新员工装配后未对后档玻璃拍实。</t>
    <phoneticPr fontId="7" type="noConversion"/>
  </si>
  <si>
    <t>喻无穷</t>
    <phoneticPr fontId="7" type="noConversion"/>
  </si>
  <si>
    <t>扬声器钣金处焊渣</t>
    <phoneticPr fontId="7" type="noConversion"/>
  </si>
  <si>
    <t>胡文、李安</t>
    <phoneticPr fontId="7" type="noConversion"/>
  </si>
  <si>
    <t xml:space="preserve"> </t>
    <phoneticPr fontId="7" type="noConversion"/>
  </si>
  <si>
    <t>右后保螺栓底座装配不良</t>
    <phoneticPr fontId="7" type="noConversion"/>
  </si>
  <si>
    <t>李安</t>
    <phoneticPr fontId="7" type="noConversion"/>
  </si>
  <si>
    <t>A立柱玻璃胶倒胶，装配不良</t>
    <phoneticPr fontId="7" type="noConversion"/>
  </si>
  <si>
    <t>李安</t>
    <phoneticPr fontId="7" type="noConversion"/>
  </si>
  <si>
    <r>
      <t>1.装配仪表台时，仪表套、线束接头盒天窗水管干涉造成水管脱开
2</t>
    </r>
    <r>
      <rPr>
        <b/>
        <sz val="12"/>
        <color theme="1"/>
        <rFont val="宋体"/>
        <family val="3"/>
        <charset val="134"/>
        <scheme val="major"/>
      </rPr>
      <t>.天窗水管只接入了接头的1/3.</t>
    </r>
    <phoneticPr fontId="7" type="noConversion"/>
  </si>
  <si>
    <t>3月11日接头和天窗水管一体式到达工厂</t>
    <phoneticPr fontId="7" type="noConversion"/>
  </si>
  <si>
    <t>左右后门漏水</t>
    <phoneticPr fontId="7" type="noConversion"/>
  </si>
  <si>
    <t>S</t>
    <phoneticPr fontId="7" type="noConversion"/>
  </si>
  <si>
    <t>章俊仁、钟式吉</t>
    <phoneticPr fontId="7" type="noConversion"/>
  </si>
  <si>
    <t>水切海绵和玻璃配合后间隙很大，造成钣金进水量加大，增加不防水卡扣漏水的风险</t>
    <phoneticPr fontId="7" type="noConversion"/>
  </si>
  <si>
    <t>水切橡胶条和玻璃间隙大</t>
    <phoneticPr fontId="7" type="noConversion"/>
  </si>
  <si>
    <t>M</t>
    <phoneticPr fontId="7" type="noConversion"/>
  </si>
  <si>
    <t>后门漏水</t>
    <phoneticPr fontId="7" type="noConversion"/>
  </si>
  <si>
    <t>右后门防水膜滚压不到位</t>
    <phoneticPr fontId="7" type="noConversion"/>
  </si>
  <si>
    <t>丁基胶接头处未滚压实</t>
    <phoneticPr fontId="7" type="noConversion"/>
  </si>
  <si>
    <t>李安</t>
    <phoneticPr fontId="7" type="noConversion"/>
  </si>
  <si>
    <t>由于未加胶，装配仪表台撞得脱开</t>
    <phoneticPr fontId="7" type="noConversion"/>
  </si>
  <si>
    <t>1.培训员工装配A立柱进行检查
2,3月12日工厂开始已全部开始加胶进行先预装</t>
    <phoneticPr fontId="7" type="noConversion"/>
  </si>
  <si>
    <t>预计3月22日到达一体式水管</t>
    <phoneticPr fontId="7" type="noConversion"/>
  </si>
  <si>
    <t>李安、傅科鹏</t>
    <phoneticPr fontId="7" type="noConversion"/>
  </si>
  <si>
    <t>眼镜盒处漏水</t>
    <phoneticPr fontId="7" type="noConversion"/>
  </si>
  <si>
    <t>M</t>
    <phoneticPr fontId="7" type="noConversion"/>
  </si>
  <si>
    <t>李安</t>
    <phoneticPr fontId="7" type="noConversion"/>
  </si>
  <si>
    <t>前档打胶不良</t>
    <phoneticPr fontId="7" type="noConversion"/>
  </si>
  <si>
    <t>1.前档玻璃胶压住中央后视镜线束
2.胶内存在硬块</t>
    <phoneticPr fontId="7" type="noConversion"/>
  </si>
  <si>
    <t>S/M</t>
    <phoneticPr fontId="7" type="noConversion"/>
  </si>
  <si>
    <t>尾门锁头漏水</t>
    <phoneticPr fontId="7" type="noConversion"/>
  </si>
  <si>
    <t>尾门牌照灯线束包扎不良</t>
    <phoneticPr fontId="7" type="noConversion"/>
  </si>
  <si>
    <t>IQ排查物料并做点检标识。转配同步关注</t>
    <phoneticPr fontId="7" type="noConversion"/>
  </si>
  <si>
    <t>李安</t>
    <phoneticPr fontId="7" type="noConversion"/>
  </si>
  <si>
    <t>程鹏达</t>
    <phoneticPr fontId="7" type="noConversion"/>
  </si>
  <si>
    <t>魏鹏</t>
    <phoneticPr fontId="7" type="noConversion"/>
  </si>
  <si>
    <r>
      <t>尾箱后保和D立柱胶洞、</t>
    </r>
    <r>
      <rPr>
        <b/>
        <sz val="12"/>
        <color theme="1"/>
        <rFont val="宋体"/>
        <family val="3"/>
        <charset val="134"/>
        <scheme val="major"/>
      </rPr>
      <t>尾灯三角处胶洞</t>
    </r>
    <phoneticPr fontId="7" type="noConversion"/>
  </si>
  <si>
    <t>水箱水管卡扣未提前预装好，造成和雾线束干涉，装配时拉扯松动</t>
    <phoneticPr fontId="7" type="noConversion"/>
  </si>
  <si>
    <t>M</t>
    <phoneticPr fontId="7" type="noConversion"/>
  </si>
  <si>
    <t>雨刮电机护套内侧装配不良</t>
    <phoneticPr fontId="7" type="noConversion"/>
  </si>
  <si>
    <t>天窗水管接钣金处未接</t>
    <phoneticPr fontId="7" type="noConversion"/>
  </si>
  <si>
    <t>程鹏达</t>
    <phoneticPr fontId="7" type="noConversion"/>
  </si>
  <si>
    <t>李安</t>
    <phoneticPr fontId="7" type="noConversion"/>
  </si>
  <si>
    <t>左后保螺栓底座装配不良，未完全装下去</t>
    <phoneticPr fontId="7" type="noConversion"/>
  </si>
  <si>
    <t>李安</t>
    <phoneticPr fontId="7" type="noConversion"/>
  </si>
  <si>
    <t>CAL线已识别在线围堵</t>
    <phoneticPr fontId="7" type="noConversion"/>
  </si>
  <si>
    <t>李安</t>
    <phoneticPr fontId="7" type="noConversion"/>
  </si>
  <si>
    <t>S</t>
    <phoneticPr fontId="7" type="noConversion"/>
  </si>
  <si>
    <t>傅科鹏、舒众</t>
    <phoneticPr fontId="7" type="noConversion"/>
  </si>
  <si>
    <t>右天窗水管脱开</t>
    <phoneticPr fontId="7" type="noConversion"/>
  </si>
  <si>
    <t>接头处抹胶不良，未抹一圈</t>
    <phoneticPr fontId="7" type="noConversion"/>
  </si>
  <si>
    <t>尾箱漏水</t>
    <phoneticPr fontId="7" type="noConversion"/>
  </si>
  <si>
    <t>M</t>
    <phoneticPr fontId="7" type="noConversion"/>
  </si>
  <si>
    <t>雨刮盖板装配不良</t>
    <phoneticPr fontId="7" type="noConversion"/>
  </si>
  <si>
    <t>李安</t>
    <phoneticPr fontId="7" type="noConversion"/>
  </si>
  <si>
    <t>S</t>
    <phoneticPr fontId="7" type="noConversion"/>
  </si>
  <si>
    <t>尾门亮饰条内护套线束偏短</t>
    <phoneticPr fontId="7" type="noConversion"/>
  </si>
  <si>
    <t>Y</t>
    <phoneticPr fontId="7" type="noConversion"/>
  </si>
  <si>
    <t>吴跃宗</t>
    <phoneticPr fontId="7" type="noConversion"/>
  </si>
  <si>
    <t>天窗水管和天窗自带接头那端未接</t>
    <phoneticPr fontId="7" type="noConversion"/>
  </si>
  <si>
    <t>尾门框钣金余胶导致密封条装配不良</t>
    <phoneticPr fontId="7" type="noConversion"/>
  </si>
  <si>
    <t>APR</t>
  </si>
  <si>
    <t>天窗后侧水管未接到底</t>
    <phoneticPr fontId="7" type="noConversion"/>
  </si>
  <si>
    <t>左右后侧水管未接</t>
    <phoneticPr fontId="7" type="noConversion"/>
  </si>
  <si>
    <t xml:space="preserve"> </t>
    <phoneticPr fontId="7" type="noConversion"/>
  </si>
  <si>
    <t xml:space="preserve"> </t>
    <phoneticPr fontId="7" type="noConversion"/>
  </si>
  <si>
    <r>
      <t>小叶窗打胶不良，</t>
    </r>
    <r>
      <rPr>
        <b/>
        <sz val="12"/>
        <color theme="1"/>
        <rFont val="宋体"/>
        <family val="3"/>
        <charset val="134"/>
        <scheme val="major"/>
      </rPr>
      <t>机器人打胶</t>
    </r>
    <r>
      <rPr>
        <b/>
        <sz val="12"/>
        <color rgb="FF00B0F0"/>
        <rFont val="宋体"/>
        <family val="3"/>
        <charset val="134"/>
        <scheme val="major"/>
      </rPr>
      <t>断胶</t>
    </r>
    <r>
      <rPr>
        <b/>
        <sz val="12"/>
        <color theme="1"/>
        <rFont val="宋体"/>
        <family val="3"/>
        <charset val="134"/>
        <scheme val="major"/>
      </rPr>
      <t>、蹭胶</t>
    </r>
    <phoneticPr fontId="7" type="noConversion"/>
  </si>
  <si>
    <t>目前还在分析</t>
    <phoneticPr fontId="7" type="noConversion"/>
  </si>
  <si>
    <t>内饰板卡扣装配不良</t>
    <phoneticPr fontId="7" type="noConversion"/>
  </si>
  <si>
    <t>拆内饰卡扣未发现异常。重新装配ok</t>
    <phoneticPr fontId="7" type="noConversion"/>
  </si>
  <si>
    <t>可视化图片现场培训打胶工，含白晚班，跟踪培训后打胶，目前状态ok.并要求区长对此员工进行pjo.</t>
    <phoneticPr fontId="7" type="noConversion"/>
  </si>
  <si>
    <t>易小群、钟式吉</t>
    <phoneticPr fontId="7" type="noConversion"/>
  </si>
  <si>
    <t>尾门标识牌漏水</t>
    <phoneticPr fontId="7" type="noConversion"/>
  </si>
  <si>
    <t>尾门标识牌错装</t>
    <phoneticPr fontId="7" type="noConversion"/>
  </si>
  <si>
    <t>M</t>
    <phoneticPr fontId="7" type="noConversion"/>
  </si>
  <si>
    <t>加入大件返修单</t>
    <phoneticPr fontId="7" type="noConversion"/>
  </si>
  <si>
    <t>右行李架钣金缝偏位导致涂装没有抹到胶</t>
    <phoneticPr fontId="7" type="noConversion"/>
  </si>
  <si>
    <t>1、防水膜处渗水,防水膜首尾结合处没有滚压到位。(拆装过)</t>
    <phoneticPr fontId="7" type="noConversion"/>
  </si>
  <si>
    <t>1.更换尾门，未检查铆钉
2.铆钉装配不良</t>
    <phoneticPr fontId="7" type="noConversion"/>
  </si>
  <si>
    <t>行李架钣金焊点焊穿/焊渣</t>
    <phoneticPr fontId="7" type="noConversion"/>
  </si>
  <si>
    <t>M</t>
    <phoneticPr fontId="7" type="noConversion"/>
  </si>
  <si>
    <t>低配扬声器处焊渣造成扬声器贴膜漏水</t>
    <phoneticPr fontId="7" type="noConversion"/>
  </si>
  <si>
    <t>低配扬声器贴膜装配不良</t>
    <phoneticPr fontId="7" type="noConversion"/>
  </si>
  <si>
    <t>目前还在分析，待拆内饰</t>
    <phoneticPr fontId="7" type="noConversion"/>
  </si>
  <si>
    <t>扰流板中间卡扣漏水</t>
    <phoneticPr fontId="7" type="noConversion"/>
  </si>
  <si>
    <t>S</t>
    <phoneticPr fontId="7" type="noConversion"/>
  </si>
  <si>
    <r>
      <t>空调进风格栅处螺栓间距超差大(空气室下盖板螺栓焊接定位块松动，导致螺栓位置不稳定和超差。)</t>
    </r>
    <r>
      <rPr>
        <b/>
        <sz val="12"/>
        <color rgb="FFFF0000"/>
        <rFont val="宋体"/>
        <family val="3"/>
        <charset val="134"/>
        <scheme val="major"/>
      </rPr>
      <t>ICA未实行</t>
    </r>
    <phoneticPr fontId="7" type="noConversion"/>
  </si>
  <si>
    <t>主定位孔偏小49。64，标注50±0.05 造成夹具落位不准确漏水</t>
    <phoneticPr fontId="7" type="noConversion"/>
  </si>
  <si>
    <t>周武斌</t>
    <phoneticPr fontId="7" type="noConversion"/>
  </si>
  <si>
    <t>总装中间卡扣装配不良未完全下去，和顶盖存在轻微面差</t>
    <phoneticPr fontId="7" type="noConversion"/>
  </si>
  <si>
    <t>李安</t>
    <phoneticPr fontId="7" type="noConversion"/>
  </si>
  <si>
    <t>S/M</t>
    <phoneticPr fontId="7" type="noConversion"/>
  </si>
  <si>
    <t>雷达线束卡扣海绵破损</t>
    <phoneticPr fontId="7" type="noConversion"/>
  </si>
  <si>
    <t>宋玉勇、程鹏达</t>
    <phoneticPr fontId="7" type="noConversion"/>
  </si>
  <si>
    <t>右A立柱漏水</t>
    <phoneticPr fontId="7" type="noConversion"/>
  </si>
  <si>
    <t>M</t>
    <phoneticPr fontId="7" type="noConversion"/>
  </si>
  <si>
    <t>前档右侧打胶不良</t>
    <phoneticPr fontId="7" type="noConversion"/>
  </si>
  <si>
    <t>待割玻璃确认，钣金和玻璃有间隙，不贴合</t>
    <phoneticPr fontId="7" type="noConversion"/>
  </si>
  <si>
    <t>行李架胶型偏位</t>
    <phoneticPr fontId="7" type="noConversion"/>
  </si>
  <si>
    <t>黄光亮</t>
    <phoneticPr fontId="7" type="noConversion"/>
  </si>
  <si>
    <t>扰流板装配孔旁边存在异物（线束胶带纸）</t>
    <phoneticPr fontId="7" type="noConversion"/>
  </si>
  <si>
    <t>左前门密封条外侧渗水</t>
    <phoneticPr fontId="7" type="noConversion"/>
  </si>
  <si>
    <t>右前门密封条外侧渗水</t>
    <phoneticPr fontId="7" type="noConversion"/>
  </si>
  <si>
    <t>内饰板卡扣装配不良</t>
    <phoneticPr fontId="7" type="noConversion"/>
  </si>
  <si>
    <t>李安、喻无穷</t>
    <phoneticPr fontId="7" type="noConversion"/>
  </si>
  <si>
    <t>M/S</t>
    <phoneticPr fontId="7" type="noConversion"/>
  </si>
  <si>
    <t>李安</t>
    <phoneticPr fontId="7" type="noConversion"/>
  </si>
  <si>
    <r>
      <t xml:space="preserve">1.右后防水膜装配不良
</t>
    </r>
    <r>
      <rPr>
        <b/>
        <sz val="12"/>
        <color rgb="FF00B0F0"/>
        <rFont val="宋体"/>
        <family val="3"/>
        <charset val="134"/>
        <scheme val="major"/>
      </rPr>
      <t>2.有明显拆装痕迹</t>
    </r>
    <phoneticPr fontId="7" type="noConversion"/>
  </si>
  <si>
    <t>前档漏水</t>
    <phoneticPr fontId="7" type="noConversion"/>
  </si>
  <si>
    <t>前档蹭胶1台
前档胶泡1台</t>
    <phoneticPr fontId="7" type="noConversion"/>
  </si>
  <si>
    <t>小叶窗打胶后未刷胶</t>
    <phoneticPr fontId="7" type="noConversion"/>
  </si>
  <si>
    <t>1.排查线边和kit区物料87根，1根破损
2.后续合格件做绿色贯穿标识
CutoffVin:26871</t>
    <phoneticPr fontId="7" type="noConversion"/>
  </si>
  <si>
    <t>刷胶后未抹胶，</t>
    <phoneticPr fontId="7" type="noConversion"/>
  </si>
  <si>
    <t>排查96台，未发现异常</t>
    <phoneticPr fontId="7" type="noConversion"/>
  </si>
  <si>
    <t>黄光亮</t>
    <phoneticPr fontId="7" type="noConversion"/>
  </si>
  <si>
    <t>MAY</t>
  </si>
  <si>
    <t>1.前档蹭胶
2.胶内异物</t>
    <phoneticPr fontId="7" type="noConversion"/>
  </si>
  <si>
    <t>发动舱线束漏水</t>
    <phoneticPr fontId="7" type="noConversion"/>
  </si>
  <si>
    <t>汪永恩</t>
    <phoneticPr fontId="7" type="noConversion"/>
  </si>
  <si>
    <t>下次有车再次分析</t>
    <phoneticPr fontId="7" type="noConversion"/>
  </si>
  <si>
    <t xml:space="preserve">发动机舱内波纹管线束被下至上的喷头喷到线束漏水，由于外侧线束在发动机舱内拆装困难，所以再里侧重新包扎返修OK。
</t>
    <phoneticPr fontId="7" type="noConversion"/>
  </si>
  <si>
    <t>1.装配时由于未在本工位装配，将玻璃抬至后续工位装配，玻璃胶蹭到引擎盖造成倒胶漏水
2.前档胶内硬块</t>
    <phoneticPr fontId="7" type="noConversion"/>
  </si>
  <si>
    <t>S/M</t>
    <phoneticPr fontId="7" type="noConversion"/>
  </si>
  <si>
    <t>右后门少卡扣</t>
    <phoneticPr fontId="7" type="noConversion"/>
  </si>
  <si>
    <t>赵松、魏鹏</t>
    <phoneticPr fontId="7" type="noConversion"/>
  </si>
  <si>
    <t>1.装配之前检查2.IQ反馈物料排查结果，并做贯穿线</t>
    <phoneticPr fontId="7" type="noConversion"/>
  </si>
  <si>
    <r>
      <t>1.密封条内打胶不均</t>
    </r>
    <r>
      <rPr>
        <b/>
        <sz val="12"/>
        <color rgb="FF00B0F0"/>
        <rFont val="宋体"/>
        <family val="3"/>
        <charset val="134"/>
        <scheme val="major"/>
      </rPr>
      <t xml:space="preserve">
</t>
    </r>
    <r>
      <rPr>
        <b/>
        <sz val="12"/>
        <color theme="1"/>
        <rFont val="宋体"/>
        <family val="3"/>
        <charset val="134"/>
        <scheme val="major"/>
      </rPr>
      <t>2。现有密封胶的密度为1.42，标准为1.3±0.1</t>
    </r>
    <r>
      <rPr>
        <b/>
        <sz val="12"/>
        <color rgb="FFFF0000"/>
        <rFont val="宋体"/>
        <family val="3"/>
        <charset val="134"/>
        <scheme val="major"/>
      </rPr>
      <t xml:space="preserve">
</t>
    </r>
    <r>
      <rPr>
        <b/>
        <sz val="12"/>
        <rFont val="宋体"/>
        <family val="3"/>
        <charset val="134"/>
        <scheme val="major"/>
      </rPr>
      <t xml:space="preserve">
</t>
    </r>
    <phoneticPr fontId="7" type="noConversion"/>
  </si>
  <si>
    <t>员工未按工艺要求操作</t>
    <phoneticPr fontId="7" type="noConversion"/>
  </si>
  <si>
    <t>空调进风格栅处螺栓位置偏下</t>
    <phoneticPr fontId="7" type="noConversion"/>
  </si>
  <si>
    <t>空调进风格栅处螺栓漏打紧</t>
    <phoneticPr fontId="7" type="noConversion"/>
  </si>
  <si>
    <t>扰流板漏水</t>
    <phoneticPr fontId="7" type="noConversion"/>
  </si>
  <si>
    <t>装配是未对准钣金，强行装配，拍弯了扰流板卡扣</t>
    <phoneticPr fontId="7" type="noConversion"/>
  </si>
  <si>
    <t>螺丝漏打紧</t>
    <phoneticPr fontId="7" type="noConversion"/>
  </si>
  <si>
    <r>
      <t xml:space="preserve">1.供应商在密封条内加胶（70k增加110k）处理CUTOFF VIN:6322  
2.培训装配员工先按压密封条左右R角在进行用榔头装配CUTOFF VIN:6747
</t>
    </r>
    <r>
      <rPr>
        <b/>
        <sz val="12"/>
        <color rgb="FF00B0F0"/>
        <rFont val="宋体"/>
        <family val="3"/>
        <charset val="134"/>
        <scheme val="major"/>
      </rPr>
      <t>3.目前在消耗老件，5月17日切换CUTOFF VIN:30377</t>
    </r>
    <phoneticPr fontId="7" type="noConversion"/>
  </si>
</sst>
</file>

<file path=xl/styles.xml><?xml version="1.0" encoding="utf-8"?>
<styleSheet xmlns="http://schemas.openxmlformats.org/spreadsheetml/2006/main">
  <numFmts count="99">
    <numFmt numFmtId="23" formatCode="\$#,##0_);\(\$#,##0\)"/>
    <numFmt numFmtId="176" formatCode="\$#,##0;[Red]\-\$#,##0"/>
    <numFmt numFmtId="177" formatCode="000"/>
    <numFmt numFmtId="178" formatCode="0\ ;\ \(0\)"/>
    <numFmt numFmtId="179" formatCode="_(* #,##0_);_(* \(#,##0\);_(* &quot;-&quot;_);_(@_)"/>
    <numFmt numFmtId="180" formatCode="#,##0.000_);\(#,##0.000\)"/>
    <numFmt numFmtId="181" formatCode="#,##0_);[Red]\ \(#,##0\)"/>
    <numFmt numFmtId="182" formatCode="0.000"/>
    <numFmt numFmtId="183" formatCode="_-&quot;£&quot;* #,##0.00_-;\-&quot;£&quot;* #,##0.00_-;_-&quot;£&quot;* &quot;-&quot;??_-;_-@_-"/>
    <numFmt numFmtId="184" formatCode="_(* #,##0.000_);_(* \(#,##0.000\);_(* &quot;-&quot;??_);_(@_)"/>
    <numFmt numFmtId="185" formatCode="d/m;@"/>
    <numFmt numFmtId="186" formatCode="_-* #,##0\ &quot;F&quot;_-;\-* #,##0\ &quot;F&quot;_-;_-* &quot;-&quot;\ &quot;F&quot;_-;_-@_-"/>
    <numFmt numFmtId="187" formatCode="#,##0&quot; F&quot;_);\(#,##0&quot; F&quot;\)"/>
    <numFmt numFmtId="188" formatCode="&quot;$&quot;* #,##0_);[Red]&quot;$&quot;* \(#,##0\)"/>
    <numFmt numFmtId="189" formatCode="0.00000000"/>
    <numFmt numFmtId="190" formatCode="0.0000000000"/>
    <numFmt numFmtId="191" formatCode="_-* #,##0.00\ _F_-;\-* #,##0.00\ _F_-;_-* &quot;-&quot;??\ _F_-;_-@_-"/>
    <numFmt numFmtId="192" formatCode="&quot;$&quot;* ##0.0\ ;&quot;$&quot;* \(##0.0\);&quot;$&quot;* &quot;N/A &quot;"/>
    <numFmt numFmtId="193" formatCode="0_)%;\(0\)%"/>
    <numFmt numFmtId="194" formatCode="_(* #,##0.0000_);_(* \(#,##0.0000\);_(* &quot;-&quot;??_);_(@_)"/>
    <numFmt numFmtId="195" formatCode="0.000%"/>
    <numFmt numFmtId="196" formatCode="m/d"/>
    <numFmt numFmtId="197" formatCode="0_);[Red]\(0\)"/>
    <numFmt numFmtId="198" formatCode="#,##0&quot;｣&quot;_);[Red]\(#,##0&quot;｣&quot;\)"/>
    <numFmt numFmtId="199" formatCode="\ \ \ \ \ \ \ \ \ @"/>
    <numFmt numFmtId="200" formatCode="0.00_)"/>
    <numFmt numFmtId="201" formatCode="#,##0.0000_);\(#,##0.0000\)"/>
    <numFmt numFmtId="202" formatCode="#,##0.0;[Red]\-#,##0.0"/>
    <numFmt numFmtId="203" formatCode="_(\¥* #,##0_);\(\¥#,##0\)"/>
    <numFmt numFmtId="204" formatCode="###0.0000000_);[Red]\(###0.0000000\)"/>
    <numFmt numFmtId="205" formatCode=";;;"/>
    <numFmt numFmtId="206" formatCode="\$\ #,##0;\-\$\ #,##0"/>
    <numFmt numFmtId="207" formatCode="#,##0.00000"/>
    <numFmt numFmtId="208" formatCode="#,##0\ &quot;F&quot;;\-#,##0\ &quot;F&quot;"/>
    <numFmt numFmtId="209" formatCode="&quot;$&quot;#,;\(&quot;$&quot;#,\)"/>
    <numFmt numFmtId="210" formatCode="&quot;US$&quot;#,##0.00_);\(&quot;US$&quot;#,##0.00\)"/>
    <numFmt numFmtId="211" formatCode="#,##0.00\ &quot;F&quot;;[Red]\-#,##0.00\ &quot;F&quot;"/>
    <numFmt numFmtId="212" formatCode="_(&quot;$&quot;* #,##0.0_);_(&quot;$&quot;* \(#,##0.0\);_(&quot;$&quot;* &quot;-&quot;??_);_(@_)"/>
    <numFmt numFmtId="213" formatCode="_(* #,##0.00_);_(* \(#,##0.00\);_(* &quot;-&quot;??_);_(@_)"/>
    <numFmt numFmtId="214" formatCode="_(* #,##0.0;_(* \(#,##0.0\);_(* &quot;0.0&quot;;_(@_)"/>
    <numFmt numFmtId="215" formatCode="#,##0;\(#,##0\)"/>
    <numFmt numFmtId="216" formatCode="_ * #,##0.00_)_£_ ;_ * \(#,##0.00\)_£_ ;_ * &quot;-&quot;??_)_£_ ;_ @_ "/>
    <numFmt numFmtId="217" formatCode="0.0000%"/>
    <numFmt numFmtId="218" formatCode=".0."/>
    <numFmt numFmtId="219" formatCode="#,##0;\-#,##0;&quot;-&quot;"/>
    <numFmt numFmtId="220" formatCode="&quot;Revised&quot;\ m/d/yy\ h:mm"/>
    <numFmt numFmtId="221" formatCode="_-&quot;£&quot;* #,##0_-;\-&quot;£&quot;* #,##0_-;_-&quot;£&quot;* &quot;-&quot;_-;_-@_-"/>
    <numFmt numFmtId="222" formatCode="General_)"/>
    <numFmt numFmtId="223" formatCode="\$#,##0\ ;\(\$#,##0\)"/>
    <numFmt numFmtId="224" formatCode="mm/dd/yy"/>
    <numFmt numFmtId="225" formatCode="#,##0.0000"/>
    <numFmt numFmtId="226" formatCode="\A&quot;$&quot;#,##0_);\(&quot;$&quot;#,##0\)"/>
    <numFmt numFmtId="227" formatCode="#,##0.0_);\(#,##0.0\)"/>
    <numFmt numFmtId="228" formatCode="0\ %\ "/>
    <numFmt numFmtId="229" formatCode="#,##0&quot; F&quot;_);[Red]\(#,##0&quot; F&quot;\)"/>
    <numFmt numFmtId="230" formatCode="#,##0.00&quot; $&quot;;[Red]\-#,##0.00&quot; $&quot;"/>
    <numFmt numFmtId="231" formatCode="#,##0.00&quot; F&quot;_);\(#,##0.00&quot; F&quot;\)"/>
    <numFmt numFmtId="232" formatCode="&quot;$&quot;#,\);\(&quot;$&quot;#,##0\)"/>
    <numFmt numFmtId="233" formatCode="_(&quot;R$&quot;* #,##0_);_(&quot;R$&quot;* \(#,##0\);_(&quot;R$&quot;* &quot;-&quot;_);_(@_)"/>
    <numFmt numFmtId="234" formatCode="\t#\ ??/??"/>
    <numFmt numFmtId="235" formatCode="_(&quot;$&quot;* #,##0;_(&quot;$&quot;* \(#,##0\);_(&quot;$&quot;* &quot;0&quot;;_(@\)"/>
    <numFmt numFmtId="236" formatCode="\t0.00%"/>
    <numFmt numFmtId="237" formatCode="&quot;$&quot;0,000"/>
    <numFmt numFmtId="238" formatCode="&quot;$&quot;#,##0.0"/>
    <numFmt numFmtId="239" formatCode="_(&quot;$&quot;* #,##0.0;_(&quot;$&quot;* \(#,##0.0\);_(&quot;$&quot;* &quot;0.0&quot;;_(@\)"/>
    <numFmt numFmtId="240" formatCode="mmmm\ d\,\ yyyy"/>
    <numFmt numFmtId="241" formatCode="_(&quot;$&quot;* #,##0.0_);_(&quot;$&quot;* \(#,##0.0\);_(&quot;$&quot;* &quot;-  &quot;_);_(@_)"/>
    <numFmt numFmtId="242" formatCode="_(&quot;$&quot;* #,##0_);_(&quot;$&quot;* \(#,##0\);_(&quot;$&quot;* &quot;-&quot;??_);_(@_)"/>
    <numFmt numFmtId="243" formatCode="."/>
    <numFmt numFmtId="244" formatCode="&quot;$&quot;#,##0;&quot;$&quot;\(#,##0\)"/>
    <numFmt numFmtId="245" formatCode="#,##0.0000_)"/>
    <numFmt numFmtId="246" formatCode="#,##0;[Red]\(#,##0\)"/>
    <numFmt numFmtId="247" formatCode="\$#,##0.00;[Red]\-\$#,##0.00"/>
    <numFmt numFmtId="248" formatCode="&quot;\&quot;#,##0.00;[Red]&quot;\&quot;\-#,##0.00"/>
    <numFmt numFmtId="249" formatCode="\$#,##0.0;[Red]\-\$#,##0.0"/>
    <numFmt numFmtId="250" formatCode="#,##0&quot;?&quot;_);[Red]\(#,##0&quot;?&quot;\)"/>
    <numFmt numFmtId="251" formatCode="_-* #,##0.00_-;\-* #,##0.00_-;_-* &quot;-&quot;??_-;_-@_-"/>
    <numFmt numFmtId="252" formatCode="0.0%"/>
    <numFmt numFmtId="253" formatCode="0_);\(0\);\-"/>
    <numFmt numFmtId="254" formatCode="_(&quot;$&quot;* #,##0_);_(&quot;$&quot;* \(#,##0\);_(&quot;$&quot;* &quot;-&quot;_);_(@_)"/>
    <numFmt numFmtId="255" formatCode="#,##0.0\ ;\(#,##0.0\)"/>
    <numFmt numFmtId="256" formatCode="_-* #,##0_-;\-* #,##0_-;_-* &quot;-&quot;_-;_-@_-"/>
    <numFmt numFmtId="257" formatCode="\$\ #,##0.00_);[Red]\$\(#,##0.00\);\$\ \ \ \-\ \ "/>
    <numFmt numFmtId="258" formatCode="#,##0.00;[Red]\(#,##0.00\)"/>
    <numFmt numFmtId="259" formatCode="_(&quot;R$&quot;* #,##0.00_);_(&quot;R$&quot;* \(#,##0.00\);_(&quot;R$&quot;* &quot;-&quot;??_);_(@_)"/>
    <numFmt numFmtId="260" formatCode="&quot;\&quot;#,##0.00;[Red]\-&quot;\&quot;#,##0.00"/>
    <numFmt numFmtId="261" formatCode="#,##0\ &quot;F&quot;;[Red]\-#,##0\ &quot;F&quot;"/>
    <numFmt numFmtId="262" formatCode="&quot;\&quot;#,##0;[Red]&quot;\&quot;\-#,##0"/>
    <numFmt numFmtId="263" formatCode=";;*__)"/>
    <numFmt numFmtId="264" formatCode="_-* #,##0\ _F_-;\-* #,##0\ _F_-;_-* &quot;-&quot;\ _F_-;_-@_-"/>
    <numFmt numFmtId="265" formatCode="#,##0,"/>
    <numFmt numFmtId="266" formatCode="##,##0.00_);\(#,##0.00\)"/>
    <numFmt numFmtId="267" formatCode="_(&quot;$&quot;* #,##0.00_);_(&quot;$&quot;* \(#,##0.00\);_(&quot;$&quot;* &quot;-&quot;??_);_(@_)"/>
    <numFmt numFmtId="268" formatCode="0.0"/>
    <numFmt numFmtId="269" formatCode="0.00_ "/>
    <numFmt numFmtId="271" formatCode="0.00_);[Red]\(0.00\)"/>
    <numFmt numFmtId="272" formatCode="m/d;@"/>
    <numFmt numFmtId="273" formatCode="#,##0.00_ "/>
    <numFmt numFmtId="274" formatCode="d/m/yy;@"/>
  </numFmts>
  <fonts count="187">
    <font>
      <sz val="10"/>
      <name val="Arial"/>
      <charset val="134"/>
    </font>
    <font>
      <b/>
      <sz val="18"/>
      <name val="Arial"/>
      <family val="2"/>
    </font>
    <font>
      <b/>
      <sz val="18"/>
      <name val="宋体"/>
      <family val="3"/>
      <charset val="134"/>
    </font>
    <font>
      <sz val="18"/>
      <name val="宋体"/>
      <family val="3"/>
      <charset val="134"/>
    </font>
    <font>
      <b/>
      <sz val="12"/>
      <color rgb="FF002060"/>
      <name val="Arial"/>
      <family val="2"/>
    </font>
    <font>
      <sz val="7"/>
      <name val="Arial"/>
      <family val="2"/>
    </font>
    <font>
      <sz val="14"/>
      <name val="Arial"/>
      <family val="2"/>
    </font>
    <font>
      <sz val="9"/>
      <name val="Arial"/>
      <family val="2"/>
    </font>
    <font>
      <sz val="7"/>
      <color indexed="9"/>
      <name val="Arial"/>
      <family val="2"/>
    </font>
    <font>
      <sz val="10"/>
      <color theme="1"/>
      <name val="Arial"/>
      <family val="2"/>
    </font>
    <font>
      <b/>
      <sz val="12"/>
      <name val="Arial"/>
      <family val="2"/>
    </font>
    <font>
      <sz val="10"/>
      <color indexed="8"/>
      <name val="Arial"/>
      <family val="2"/>
    </font>
    <font>
      <sz val="8"/>
      <color indexed="8"/>
      <name val="Arial"/>
      <family val="2"/>
    </font>
    <font>
      <b/>
      <sz val="9"/>
      <name val="Arial"/>
      <family val="2"/>
    </font>
    <font>
      <b/>
      <sz val="7"/>
      <name val="Arial"/>
      <family val="2"/>
    </font>
    <font>
      <sz val="9"/>
      <name val="Arial Unicode MS"/>
      <family val="2"/>
      <charset val="134"/>
    </font>
    <font>
      <sz val="10"/>
      <name val="Arial Unicode MS"/>
      <family val="2"/>
      <charset val="134"/>
    </font>
    <font>
      <b/>
      <sz val="14"/>
      <name val="Arial"/>
      <family val="2"/>
    </font>
    <font>
      <b/>
      <sz val="14"/>
      <name val="Arial Unicode MS"/>
      <family val="2"/>
      <charset val="134"/>
    </font>
    <font>
      <b/>
      <sz val="14"/>
      <color rgb="FF002060"/>
      <name val="Arial"/>
      <family val="2"/>
    </font>
    <font>
      <b/>
      <sz val="14"/>
      <name val="宋体"/>
      <family val="3"/>
      <charset val="134"/>
    </font>
    <font>
      <b/>
      <sz val="10"/>
      <name val="Arial"/>
      <family val="2"/>
    </font>
    <font>
      <b/>
      <sz val="8"/>
      <color rgb="FF002060"/>
      <name val="Arial"/>
      <family val="2"/>
    </font>
    <font>
      <b/>
      <sz val="8"/>
      <color indexed="8"/>
      <name val="Arial"/>
      <family val="2"/>
    </font>
    <font>
      <b/>
      <sz val="8"/>
      <name val="Arial"/>
      <family val="2"/>
    </font>
    <font>
      <b/>
      <sz val="10"/>
      <color indexed="9"/>
      <name val="Arial"/>
      <family val="2"/>
    </font>
    <font>
      <sz val="8"/>
      <color rgb="FF002060"/>
      <name val="Arial"/>
      <family val="2"/>
    </font>
    <font>
      <sz val="8"/>
      <name val="Arial"/>
      <family val="2"/>
    </font>
    <font>
      <sz val="14"/>
      <name val="宋体"/>
      <family val="3"/>
      <charset val="134"/>
      <scheme val="major"/>
    </font>
    <font>
      <sz val="14"/>
      <color rgb="FF002060"/>
      <name val="Arial"/>
      <family val="2"/>
    </font>
    <font>
      <sz val="14"/>
      <color indexed="8"/>
      <name val="Arial"/>
      <family val="2"/>
    </font>
    <font>
      <b/>
      <sz val="10"/>
      <color rgb="FF002060"/>
      <name val="Arial"/>
      <family val="2"/>
    </font>
    <font>
      <sz val="8"/>
      <color indexed="9"/>
      <name val="Arial"/>
      <family val="2"/>
    </font>
    <font>
      <b/>
      <sz val="12"/>
      <name val="宋体"/>
      <family val="3"/>
      <charset val="134"/>
      <scheme val="major"/>
    </font>
    <font>
      <sz val="14"/>
      <color indexed="9"/>
      <name val="Arial"/>
      <family val="2"/>
    </font>
    <font>
      <sz val="11"/>
      <color indexed="8"/>
      <name val="Arial"/>
      <family val="2"/>
    </font>
    <font>
      <b/>
      <sz val="14"/>
      <color indexed="8"/>
      <name val="Arial"/>
      <family val="2"/>
    </font>
    <font>
      <b/>
      <sz val="14"/>
      <color indexed="9"/>
      <name val="Arial"/>
      <family val="2"/>
    </font>
    <font>
      <sz val="14"/>
      <color indexed="8"/>
      <name val="宋体"/>
      <family val="3"/>
      <charset val="134"/>
    </font>
    <font>
      <sz val="14"/>
      <name val="宋体"/>
      <family val="3"/>
      <charset val="134"/>
    </font>
    <font>
      <sz val="18"/>
      <name val="Arial"/>
      <family val="2"/>
    </font>
    <font>
      <sz val="18"/>
      <name val="宋体"/>
      <family val="3"/>
      <charset val="134"/>
      <scheme val="major"/>
    </font>
    <font>
      <b/>
      <sz val="18"/>
      <color indexed="9"/>
      <name val="Arial"/>
      <family val="2"/>
    </font>
    <font>
      <sz val="18"/>
      <color indexed="9"/>
      <name val="Arial"/>
      <family val="2"/>
    </font>
    <font>
      <sz val="18"/>
      <name val="FangSong"/>
      <family val="3"/>
    </font>
    <font>
      <sz val="18"/>
      <color theme="1"/>
      <name val="宋体"/>
      <family val="3"/>
      <charset val="134"/>
      <scheme val="major"/>
    </font>
    <font>
      <sz val="11"/>
      <name val="Arial"/>
      <family val="2"/>
    </font>
    <font>
      <sz val="11"/>
      <name val="宋体"/>
      <family val="3"/>
      <charset val="134"/>
      <scheme val="minor"/>
    </font>
    <font>
      <sz val="12"/>
      <name val="宋体"/>
      <family val="3"/>
      <charset val="134"/>
      <scheme val="minor"/>
    </font>
    <font>
      <b/>
      <sz val="11"/>
      <color rgb="FF002060"/>
      <name val="Arial"/>
      <family val="2"/>
    </font>
    <font>
      <b/>
      <sz val="8"/>
      <name val="宋体"/>
      <family val="3"/>
      <charset val="134"/>
    </font>
    <font>
      <b/>
      <sz val="9"/>
      <name val="Arial Unicode MS"/>
      <family val="2"/>
      <charset val="134"/>
    </font>
    <font>
      <b/>
      <sz val="8"/>
      <color rgb="FF002060"/>
      <name val="宋体"/>
      <family val="3"/>
      <charset val="134"/>
    </font>
    <font>
      <b/>
      <sz val="9"/>
      <name val="宋体"/>
      <family val="3"/>
      <charset val="134"/>
    </font>
    <font>
      <b/>
      <sz val="12"/>
      <name val="宋体"/>
      <family val="3"/>
      <charset val="134"/>
    </font>
    <font>
      <sz val="9"/>
      <color indexed="8"/>
      <name val="Arial"/>
      <family val="2"/>
    </font>
    <font>
      <sz val="8"/>
      <name val="宋体"/>
      <family val="3"/>
      <charset val="134"/>
    </font>
    <font>
      <b/>
      <sz val="8"/>
      <color indexed="9"/>
      <name val="Arial"/>
      <family val="2"/>
    </font>
    <font>
      <b/>
      <sz val="11"/>
      <name val="Arial"/>
      <family val="2"/>
    </font>
    <font>
      <b/>
      <sz val="11"/>
      <name val="宋体"/>
      <family val="3"/>
      <charset val="134"/>
      <scheme val="major"/>
    </font>
    <font>
      <b/>
      <sz val="12"/>
      <color rgb="FF00B0F0"/>
      <name val="宋体"/>
      <family val="3"/>
      <charset val="134"/>
      <scheme val="major"/>
    </font>
    <font>
      <b/>
      <sz val="12"/>
      <color theme="1"/>
      <name val="宋体"/>
      <family val="3"/>
      <charset val="134"/>
      <scheme val="major"/>
    </font>
    <font>
      <b/>
      <sz val="11"/>
      <name val="宋体"/>
      <family val="3"/>
      <charset val="134"/>
    </font>
    <font>
      <b/>
      <sz val="12"/>
      <color theme="1"/>
      <name val="Arial"/>
      <family val="2"/>
    </font>
    <font>
      <b/>
      <sz val="12"/>
      <name val="宋体"/>
      <family val="3"/>
      <charset val="134"/>
      <scheme val="minor"/>
    </font>
    <font>
      <b/>
      <sz val="12"/>
      <color theme="1"/>
      <name val="宋体"/>
      <family val="3"/>
      <charset val="134"/>
      <scheme val="minor"/>
    </font>
    <font>
      <b/>
      <sz val="12"/>
      <name val="FangSong"/>
      <family val="3"/>
    </font>
    <font>
      <b/>
      <sz val="11"/>
      <name val="FangSong"/>
      <family val="3"/>
    </font>
    <font>
      <b/>
      <sz val="11"/>
      <name val="宋体"/>
      <family val="3"/>
      <charset val="134"/>
      <scheme val="minor"/>
    </font>
    <font>
      <b/>
      <sz val="12"/>
      <color rgb="FF00B050"/>
      <name val="宋体"/>
      <family val="3"/>
      <charset val="134"/>
      <scheme val="minor"/>
    </font>
    <font>
      <b/>
      <sz val="11"/>
      <color rgb="FF00B050"/>
      <name val="宋体"/>
      <family val="3"/>
      <charset val="134"/>
      <scheme val="minor"/>
    </font>
    <font>
      <b/>
      <sz val="10"/>
      <name val="宋体"/>
      <family val="3"/>
      <charset val="134"/>
    </font>
    <font>
      <b/>
      <sz val="12"/>
      <color rgb="FF002060"/>
      <name val="宋体"/>
      <family val="3"/>
      <charset val="134"/>
    </font>
    <font>
      <b/>
      <sz val="11"/>
      <color theme="1"/>
      <name val="Arial"/>
      <family val="2"/>
    </font>
    <font>
      <sz val="12"/>
      <color theme="1"/>
      <name val="宋体"/>
      <family val="3"/>
      <charset val="134"/>
    </font>
    <font>
      <b/>
      <sz val="12"/>
      <color rgb="FF002060"/>
      <name val="宋体"/>
      <family val="3"/>
      <charset val="134"/>
      <scheme val="major"/>
    </font>
    <font>
      <b/>
      <sz val="11"/>
      <color rgb="FF002060"/>
      <name val="宋体"/>
      <family val="3"/>
      <charset val="134"/>
    </font>
    <font>
      <b/>
      <sz val="12"/>
      <color rgb="FF0070C0"/>
      <name val="宋体"/>
      <family val="3"/>
      <charset val="134"/>
    </font>
    <font>
      <b/>
      <sz val="10"/>
      <name val="宋体"/>
      <family val="3"/>
      <charset val="134"/>
      <scheme val="major"/>
    </font>
    <font>
      <sz val="11"/>
      <color indexed="9"/>
      <name val="Arial"/>
      <family val="2"/>
    </font>
    <font>
      <sz val="10"/>
      <name val="宋体"/>
      <family val="3"/>
      <charset val="134"/>
    </font>
    <font>
      <b/>
      <sz val="12"/>
      <color indexed="9"/>
      <name val="Arial"/>
      <family val="2"/>
    </font>
    <font>
      <sz val="11"/>
      <color rgb="FF002060"/>
      <name val="Arial"/>
      <family val="2"/>
    </font>
    <font>
      <b/>
      <sz val="10"/>
      <color indexed="10"/>
      <name val="Arial"/>
      <family val="2"/>
    </font>
    <font>
      <sz val="11"/>
      <name val="宋体"/>
      <family val="3"/>
      <charset val="134"/>
    </font>
    <font>
      <sz val="12"/>
      <name val="Arial"/>
      <family val="2"/>
    </font>
    <font>
      <sz val="12"/>
      <name val="宋体"/>
      <family val="3"/>
      <charset val="134"/>
    </font>
    <font>
      <sz val="12"/>
      <color indexed="9"/>
      <name val="Arial"/>
      <family val="2"/>
    </font>
    <font>
      <b/>
      <sz val="12"/>
      <color theme="1"/>
      <name val="FangSong"/>
      <family val="3"/>
    </font>
    <font>
      <sz val="7"/>
      <color indexed="8"/>
      <name val="Arial"/>
      <family val="2"/>
    </font>
    <font>
      <b/>
      <sz val="9"/>
      <color indexed="8"/>
      <name val="Arial"/>
      <family val="2"/>
    </font>
    <font>
      <b/>
      <sz val="10"/>
      <color indexed="8"/>
      <name val="Arial"/>
      <family val="2"/>
    </font>
    <font>
      <sz val="9"/>
      <color indexed="9"/>
      <name val="Arial"/>
      <family val="2"/>
    </font>
    <font>
      <b/>
      <u/>
      <sz val="10"/>
      <color indexed="8"/>
      <name val="Arial"/>
      <family val="2"/>
    </font>
    <font>
      <b/>
      <u/>
      <sz val="7"/>
      <name val="Arial"/>
      <family val="2"/>
    </font>
    <font>
      <u/>
      <sz val="9"/>
      <color indexed="12"/>
      <name val="Arial"/>
      <family val="2"/>
    </font>
    <font>
      <sz val="8"/>
      <name val="Courier New"/>
      <family val="3"/>
    </font>
    <font>
      <strike/>
      <sz val="9"/>
      <color indexed="8"/>
      <name val="Arial"/>
      <family val="2"/>
    </font>
    <font>
      <b/>
      <u/>
      <sz val="10"/>
      <name val="Arial"/>
      <family val="2"/>
    </font>
    <font>
      <sz val="10"/>
      <color indexed="10"/>
      <name val="Arial"/>
      <family val="2"/>
    </font>
    <font>
      <sz val="8.5"/>
      <name val="LinePrinter"/>
      <family val="1"/>
    </font>
    <font>
      <u/>
      <sz val="11"/>
      <color indexed="36"/>
      <name val="‚l‚r ‚oƒSƒVƒbƒN"/>
      <family val="2"/>
    </font>
    <font>
      <sz val="10"/>
      <name val="Times New Roman"/>
      <family val="1"/>
    </font>
    <font>
      <sz val="10"/>
      <color indexed="62"/>
      <name val="Arial"/>
      <family val="2"/>
    </font>
    <font>
      <b/>
      <i/>
      <sz val="16"/>
      <name val="Helv"/>
      <family val="2"/>
    </font>
    <font>
      <sz val="11"/>
      <color indexed="60"/>
      <name val="Calibri"/>
      <family val="2"/>
    </font>
    <font>
      <sz val="10"/>
      <name val="Arial Narrow"/>
      <family val="2"/>
    </font>
    <font>
      <sz val="10"/>
      <color indexed="9"/>
      <name val="Arial"/>
      <family val="2"/>
    </font>
    <font>
      <sz val="10"/>
      <name val="MS Sans Serif"/>
      <family val="1"/>
    </font>
    <font>
      <sz val="8"/>
      <name val="Times New Roman"/>
      <family val="1"/>
    </font>
    <font>
      <sz val="10"/>
      <name val="Courier"/>
      <family val="3"/>
    </font>
    <font>
      <b/>
      <sz val="10"/>
      <name val="Helv"/>
      <family val="2"/>
    </font>
    <font>
      <b/>
      <sz val="8"/>
      <name val="MS Sans Serif"/>
      <family val="2"/>
    </font>
    <font>
      <i/>
      <sz val="10"/>
      <color indexed="12"/>
      <name val="Arial"/>
      <family val="2"/>
    </font>
    <font>
      <sz val="8"/>
      <name val="MS Sans Serif"/>
      <family val="2"/>
    </font>
    <font>
      <i/>
      <sz val="10"/>
      <color indexed="11"/>
      <name val="Arial"/>
      <family val="2"/>
    </font>
    <font>
      <sz val="12"/>
      <name val="Helv"/>
      <family val="2"/>
    </font>
    <font>
      <b/>
      <sz val="10"/>
      <color indexed="52"/>
      <name val="Arial"/>
      <family val="2"/>
    </font>
    <font>
      <sz val="10"/>
      <color indexed="60"/>
      <name val="Arial"/>
      <family val="2"/>
    </font>
    <font>
      <b/>
      <sz val="8"/>
      <name val="Times New Roman"/>
      <family val="1"/>
    </font>
    <font>
      <u/>
      <sz val="11"/>
      <color indexed="12"/>
      <name val="‚l‚r ‚oƒSƒVƒbƒN"/>
      <family val="2"/>
    </font>
    <font>
      <u/>
      <sz val="10"/>
      <color indexed="12"/>
      <name val="Arial"/>
      <family val="2"/>
    </font>
    <font>
      <sz val="11"/>
      <color indexed="8"/>
      <name val="宋体"/>
      <family val="3"/>
      <charset val="134"/>
    </font>
    <font>
      <b/>
      <sz val="11"/>
      <name val="Helv"/>
      <family val="2"/>
    </font>
    <font>
      <sz val="10"/>
      <name val="Prestige Elite"/>
      <family val="1"/>
    </font>
    <font>
      <sz val="10"/>
      <color indexed="17"/>
      <name val="Arial"/>
      <family val="2"/>
    </font>
    <font>
      <sz val="9"/>
      <name val="Times New Roman"/>
      <family val="1"/>
    </font>
    <font>
      <sz val="11"/>
      <name val="‚l‚r –¾’©"/>
      <family val="2"/>
    </font>
    <font>
      <sz val="7"/>
      <name val="Small Fonts"/>
      <family val="2"/>
    </font>
    <font>
      <b/>
      <sz val="12"/>
      <name val="Helv"/>
      <family val="2"/>
    </font>
    <font>
      <sz val="10"/>
      <color indexed="20"/>
      <name val="Arial"/>
      <family val="2"/>
    </font>
    <font>
      <u/>
      <sz val="11"/>
      <color indexed="12"/>
      <name val="Arial"/>
      <family val="2"/>
    </font>
    <font>
      <sz val="11"/>
      <name val="‚l‚r ‚oƒSƒVƒbƒN"/>
      <family val="2"/>
    </font>
    <font>
      <u/>
      <sz val="10"/>
      <color theme="10"/>
      <name val="Arial"/>
      <family val="2"/>
    </font>
    <font>
      <b/>
      <sz val="11"/>
      <color indexed="62"/>
      <name val="Arial"/>
      <family val="2"/>
    </font>
    <font>
      <sz val="10"/>
      <color indexed="19"/>
      <name val="Arial"/>
      <family val="2"/>
    </font>
    <font>
      <sz val="12"/>
      <color indexed="8"/>
      <name val="Times New Roman"/>
      <family val="1"/>
    </font>
    <font>
      <sz val="10"/>
      <name val="Helv"/>
      <family val="2"/>
    </font>
    <font>
      <sz val="12"/>
      <name val="¹UAAA¼"/>
      <family val="2"/>
    </font>
    <font>
      <i/>
      <sz val="10"/>
      <color indexed="10"/>
      <name val="Arial"/>
      <family val="2"/>
    </font>
    <font>
      <u/>
      <sz val="11"/>
      <color indexed="36"/>
      <name val="lr oSVbN"/>
      <family val="1"/>
    </font>
    <font>
      <u/>
      <sz val="11"/>
      <color indexed="12"/>
      <name val="lr oSVbN"/>
      <family val="1"/>
    </font>
    <font>
      <sz val="9"/>
      <name val="lr oSVbN"/>
      <family val="1"/>
    </font>
    <font>
      <sz val="10"/>
      <name val="???"/>
      <family val="1"/>
    </font>
    <font>
      <sz val="10"/>
      <color indexed="52"/>
      <name val="Arial"/>
      <family val="2"/>
    </font>
    <font>
      <i/>
      <sz val="10"/>
      <color indexed="23"/>
      <name val="Arial"/>
      <family val="2"/>
    </font>
    <font>
      <b/>
      <sz val="10"/>
      <color indexed="63"/>
      <name val="Arial"/>
      <family val="2"/>
    </font>
    <font>
      <b/>
      <sz val="10"/>
      <name val="Times New Roman"/>
      <family val="1"/>
    </font>
    <font>
      <sz val="10"/>
      <color indexed="18"/>
      <name val="Arial"/>
      <family val="2"/>
    </font>
    <font>
      <sz val="8"/>
      <name val="helvetica"/>
      <family val="2"/>
    </font>
    <font>
      <b/>
      <sz val="15"/>
      <color indexed="62"/>
      <name val="Arial"/>
      <family val="2"/>
    </font>
    <font>
      <b/>
      <sz val="18"/>
      <color theme="3"/>
      <name val="宋体"/>
      <family val="3"/>
      <charset val="134"/>
      <scheme val="major"/>
    </font>
    <font>
      <b/>
      <sz val="10"/>
      <name val="MS Sans Serif"/>
      <family val="2"/>
    </font>
    <font>
      <b/>
      <sz val="18"/>
      <color indexed="62"/>
      <name val="宋体"/>
      <family val="3"/>
      <charset val="134"/>
    </font>
    <font>
      <sz val="8"/>
      <color indexed="19"/>
      <name val="Tahoma"/>
      <family val="2"/>
    </font>
    <font>
      <b/>
      <sz val="13"/>
      <color indexed="62"/>
      <name val="Arial"/>
      <family val="2"/>
    </font>
    <font>
      <sz val="12"/>
      <name val="뼻뮝"/>
      <charset val="134"/>
    </font>
    <font>
      <sz val="10"/>
      <name val="굴림체"/>
      <family val="3"/>
    </font>
    <font>
      <sz val="8"/>
      <color indexed="8"/>
      <name val="Times New Roman"/>
      <family val="1"/>
    </font>
    <font>
      <b/>
      <sz val="8"/>
      <color indexed="8"/>
      <name val="Times New Roman"/>
      <family val="1"/>
    </font>
    <font>
      <sz val="8"/>
      <color indexed="9"/>
      <name val="MS Sans Serif"/>
      <family val="2"/>
    </font>
    <font>
      <sz val="8"/>
      <color indexed="20"/>
      <name val="Tahoma"/>
      <family val="2"/>
    </font>
    <font>
      <i/>
      <sz val="8"/>
      <color indexed="8"/>
      <name val="Tahoma"/>
      <family val="2"/>
    </font>
    <font>
      <i/>
      <sz val="8"/>
      <color indexed="23"/>
      <name val="Tahoma"/>
      <family val="2"/>
    </font>
    <font>
      <sz val="10"/>
      <name val="Wingdings"/>
      <charset val="2"/>
    </font>
    <font>
      <sz val="14"/>
      <color rgb="FF00B0F0"/>
      <name val="宋体"/>
      <family val="3"/>
      <charset val="134"/>
      <scheme val="major"/>
    </font>
    <font>
      <sz val="14"/>
      <color theme="1"/>
      <name val="宋体"/>
      <family val="3"/>
      <charset val="134"/>
      <scheme val="major"/>
    </font>
    <font>
      <sz val="18"/>
      <color rgb="FFFF0000"/>
      <name val="宋体"/>
      <family val="3"/>
      <charset val="134"/>
      <scheme val="major"/>
    </font>
    <font>
      <sz val="18"/>
      <color rgb="FF00B0F0"/>
      <name val="宋体"/>
      <family val="3"/>
      <charset val="134"/>
      <scheme val="major"/>
    </font>
    <font>
      <b/>
      <sz val="12"/>
      <color indexed="8"/>
      <name val="宋体"/>
      <family val="3"/>
      <charset val="134"/>
    </font>
    <font>
      <b/>
      <sz val="12"/>
      <color rgb="FFFF0000"/>
      <name val="宋体"/>
      <family val="3"/>
      <charset val="134"/>
      <scheme val="major"/>
    </font>
    <font>
      <b/>
      <sz val="11"/>
      <color indexed="8"/>
      <name val="宋体"/>
      <family val="3"/>
      <charset val="134"/>
    </font>
    <font>
      <b/>
      <sz val="11"/>
      <color indexed="8"/>
      <name val="Arial"/>
      <family val="2"/>
    </font>
    <font>
      <b/>
      <sz val="12"/>
      <color indexed="30"/>
      <name val="宋体"/>
      <family val="3"/>
      <charset val="134"/>
    </font>
    <font>
      <b/>
      <sz val="12"/>
      <color rgb="FFFF0000"/>
      <name val="宋体"/>
      <family val="3"/>
      <charset val="134"/>
      <scheme val="minor"/>
    </font>
    <font>
      <b/>
      <sz val="8.4"/>
      <name val="宋体"/>
      <family val="3"/>
      <charset val="134"/>
    </font>
    <font>
      <b/>
      <u/>
      <sz val="8"/>
      <color indexed="17"/>
      <name val="Arial"/>
      <family val="2"/>
    </font>
    <font>
      <b/>
      <u/>
      <sz val="8"/>
      <color indexed="51"/>
      <name val="Arial"/>
      <family val="2"/>
    </font>
    <font>
      <b/>
      <u/>
      <sz val="8"/>
      <color indexed="10"/>
      <name val="Arial"/>
      <family val="2"/>
    </font>
    <font>
      <b/>
      <strike/>
      <sz val="10"/>
      <color indexed="10"/>
      <name val="Arial"/>
      <family val="2"/>
    </font>
    <font>
      <sz val="10"/>
      <name val="Arial"/>
      <family val="2"/>
    </font>
    <font>
      <sz val="9"/>
      <name val="宋体"/>
      <family val="3"/>
      <charset val="134"/>
    </font>
    <font>
      <b/>
      <sz val="9"/>
      <name val="Tahoma"/>
      <family val="2"/>
    </font>
    <font>
      <sz val="9"/>
      <name val="Tahoma"/>
      <family val="2"/>
    </font>
    <font>
      <b/>
      <sz val="18"/>
      <name val="宋体"/>
      <family val="3"/>
      <charset val="134"/>
      <scheme val="major"/>
    </font>
    <font>
      <sz val="14"/>
      <color rgb="FF0070C0"/>
      <name val="宋体"/>
      <family val="3"/>
      <charset val="134"/>
    </font>
    <font>
      <b/>
      <sz val="12"/>
      <color rgb="FF0070C0"/>
      <name val="宋体"/>
      <family val="3"/>
      <charset val="134"/>
      <scheme val="major"/>
    </font>
  </fonts>
  <fills count="30">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rgb="FF00B050"/>
        <bgColor indexed="64"/>
      </patternFill>
    </fill>
    <fill>
      <patternFill patternType="solid">
        <fgColor indexed="29"/>
        <bgColor indexed="64"/>
      </patternFill>
    </fill>
    <fill>
      <patternFill patternType="solid">
        <fgColor indexed="42"/>
        <bgColor indexed="64"/>
      </patternFill>
    </fill>
    <fill>
      <patternFill patternType="solid">
        <fgColor indexed="13"/>
        <bgColor indexed="64"/>
      </patternFill>
    </fill>
    <fill>
      <patternFill patternType="solid">
        <fgColor indexed="17"/>
        <bgColor indexed="64"/>
      </patternFill>
    </fill>
    <fill>
      <patternFill patternType="solid">
        <fgColor indexed="10"/>
        <bgColor indexed="64"/>
      </patternFill>
    </fill>
    <fill>
      <patternFill patternType="solid">
        <fgColor indexed="22"/>
        <bgColor indexed="64"/>
      </patternFill>
    </fill>
    <fill>
      <patternFill patternType="solid">
        <fgColor indexed="11"/>
        <bgColor indexed="64"/>
      </patternFill>
    </fill>
    <fill>
      <patternFill patternType="solid">
        <fgColor indexed="47"/>
        <bgColor indexed="64"/>
      </patternFill>
    </fill>
    <fill>
      <patternFill patternType="solid">
        <fgColor rgb="FFFFFFCC"/>
        <bgColor indexed="64"/>
      </patternFill>
    </fill>
    <fill>
      <patternFill patternType="solid">
        <fgColor indexed="43"/>
        <bgColor indexed="64"/>
      </patternFill>
    </fill>
    <fill>
      <patternFill patternType="solid">
        <fgColor indexed="55"/>
        <bgColor indexed="64"/>
      </patternFill>
    </fill>
    <fill>
      <patternFill patternType="solid">
        <fgColor indexed="53"/>
        <bgColor indexed="64"/>
      </patternFill>
    </fill>
    <fill>
      <patternFill patternType="solid">
        <fgColor indexed="44"/>
        <bgColor indexed="64"/>
      </patternFill>
    </fill>
    <fill>
      <patternFill patternType="solid">
        <fgColor indexed="31"/>
        <bgColor indexed="64"/>
      </patternFill>
    </fill>
    <fill>
      <patternFill patternType="solid">
        <fgColor indexed="25"/>
        <bgColor indexed="64"/>
      </patternFill>
    </fill>
    <fill>
      <patternFill patternType="solid">
        <fgColor indexed="46"/>
        <bgColor indexed="64"/>
      </patternFill>
    </fill>
    <fill>
      <patternFill patternType="solid">
        <fgColor indexed="26"/>
        <bgColor indexed="64"/>
      </patternFill>
    </fill>
    <fill>
      <patternFill patternType="solid">
        <fgColor indexed="49"/>
        <bgColor indexed="64"/>
      </patternFill>
    </fill>
    <fill>
      <patternFill patternType="solid">
        <fgColor indexed="27"/>
        <bgColor indexed="64"/>
      </patternFill>
    </fill>
    <fill>
      <patternFill patternType="solid">
        <fgColor indexed="57"/>
        <bgColor indexed="64"/>
      </patternFill>
    </fill>
    <fill>
      <patternFill patternType="mediumGray">
        <fgColor indexed="22"/>
      </patternFill>
    </fill>
    <fill>
      <patternFill patternType="solid">
        <fgColor indexed="22"/>
        <bgColor indexed="25"/>
      </patternFill>
    </fill>
    <fill>
      <patternFill patternType="solid">
        <fgColor indexed="15"/>
        <bgColor indexed="64"/>
      </patternFill>
    </fill>
  </fills>
  <borders count="62">
    <border>
      <left/>
      <right/>
      <top/>
      <bottom/>
      <diagonal/>
    </border>
    <border>
      <left/>
      <right/>
      <top style="thick">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ck">
        <color auto="1"/>
      </left>
      <right/>
      <top style="thick">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medium">
        <color auto="1"/>
      </left>
      <right style="thin">
        <color auto="1"/>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dashed">
        <color auto="1"/>
      </bottom>
      <diagonal/>
    </border>
    <border>
      <left style="thin">
        <color auto="1"/>
      </left>
      <right/>
      <top style="thin">
        <color auto="1"/>
      </top>
      <bottom style="dashed">
        <color auto="1"/>
      </bottom>
      <diagonal/>
    </border>
    <border>
      <left style="slantDashDot">
        <color auto="1"/>
      </left>
      <right style="thin">
        <color auto="1"/>
      </right>
      <top style="thin">
        <color auto="1"/>
      </top>
      <bottom style="thin">
        <color auto="1"/>
      </bottom>
      <diagonal/>
    </border>
    <border>
      <left style="slantDashDot">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auto="1"/>
      </top>
      <bottom style="double">
        <color auto="1"/>
      </bottom>
      <diagonal/>
    </border>
    <border>
      <left/>
      <right/>
      <top/>
      <bottom style="double">
        <color auto="1"/>
      </bottom>
      <diagonal/>
    </border>
    <border>
      <left style="thin">
        <color indexed="22"/>
      </left>
      <right style="thin">
        <color indexed="22"/>
      </right>
      <top style="thin">
        <color indexed="22"/>
      </top>
      <bottom style="thin">
        <color indexed="22"/>
      </bottom>
      <diagonal/>
    </border>
    <border>
      <left/>
      <right/>
      <top style="medium">
        <color auto="1"/>
      </top>
      <bottom style="medium">
        <color auto="1"/>
      </bottom>
      <diagonal/>
    </border>
    <border>
      <left/>
      <right/>
      <top/>
      <bottom style="medium">
        <color auto="1"/>
      </bottom>
      <diagonal/>
    </border>
    <border>
      <left/>
      <right/>
      <top/>
      <bottom style="medium">
        <color indexed="44"/>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44"/>
      </bottom>
      <diagonal/>
    </border>
    <border>
      <left/>
      <right/>
      <top style="thin">
        <color indexed="49"/>
      </top>
      <bottom style="double">
        <color indexed="49"/>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style="hair">
        <color indexed="23"/>
      </left>
      <right style="hair">
        <color indexed="23"/>
      </right>
      <top style="hair">
        <color indexed="23"/>
      </top>
      <bottom style="hair">
        <color indexed="23"/>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658">
    <xf numFmtId="0" fontId="0" fillId="0" borderId="0">
      <alignment vertical="center"/>
    </xf>
    <xf numFmtId="0" fontId="180" fillId="0" borderId="0" applyFont="0" applyFill="0" applyBorder="0" applyAlignment="0" applyProtection="0">
      <alignment vertical="center"/>
    </xf>
    <xf numFmtId="200" fontId="104" fillId="0" borderId="0">
      <alignment vertical="center"/>
    </xf>
    <xf numFmtId="200" fontId="104" fillId="0" borderId="0">
      <alignment vertical="center"/>
    </xf>
    <xf numFmtId="188" fontId="100" fillId="0" borderId="0" applyFont="0" applyFill="0" applyBorder="0" applyAlignment="0" applyProtection="0">
      <alignment vertical="center"/>
    </xf>
    <xf numFmtId="203" fontId="180" fillId="0" borderId="0" applyFont="0" applyFill="0" applyBorder="0" applyAlignment="0" applyProtection="0">
      <alignment vertical="center"/>
    </xf>
    <xf numFmtId="0" fontId="109" fillId="0" borderId="0">
      <alignment horizontal="center" vertical="center" wrapText="1"/>
      <protection locked="0"/>
    </xf>
    <xf numFmtId="231" fontId="180" fillId="0" borderId="0" applyFont="0" applyFill="0" applyBorder="0" applyAlignment="0" applyProtection="0">
      <alignment vertical="center"/>
    </xf>
    <xf numFmtId="224" fontId="108" fillId="0" borderId="9" applyFont="0" applyFill="0" applyBorder="0" applyAlignment="0">
      <alignment horizontal="center" vertical="center"/>
    </xf>
    <xf numFmtId="230" fontId="180" fillId="0" borderId="0">
      <alignment horizontal="center" vertical="center"/>
    </xf>
    <xf numFmtId="189" fontId="102" fillId="0" borderId="0" applyFont="0" applyFill="0" applyBorder="0" applyAlignment="0" applyProtection="0">
      <alignment vertical="center"/>
    </xf>
    <xf numFmtId="0" fontId="103" fillId="14" borderId="38" applyNumberFormat="0" applyAlignment="0" applyProtection="0">
      <alignment vertical="center"/>
    </xf>
    <xf numFmtId="229" fontId="180" fillId="0" borderId="0" applyFill="0" applyBorder="0" applyAlignment="0">
      <alignment vertical="center"/>
    </xf>
    <xf numFmtId="231" fontId="180" fillId="0" borderId="0" applyFont="0" applyFill="0" applyBorder="0" applyAlignment="0" applyProtection="0">
      <alignment vertical="center"/>
    </xf>
    <xf numFmtId="0" fontId="35" fillId="0" borderId="0" applyFont="0" applyFill="0" applyBorder="0" applyProtection="0">
      <alignment horizontal="centerContinuous"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21" fillId="0" borderId="0" applyNumberFormat="0" applyFill="0" applyBorder="0" applyAlignment="0" applyProtection="0">
      <alignment vertical="center"/>
    </xf>
    <xf numFmtId="37" fontId="180" fillId="0" borderId="0" applyFont="0" applyFill="0" applyBorder="0" applyAlignment="0" applyProtection="0">
      <alignment horizontal="right" vertical="center"/>
    </xf>
    <xf numFmtId="0" fontId="105" fillId="16" borderId="0" applyNumberFormat="0" applyBorder="0" applyAlignment="0" applyProtection="0">
      <alignment vertical="center"/>
    </xf>
    <xf numFmtId="0" fontId="123" fillId="0" borderId="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202" fontId="180" fillId="0" borderId="0" applyFont="0" applyFill="0" applyBorder="0" applyAlignment="0" applyProtection="0">
      <alignment vertical="center"/>
    </xf>
    <xf numFmtId="0" fontId="35" fillId="0" borderId="0" applyFont="0" applyFill="0" applyBorder="0" applyAlignment="0" applyProtection="0">
      <alignment vertical="center"/>
    </xf>
    <xf numFmtId="191" fontId="180" fillId="0" borderId="0" applyFill="0" applyBorder="0" applyAlignment="0">
      <alignment vertical="center"/>
    </xf>
    <xf numFmtId="0" fontId="103" fillId="14" borderId="38" applyNumberFormat="0" applyAlignment="0" applyProtection="0">
      <alignment vertical="center"/>
    </xf>
    <xf numFmtId="191" fontId="180" fillId="0" borderId="0" applyFill="0" applyBorder="0" applyAlignment="0">
      <alignment vertical="center"/>
    </xf>
    <xf numFmtId="206" fontId="35" fillId="12" borderId="0" applyFont="0" applyBorder="0">
      <alignment vertical="center"/>
    </xf>
    <xf numFmtId="189" fontId="102" fillId="0" borderId="0" applyFont="0" applyFill="0" applyBorder="0" applyAlignment="0" applyProtection="0">
      <alignment vertical="center"/>
    </xf>
    <xf numFmtId="0" fontId="100" fillId="0" borderId="0" applyFont="0" applyFill="0" applyBorder="0" applyAlignment="0" applyProtection="0">
      <alignment vertical="center"/>
    </xf>
    <xf numFmtId="0" fontId="103" fillId="14" borderId="38" applyNumberFormat="0" applyAlignment="0" applyProtection="0">
      <alignment vertical="center"/>
    </xf>
    <xf numFmtId="0" fontId="103" fillId="14" borderId="38" applyNumberFormat="0" applyAlignment="0" applyProtection="0">
      <alignment vertical="center"/>
    </xf>
    <xf numFmtId="191" fontId="180" fillId="0" borderId="0" applyFill="0" applyBorder="0" applyAlignment="0">
      <alignment vertical="center"/>
    </xf>
    <xf numFmtId="14" fontId="11" fillId="0" borderId="0" applyFill="0" applyBorder="0" applyAlignment="0">
      <alignment vertical="center"/>
    </xf>
    <xf numFmtId="0" fontId="180" fillId="0" borderId="0" applyFont="0" applyFill="0" applyBorder="0" applyAlignment="0" applyProtection="0">
      <alignment vertical="center"/>
    </xf>
    <xf numFmtId="0" fontId="107" fillId="18" borderId="0" applyNumberFormat="0" applyBorder="0" applyAlignment="0" applyProtection="0">
      <alignment vertical="center"/>
    </xf>
    <xf numFmtId="201" fontId="180" fillId="0" borderId="0" applyFont="0" applyFill="0" applyBorder="0" applyAlignment="0" applyProtection="0">
      <alignment vertical="center"/>
    </xf>
    <xf numFmtId="191" fontId="180" fillId="0" borderId="0" applyFill="0" applyBorder="0" applyAlignment="0">
      <alignment vertical="center"/>
    </xf>
    <xf numFmtId="0" fontId="35" fillId="0" borderId="0" applyFont="0" applyFill="0" applyBorder="0" applyAlignment="0" applyProtection="0">
      <alignment vertical="center"/>
    </xf>
    <xf numFmtId="201" fontId="180" fillId="0" borderId="0" applyFont="0" applyFill="0" applyBorder="0" applyAlignment="0" applyProtection="0">
      <alignment vertical="center"/>
    </xf>
    <xf numFmtId="192" fontId="180" fillId="0" borderId="0" applyFont="0" applyFill="0" applyBorder="0" applyAlignment="0" applyProtection="0">
      <alignment vertical="center"/>
    </xf>
    <xf numFmtId="186" fontId="110" fillId="0" borderId="0" applyFill="0" applyBorder="0" applyAlignment="0">
      <alignment vertical="center"/>
    </xf>
    <xf numFmtId="184" fontId="180" fillId="0" borderId="0" applyFont="0" applyFill="0" applyBorder="0" applyAlignment="0" applyProtection="0">
      <alignment vertical="center"/>
    </xf>
    <xf numFmtId="0" fontId="118" fillId="16" borderId="0" applyNumberFormat="0" applyBorder="0" applyAlignment="0" applyProtection="0">
      <alignment vertical="center"/>
    </xf>
    <xf numFmtId="184" fontId="180" fillId="0" borderId="0" applyFill="0" applyBorder="0" applyAlignment="0">
      <alignment vertical="center"/>
    </xf>
    <xf numFmtId="0" fontId="11" fillId="8" borderId="0" applyNumberFormat="0" applyBorder="0" applyAlignment="0" applyProtection="0">
      <alignment vertical="center"/>
    </xf>
    <xf numFmtId="237" fontId="180" fillId="12" borderId="0" applyFont="0" applyBorder="0">
      <alignment vertical="center"/>
    </xf>
    <xf numFmtId="218" fontId="180" fillId="0" borderId="0" applyFont="0" applyFill="0" applyBorder="0" applyAlignment="0" applyProtection="0">
      <alignment vertical="center"/>
    </xf>
    <xf numFmtId="184" fontId="180" fillId="0" borderId="0" applyFill="0" applyBorder="0" applyAlignment="0">
      <alignment vertical="center"/>
    </xf>
    <xf numFmtId="177" fontId="180" fillId="0" borderId="0" applyFill="0" applyBorder="0" applyAlignment="0">
      <alignment vertical="center"/>
    </xf>
    <xf numFmtId="199" fontId="46" fillId="0" borderId="15">
      <alignment vertical="top"/>
    </xf>
    <xf numFmtId="40" fontId="35" fillId="0" borderId="0" applyFont="0" applyFill="0" applyBorder="0" applyAlignment="0" applyProtection="0">
      <alignment vertical="center"/>
    </xf>
    <xf numFmtId="0" fontId="180" fillId="0" borderId="0" applyFill="0" applyBorder="0" applyAlignment="0">
      <alignment vertical="center"/>
    </xf>
    <xf numFmtId="239" fontId="180" fillId="0" borderId="11" applyBorder="0">
      <alignment vertical="center"/>
    </xf>
    <xf numFmtId="181" fontId="35" fillId="0" borderId="0" applyFont="0" applyFill="0" applyBorder="0" applyAlignment="0" applyProtection="0">
      <alignment vertical="center"/>
    </xf>
    <xf numFmtId="0" fontId="131" fillId="0" borderId="0" applyNumberFormat="0" applyFill="0" applyBorder="0" applyAlignment="0" applyProtection="0">
      <alignment vertical="center"/>
    </xf>
    <xf numFmtId="184" fontId="180" fillId="0" borderId="0" applyFont="0" applyFill="0" applyBorder="0" applyAlignment="0" applyProtection="0">
      <alignment vertical="center"/>
    </xf>
    <xf numFmtId="0" fontId="121" fillId="0" borderId="0" applyNumberFormat="0" applyFill="0" applyBorder="0" applyAlignment="0" applyProtection="0">
      <alignment vertical="center"/>
    </xf>
    <xf numFmtId="177" fontId="35" fillId="0" borderId="0" applyFont="0" applyFill="0" applyBorder="0" applyAlignment="0" applyProtection="0">
      <alignment vertical="center"/>
    </xf>
    <xf numFmtId="9" fontId="35" fillId="0" borderId="0" applyFont="0" applyFill="0" applyBorder="0" applyAlignment="0" applyProtection="0">
      <alignment horizontal="right" vertical="center"/>
    </xf>
    <xf numFmtId="0" fontId="103" fillId="14" borderId="38" applyNumberFormat="0" applyAlignment="0" applyProtection="0">
      <alignment vertical="center"/>
    </xf>
    <xf numFmtId="0" fontId="133" fillId="0" borderId="0" applyNumberFormat="0" applyFill="0" applyBorder="0" applyAlignment="0" applyProtection="0">
      <alignment vertical="center"/>
    </xf>
    <xf numFmtId="0" fontId="103" fillId="14" borderId="38" applyNumberFormat="0" applyAlignment="0" applyProtection="0">
      <alignment vertical="center"/>
    </xf>
    <xf numFmtId="192" fontId="180" fillId="0" borderId="0" applyFont="0" applyFill="0" applyBorder="0" applyAlignment="0" applyProtection="0">
      <alignment vertical="center"/>
    </xf>
    <xf numFmtId="231" fontId="180" fillId="0" borderId="0" applyFont="0" applyFill="0" applyBorder="0" applyAlignment="0" applyProtection="0">
      <alignment vertical="center"/>
    </xf>
    <xf numFmtId="0" fontId="27" fillId="0" borderId="0" applyFont="0" applyFill="0" applyBorder="0" applyAlignment="0" applyProtection="0">
      <alignment vertical="center"/>
    </xf>
    <xf numFmtId="0" fontId="103" fillId="14" borderId="38" applyNumberFormat="0" applyAlignment="0" applyProtection="0">
      <alignment vertical="center"/>
    </xf>
    <xf numFmtId="0" fontId="134" fillId="0" borderId="45" applyNumberFormat="0" applyFill="0" applyAlignment="0" applyProtection="0">
      <alignment vertical="center"/>
    </xf>
    <xf numFmtId="237" fontId="180" fillId="12" borderId="0" applyFont="0" applyBorder="0">
      <alignment vertical="center"/>
    </xf>
    <xf numFmtId="205" fontId="180" fillId="0" borderId="0">
      <alignment horizontal="right" vertical="center"/>
    </xf>
    <xf numFmtId="14" fontId="11" fillId="0" borderId="0" applyFill="0" applyBorder="0" applyAlignment="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35" fillId="0" borderId="0" applyFont="0" applyFill="0" applyBorder="0" applyAlignment="0" applyProtection="0">
      <alignment vertical="center"/>
    </xf>
    <xf numFmtId="229" fontId="180" fillId="0" borderId="0" applyFill="0" applyBorder="0" applyAlignment="0">
      <alignment vertical="center"/>
    </xf>
    <xf numFmtId="192" fontId="180" fillId="0" borderId="0" applyFont="0" applyFill="0" applyBorder="0" applyAlignment="0" applyProtection="0">
      <alignment vertical="center"/>
    </xf>
    <xf numFmtId="0" fontId="180" fillId="0" borderId="0" applyFont="0" applyFill="0" applyBorder="0" applyAlignment="0" applyProtection="0">
      <alignment vertical="center"/>
    </xf>
    <xf numFmtId="231" fontId="180" fillId="0" borderId="0" applyFont="0" applyFill="0" applyBorder="0" applyAlignment="0" applyProtection="0">
      <alignment vertical="center"/>
    </xf>
    <xf numFmtId="0" fontId="180" fillId="0" borderId="0" applyFont="0" applyFill="0" applyBorder="0" applyAlignment="0" applyProtection="0">
      <alignment vertical="center"/>
    </xf>
    <xf numFmtId="23" fontId="137" fillId="0" borderId="0" applyFont="0" applyFill="0" applyBorder="0" applyProtection="0">
      <alignment horizontal="right" vertical="center"/>
    </xf>
    <xf numFmtId="0" fontId="180" fillId="0" borderId="0">
      <alignment vertical="center"/>
    </xf>
    <xf numFmtId="245" fontId="110" fillId="0" borderId="0" applyFill="0" applyBorder="0" applyAlignment="0">
      <alignment vertical="center"/>
    </xf>
    <xf numFmtId="203" fontId="180" fillId="0" borderId="0" applyFont="0" applyFill="0" applyBorder="0" applyAlignment="0" applyProtection="0">
      <alignment vertical="center"/>
    </xf>
    <xf numFmtId="0" fontId="180" fillId="0" borderId="0" applyFont="0" applyFill="0" applyBorder="0" applyAlignment="0" applyProtection="0">
      <alignment vertical="center"/>
    </xf>
    <xf numFmtId="240" fontId="180" fillId="0" borderId="0">
      <alignment horizontal="righ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07" fillId="24" borderId="0" applyNumberFormat="0" applyBorder="0" applyAlignment="0" applyProtection="0">
      <alignment vertical="center"/>
    </xf>
    <xf numFmtId="240" fontId="180" fillId="0" borderId="0">
      <alignment horizontal="righ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ill="0" applyBorder="0" applyAlignment="0">
      <alignment vertical="center"/>
    </xf>
    <xf numFmtId="208" fontId="110" fillId="0" borderId="0" applyFill="0" applyBorder="0" applyAlignment="0">
      <alignment vertical="center"/>
    </xf>
    <xf numFmtId="0" fontId="180" fillId="0" borderId="0" applyFont="0" applyFill="0" applyBorder="0" applyAlignment="0" applyProtection="0">
      <alignment vertical="center"/>
    </xf>
    <xf numFmtId="245" fontId="110" fillId="0" borderId="0" applyFill="0" applyBorder="0" applyAlignment="0">
      <alignment vertical="center"/>
    </xf>
    <xf numFmtId="0" fontId="180" fillId="0" borderId="0" applyFont="0" applyFill="0" applyBorder="0" applyAlignment="0" applyProtection="0">
      <alignment vertical="center"/>
    </xf>
    <xf numFmtId="208" fontId="110" fillId="0" borderId="0" applyFill="0" applyBorder="0" applyAlignment="0">
      <alignment vertical="center"/>
    </xf>
    <xf numFmtId="0" fontId="180" fillId="0" borderId="0" applyFont="0" applyFill="0" applyBorder="0" applyAlignment="0" applyProtection="0">
      <alignment vertical="center"/>
    </xf>
    <xf numFmtId="0" fontId="180" fillId="0" borderId="0" applyProtection="0">
      <alignment vertical="center"/>
    </xf>
    <xf numFmtId="0" fontId="180" fillId="0" borderId="0" applyFont="0" applyFill="0" applyBorder="0" applyAlignment="0" applyProtection="0">
      <alignment vertical="center"/>
    </xf>
    <xf numFmtId="0" fontId="106" fillId="0" borderId="0">
      <alignment vertical="center"/>
    </xf>
    <xf numFmtId="0" fontId="180" fillId="0" borderId="0" applyFont="0" applyFill="0" applyBorder="0" applyAlignment="0" applyProtection="0">
      <alignment vertical="center"/>
    </xf>
    <xf numFmtId="0" fontId="116" fillId="0" borderId="14" applyBorder="0">
      <alignment vertical="center"/>
    </xf>
    <xf numFmtId="0" fontId="180" fillId="0" borderId="0" applyFont="0" applyFill="0" applyBorder="0" applyAlignment="0" applyProtection="0">
      <alignment vertical="center"/>
    </xf>
    <xf numFmtId="208" fontId="110" fillId="0" borderId="0" applyFont="0" applyFill="0" applyBorder="0" applyAlignment="0" applyProtection="0">
      <alignment vertical="center"/>
    </xf>
    <xf numFmtId="212" fontId="132" fillId="0" borderId="0" applyFont="0" applyFill="0" applyBorder="0" applyAlignment="0" applyProtection="0">
      <alignment vertical="center"/>
    </xf>
    <xf numFmtId="190" fontId="180" fillId="0" borderId="0" applyFont="0" applyFill="0" applyBorder="0" applyAlignment="0" applyProtection="0">
      <alignment vertical="center"/>
    </xf>
    <xf numFmtId="0" fontId="180" fillId="0" borderId="0">
      <alignment vertical="center"/>
    </xf>
    <xf numFmtId="0" fontId="35" fillId="0" borderId="0" applyFont="0" applyFill="0" applyBorder="0" applyAlignment="0" applyProtection="0">
      <alignment vertical="center"/>
    </xf>
    <xf numFmtId="0" fontId="27" fillId="0" borderId="0" applyFont="0" applyFill="0" applyBorder="0" applyAlignment="0" applyProtection="0">
      <alignment vertical="center"/>
    </xf>
    <xf numFmtId="220" fontId="180" fillId="0" borderId="0" applyFont="0" applyFill="0" applyBorder="0" applyAlignment="0" applyProtection="0">
      <alignment vertical="center"/>
    </xf>
    <xf numFmtId="0" fontId="107" fillId="11" borderId="0" applyNumberFormat="0" applyBorder="0" applyAlignment="0" applyProtection="0">
      <alignment vertical="center"/>
    </xf>
    <xf numFmtId="220" fontId="180" fillId="0" borderId="0" applyFont="0" applyFill="0" applyBorder="0" applyAlignment="0" applyProtection="0">
      <alignment vertical="center"/>
    </xf>
    <xf numFmtId="232" fontId="35" fillId="0" borderId="0" applyFont="0" applyFill="0" applyBorder="0" applyAlignment="0" applyProtection="0">
      <alignment vertical="center"/>
    </xf>
    <xf numFmtId="220" fontId="180" fillId="0" borderId="0" applyFont="0" applyFill="0" applyBorder="0" applyAlignment="0" applyProtection="0">
      <alignment vertical="center"/>
    </xf>
    <xf numFmtId="37" fontId="180" fillId="0" borderId="0" applyFont="0" applyFill="0" applyBorder="0" applyAlignment="0" applyProtection="0">
      <alignment horizontal="right" vertical="center"/>
    </xf>
    <xf numFmtId="0" fontId="35" fillId="0" borderId="0" applyFont="0" applyFill="0" applyBorder="0" applyAlignment="0" applyProtection="0">
      <alignment vertical="center"/>
    </xf>
    <xf numFmtId="0" fontId="35" fillId="0" borderId="0" applyFont="0" applyFill="0" applyBorder="0" applyAlignment="0" applyProtection="0">
      <alignment vertical="center"/>
    </xf>
    <xf numFmtId="250" fontId="180" fillId="0" borderId="0" applyFont="0" applyFill="0" applyBorder="0" applyAlignment="0" applyProtection="0">
      <alignment vertical="center"/>
    </xf>
    <xf numFmtId="224" fontId="108" fillId="0" borderId="9" applyFont="0" applyFill="0" applyBorder="0" applyAlignment="0">
      <alignment horizontal="center" vertical="center"/>
    </xf>
    <xf numFmtId="0" fontId="180" fillId="0" borderId="0" applyFont="0" applyFill="0" applyBorder="0" applyAlignment="0" applyProtection="0">
      <alignment vertical="center"/>
    </xf>
    <xf numFmtId="240" fontId="180" fillId="0" borderId="0">
      <alignment horizontal="right" vertical="center"/>
    </xf>
    <xf numFmtId="0" fontId="180" fillId="0" borderId="0" applyFont="0" applyFill="0" applyBorder="0" applyAlignment="0" applyProtection="0">
      <alignment vertical="center"/>
    </xf>
    <xf numFmtId="0" fontId="108" fillId="0" borderId="0" applyFont="0" applyFill="0" applyBorder="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190" fontId="180" fillId="0" borderId="0" applyFont="0" applyFill="0" applyBorder="0" applyAlignment="0" applyProtection="0">
      <alignment vertical="center"/>
    </xf>
    <xf numFmtId="210" fontId="180" fillId="0" borderId="0">
      <alignment horizontal="right" vertical="center"/>
    </xf>
    <xf numFmtId="184" fontId="180" fillId="0" borderId="0" applyFill="0" applyBorder="0" applyAlignment="0">
      <alignment vertical="center"/>
    </xf>
    <xf numFmtId="0" fontId="180" fillId="0" borderId="0" applyFont="0" applyFill="0" applyBorder="0" applyAlignment="0" applyProtection="0">
      <alignment vertical="center"/>
    </xf>
    <xf numFmtId="19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9" fontId="124" fillId="0" borderId="0" applyFont="0" applyFill="0" applyBorder="0" applyAlignment="0" applyProtection="0">
      <alignment vertical="center"/>
    </xf>
    <xf numFmtId="193" fontId="100" fillId="0" borderId="0" applyFont="0" applyFill="0" applyBorder="0" applyAlignment="0" applyProtection="0">
      <alignment vertical="center"/>
    </xf>
    <xf numFmtId="40" fontId="108" fillId="0" borderId="0" applyFont="0" applyFill="0" applyBorder="0" applyAlignment="0" applyProtection="0">
      <alignment vertical="center"/>
    </xf>
    <xf numFmtId="0" fontId="180" fillId="0" borderId="0" applyFill="0" applyBorder="0" applyAlignment="0">
      <alignment vertical="center"/>
    </xf>
    <xf numFmtId="0" fontId="35" fillId="0" borderId="0" applyFont="0" applyFill="0" applyBorder="0" applyAlignment="0" applyProtection="0">
      <alignment vertical="center"/>
    </xf>
    <xf numFmtId="0" fontId="11" fillId="19" borderId="0" applyNumberFormat="0" applyBorder="0" applyAlignment="0" applyProtection="0">
      <alignment vertical="center"/>
    </xf>
    <xf numFmtId="241" fontId="180" fillId="0" borderId="0" applyFont="0" applyFill="0" applyBorder="0" applyAlignment="0" applyProtection="0">
      <alignment vertical="center"/>
    </xf>
    <xf numFmtId="180" fontId="35" fillId="0" borderId="0" applyFont="0" applyFill="0" applyBorder="0" applyAlignment="0" applyProtection="0">
      <alignment vertical="center"/>
    </xf>
    <xf numFmtId="241" fontId="180" fillId="0" borderId="0" applyFont="0" applyFill="0" applyBorder="0" applyAlignment="0" applyProtection="0">
      <alignment vertical="center"/>
    </xf>
    <xf numFmtId="241" fontId="180" fillId="0" borderId="0" applyFont="0" applyFill="0" applyBorder="0" applyAlignment="0" applyProtection="0">
      <alignment vertical="center"/>
    </xf>
    <xf numFmtId="0" fontId="35" fillId="0" borderId="0" applyFont="0" applyFill="0" applyBorder="0" applyAlignment="0" applyProtection="0">
      <alignment vertical="center"/>
    </xf>
    <xf numFmtId="0" fontId="35" fillId="0" borderId="0" applyFont="0" applyFill="0" applyBorder="0" applyAlignment="0" applyProtection="0">
      <alignment vertical="center"/>
    </xf>
    <xf numFmtId="202" fontId="180" fillId="0" borderId="0" applyFont="0" applyFill="0" applyBorder="0" applyAlignment="0" applyProtection="0">
      <alignment vertical="center"/>
    </xf>
    <xf numFmtId="0" fontId="100" fillId="0" borderId="0" applyFont="0" applyFill="0" applyBorder="0" applyAlignment="0" applyProtection="0">
      <alignment vertical="center"/>
    </xf>
    <xf numFmtId="10" fontId="100" fillId="0" borderId="0" applyFont="0" applyFill="0" applyBorder="0" applyAlignment="0" applyProtection="0">
      <alignment vertical="center"/>
    </xf>
    <xf numFmtId="252" fontId="35" fillId="0" borderId="0" applyFont="0" applyFill="0" applyBorder="0" applyAlignment="0" applyProtection="0">
      <alignment horizontal="right" vertical="center"/>
    </xf>
    <xf numFmtId="205" fontId="180" fillId="0" borderId="0">
      <alignment horizontal="right" vertical="center"/>
    </xf>
    <xf numFmtId="253" fontId="180" fillId="0" borderId="0">
      <alignment vertical="center"/>
    </xf>
    <xf numFmtId="10" fontId="35" fillId="0" borderId="0" applyFont="0" applyFill="0" applyBorder="0" applyAlignment="0" applyProtection="0">
      <alignment horizontal="right" vertical="center"/>
    </xf>
    <xf numFmtId="228" fontId="180" fillId="0" borderId="0" applyFont="0" applyFill="0" applyBorder="0" applyAlignment="0" applyProtection="0">
      <alignment vertical="center"/>
    </xf>
    <xf numFmtId="0" fontId="35" fillId="0" borderId="0" applyFont="0" applyFill="0" applyBorder="0" applyAlignment="0" applyProtection="0">
      <alignment vertical="center"/>
    </xf>
    <xf numFmtId="0" fontId="103" fillId="14" borderId="38" applyNumberFormat="0" applyAlignment="0" applyProtection="0">
      <alignment vertical="center"/>
    </xf>
    <xf numFmtId="248" fontId="35" fillId="0" borderId="0" applyFont="0" applyFill="0" applyBorder="0" applyAlignment="0" applyProtection="0">
      <alignment vertical="center"/>
    </xf>
    <xf numFmtId="204" fontId="180" fillId="0" borderId="0" applyFont="0" applyFill="0" applyBorder="0" applyAlignment="0" applyProtection="0">
      <alignment vertical="center"/>
    </xf>
    <xf numFmtId="40" fontId="35" fillId="0" borderId="0" applyFont="0" applyFill="0" applyBorder="0" applyAlignment="0" applyProtection="0">
      <alignment vertical="center"/>
    </xf>
    <xf numFmtId="38" fontId="35" fillId="0" borderId="0" applyFont="0" applyFill="0" applyBorder="0" applyAlignment="0" applyProtection="0">
      <alignment vertical="center"/>
    </xf>
    <xf numFmtId="0" fontId="144" fillId="0" borderId="46" applyNumberFormat="0" applyFill="0" applyAlignment="0" applyProtection="0">
      <alignment vertical="center"/>
    </xf>
    <xf numFmtId="0" fontId="11" fillId="25" borderId="0" applyNumberFormat="0" applyBorder="0" applyAlignment="0" applyProtection="0">
      <alignment vertical="center"/>
    </xf>
    <xf numFmtId="10" fontId="35" fillId="0" borderId="0" applyFont="0" applyFill="0" applyBorder="0" applyAlignment="0" applyProtection="0">
      <alignment vertical="center"/>
    </xf>
    <xf numFmtId="195" fontId="109" fillId="0" borderId="0" applyFont="0" applyFill="0" applyBorder="0" applyAlignment="0" applyProtection="0">
      <alignment vertical="center"/>
    </xf>
    <xf numFmtId="0" fontId="143" fillId="0" borderId="0">
      <alignment vertical="center"/>
    </xf>
    <xf numFmtId="178" fontId="180" fillId="0" borderId="0" applyFont="0" applyFill="0" applyBorder="0" applyAlignment="0" applyProtection="0">
      <alignment vertical="center"/>
    </xf>
    <xf numFmtId="0" fontId="180" fillId="0" borderId="0">
      <alignment vertical="center"/>
    </xf>
    <xf numFmtId="0" fontId="180" fillId="0" borderId="0">
      <alignment vertical="center"/>
    </xf>
    <xf numFmtId="0" fontId="101" fillId="0" borderId="0" applyNumberFormat="0" applyFill="0" applyBorder="0" applyAlignment="0" applyProtection="0">
      <alignment vertical="top"/>
      <protection locked="0"/>
    </xf>
    <xf numFmtId="0" fontId="123" fillId="0" borderId="44">
      <alignment vertical="center"/>
    </xf>
    <xf numFmtId="0" fontId="101" fillId="0" borderId="0" applyNumberFormat="0" applyFill="0" applyBorder="0" applyAlignment="0" applyProtection="0">
      <alignment vertical="top"/>
      <protection locked="0"/>
    </xf>
    <xf numFmtId="0" fontId="101" fillId="0" borderId="0" applyNumberFormat="0" applyFill="0" applyBorder="0" applyAlignment="0" applyProtection="0">
      <alignment vertical="top"/>
      <protection locked="0"/>
    </xf>
    <xf numFmtId="0" fontId="180" fillId="0" borderId="0">
      <alignment vertical="center"/>
    </xf>
    <xf numFmtId="190" fontId="180" fillId="0" borderId="0" applyFont="0" applyFill="0" applyBorder="0" applyAlignment="0" applyProtection="0">
      <alignment vertical="center"/>
    </xf>
    <xf numFmtId="0" fontId="180" fillId="0" borderId="0">
      <alignment vertical="center"/>
    </xf>
    <xf numFmtId="183" fontId="180" fillId="0" borderId="0" applyFont="0" applyFill="0" applyBorder="0" applyAlignment="0" applyProtection="0">
      <alignment vertical="center"/>
    </xf>
    <xf numFmtId="0" fontId="140" fillId="0" borderId="0" applyNumberFormat="0" applyFill="0" applyBorder="0" applyAlignment="0" applyProtection="0">
      <alignment vertical="top"/>
      <protection locked="0"/>
    </xf>
    <xf numFmtId="0" fontId="27" fillId="0" borderId="0" applyFont="0" applyFill="0" applyBorder="0" applyAlignment="0" applyProtection="0">
      <alignment vertical="center"/>
    </xf>
    <xf numFmtId="0" fontId="141" fillId="0" borderId="0" applyNumberFormat="0" applyFill="0" applyBorder="0" applyAlignment="0" applyProtection="0">
      <alignment vertical="top"/>
      <protection locked="0"/>
    </xf>
    <xf numFmtId="238" fontId="180" fillId="0" borderId="0" applyFont="0" applyFill="0" applyBorder="0" applyAlignment="0" applyProtection="0">
      <alignment vertical="center"/>
    </xf>
    <xf numFmtId="222" fontId="119" fillId="0" borderId="0">
      <alignment horizontal="center" vertical="center"/>
    </xf>
    <xf numFmtId="0" fontId="142" fillId="0" borderId="0">
      <alignment vertical="center"/>
    </xf>
    <xf numFmtId="192" fontId="180" fillId="0" borderId="0" applyFont="0" applyFill="0" applyBorder="0" applyAlignment="0" applyProtection="0">
      <alignment vertical="center"/>
    </xf>
    <xf numFmtId="231" fontId="180" fillId="0" borderId="0" applyFont="0" applyFill="0" applyBorder="0" applyAlignment="0" applyProtection="0">
      <alignment vertical="center"/>
    </xf>
    <xf numFmtId="192" fontId="180" fillId="0" borderId="0" applyFont="0" applyFill="0" applyBorder="0" applyAlignment="0" applyProtection="0">
      <alignment vertical="center"/>
    </xf>
    <xf numFmtId="231" fontId="180" fillId="0" borderId="0" applyFont="0" applyFill="0" applyBorder="0" applyAlignment="0" applyProtection="0">
      <alignment vertical="center"/>
    </xf>
    <xf numFmtId="0" fontId="35" fillId="0" borderId="0" applyFont="0" applyFill="0" applyBorder="0" applyAlignment="0" applyProtection="0">
      <alignment vertical="center"/>
    </xf>
    <xf numFmtId="0" fontId="123" fillId="0" borderId="0">
      <alignment vertical="center"/>
    </xf>
    <xf numFmtId="0" fontId="35" fillId="0" borderId="0" applyFont="0" applyFill="0" applyBorder="0" applyAlignment="0" applyProtection="0">
      <alignment vertical="center"/>
    </xf>
    <xf numFmtId="0" fontId="27" fillId="0" borderId="0" applyFont="0" applyFill="0" applyBorder="0" applyAlignment="0" applyProtection="0">
      <alignment vertical="center"/>
    </xf>
    <xf numFmtId="40" fontId="100" fillId="0" borderId="0" applyFont="0" applyFill="0" applyBorder="0" applyAlignment="0" applyProtection="0">
      <alignment vertical="center"/>
    </xf>
    <xf numFmtId="40" fontId="35" fillId="0" borderId="0" applyFont="0" applyFill="0" applyBorder="0" applyAlignment="0" applyProtection="0">
      <alignment vertical="center"/>
    </xf>
    <xf numFmtId="236" fontId="180" fillId="0" borderId="0">
      <alignment vertical="center"/>
    </xf>
    <xf numFmtId="0" fontId="35" fillId="0" borderId="0" applyFont="0" applyFill="0" applyBorder="0" applyAlignment="0" applyProtection="0">
      <alignment vertical="center"/>
    </xf>
    <xf numFmtId="0" fontId="35" fillId="0" borderId="0" applyFont="0" applyFill="0" applyBorder="0" applyAlignment="0" applyProtection="0">
      <alignment vertical="center"/>
    </xf>
    <xf numFmtId="0" fontId="35" fillId="0" borderId="0" applyFont="0" applyFill="0" applyBorder="0" applyAlignment="0" applyProtection="0">
      <alignment vertical="center"/>
    </xf>
    <xf numFmtId="184" fontId="180" fillId="0" borderId="0" applyFill="0" applyBorder="0" applyAlignment="0">
      <alignment vertical="center"/>
    </xf>
    <xf numFmtId="0" fontId="114" fillId="11" borderId="8" applyNumberFormat="0" applyFont="0" applyAlignment="0" applyProtection="0">
      <alignment horizontal="left" vertical="center"/>
    </xf>
    <xf numFmtId="0" fontId="35" fillId="0" borderId="0" applyFont="0" applyFill="0" applyBorder="0" applyAlignment="0" applyProtection="0">
      <alignment vertical="center"/>
    </xf>
    <xf numFmtId="0" fontId="123" fillId="0" borderId="44">
      <alignment vertical="center"/>
    </xf>
    <xf numFmtId="190" fontId="35" fillId="0" borderId="0" applyFont="0" applyFill="0" applyBorder="0" applyAlignment="0" applyProtection="0">
      <alignment vertical="center"/>
    </xf>
    <xf numFmtId="192" fontId="35" fillId="0" borderId="0" applyFont="0" applyFill="0" applyBorder="0" applyAlignment="0" applyProtection="0">
      <alignment vertical="center"/>
    </xf>
    <xf numFmtId="0" fontId="129" fillId="0" borderId="0">
      <alignment horizontal="left" vertical="center"/>
    </xf>
    <xf numFmtId="242" fontId="180" fillId="0" borderId="0" applyFont="0" applyFill="0" applyBorder="0" applyAlignment="0" applyProtection="0">
      <alignment vertical="center"/>
    </xf>
    <xf numFmtId="242" fontId="180" fillId="0" borderId="0" applyFont="0" applyFill="0" applyBorder="0" applyAlignment="0" applyProtection="0">
      <alignment vertical="center"/>
    </xf>
    <xf numFmtId="0" fontId="10" fillId="0" borderId="43" applyNumberFormat="0" applyAlignment="0" applyProtection="0">
      <alignment horizontal="left" vertical="center"/>
    </xf>
    <xf numFmtId="242" fontId="180" fillId="0" borderId="0" applyFont="0" applyFill="0" applyBorder="0" applyAlignment="0" applyProtection="0">
      <alignment vertical="center"/>
    </xf>
    <xf numFmtId="201" fontId="180" fillId="0" borderId="0" applyFont="0" applyFill="0" applyBorder="0" applyAlignment="0" applyProtection="0">
      <alignment vertical="center"/>
    </xf>
    <xf numFmtId="0" fontId="35" fillId="0" borderId="0" applyFont="0" applyFill="0" applyBorder="0" applyAlignment="0" applyProtection="0">
      <alignment vertical="center"/>
    </xf>
    <xf numFmtId="181" fontId="35" fillId="0" borderId="0" applyFont="0" applyFill="0" applyBorder="0" applyAlignment="0" applyProtection="0">
      <alignment vertical="center"/>
    </xf>
    <xf numFmtId="181" fontId="35" fillId="0" borderId="0" applyFont="0" applyFill="0" applyBorder="0" applyAlignment="0" applyProtection="0">
      <alignment vertical="center"/>
    </xf>
    <xf numFmtId="231" fontId="180" fillId="0" borderId="0" applyFont="0" applyFill="0" applyBorder="0" applyAlignment="0" applyProtection="0">
      <alignment vertical="center"/>
    </xf>
    <xf numFmtId="231" fontId="180" fillId="0" borderId="0" applyFont="0" applyFill="0" applyBorder="0" applyAlignment="0" applyProtection="0">
      <alignment vertical="center"/>
    </xf>
    <xf numFmtId="231" fontId="180" fillId="0" borderId="0" applyFont="0" applyFill="0" applyBorder="0" applyAlignment="0" applyProtection="0">
      <alignment vertical="center"/>
    </xf>
    <xf numFmtId="201" fontId="180" fillId="0" borderId="0" applyFont="0" applyFill="0" applyBorder="0" applyAlignment="0" applyProtection="0">
      <alignment vertical="center"/>
    </xf>
    <xf numFmtId="197" fontId="180" fillId="0" borderId="0">
      <alignment vertical="center"/>
    </xf>
    <xf numFmtId="255" fontId="35" fillId="0" borderId="0" applyFont="0" applyFill="0" applyBorder="0" applyAlignment="0" applyProtection="0">
      <alignment vertical="center"/>
    </xf>
    <xf numFmtId="217" fontId="180" fillId="0" borderId="0" applyFont="0" applyFill="0" applyBorder="0" applyAlignment="0" applyProtection="0">
      <alignment vertical="center"/>
    </xf>
    <xf numFmtId="229" fontId="180" fillId="0" borderId="0" applyFill="0" applyBorder="0" applyAlignment="0">
      <alignment vertical="center"/>
    </xf>
    <xf numFmtId="231" fontId="180" fillId="0" borderId="0" applyFont="0" applyFill="0" applyBorder="0" applyAlignment="0" applyProtection="0">
      <alignment vertical="center"/>
    </xf>
    <xf numFmtId="0" fontId="1" fillId="0" borderId="0" applyProtection="0">
      <alignment vertical="center"/>
    </xf>
    <xf numFmtId="0" fontId="35" fillId="0" borderId="0" applyFont="0" applyFill="0" applyBorder="0" applyAlignment="0" applyProtection="0">
      <alignment vertical="center"/>
    </xf>
    <xf numFmtId="190" fontId="35" fillId="0" borderId="0" applyFont="0" applyFill="0" applyBorder="0" applyAlignment="0" applyProtection="0">
      <alignment vertical="center"/>
    </xf>
    <xf numFmtId="190" fontId="35" fillId="0" borderId="0" applyFont="0" applyFill="0" applyBorder="0" applyAlignment="0" applyProtection="0">
      <alignment vertical="center"/>
    </xf>
    <xf numFmtId="192" fontId="35" fillId="0" borderId="0" applyFont="0" applyFill="0" applyBorder="0" applyAlignment="0" applyProtection="0">
      <alignment vertical="center"/>
    </xf>
    <xf numFmtId="192" fontId="180" fillId="0" borderId="0" applyFont="0" applyFill="0" applyBorder="0" applyAlignment="0" applyProtection="0">
      <alignment vertical="center"/>
    </xf>
    <xf numFmtId="0" fontId="180" fillId="0" borderId="0">
      <alignment vertical="center"/>
    </xf>
    <xf numFmtId="190" fontId="35" fillId="0" borderId="0" applyFont="0" applyFill="0" applyBorder="0" applyAlignment="0" applyProtection="0">
      <alignment vertical="center"/>
    </xf>
    <xf numFmtId="244" fontId="35" fillId="0" borderId="0" applyFont="0" applyFill="0" applyBorder="0" applyAlignment="0" applyProtection="0">
      <alignment vertical="center"/>
    </xf>
    <xf numFmtId="257" fontId="35" fillId="0" borderId="0" applyFont="0" applyFill="0" applyBorder="0" applyAlignment="0" applyProtection="0">
      <alignment vertical="center"/>
    </xf>
    <xf numFmtId="190" fontId="35" fillId="0" borderId="0" applyFont="0" applyFill="0" applyBorder="0" applyAlignment="0" applyProtection="0">
      <alignment vertical="center"/>
    </xf>
    <xf numFmtId="190" fontId="35" fillId="0" borderId="0" applyFont="0" applyFill="0" applyBorder="0" applyAlignment="0" applyProtection="0">
      <alignment vertical="center"/>
    </xf>
    <xf numFmtId="0" fontId="10" fillId="0" borderId="0" applyProtection="0">
      <alignment vertical="center"/>
    </xf>
    <xf numFmtId="201" fontId="180" fillId="0" borderId="0" applyFont="0" applyFill="0" applyBorder="0" applyAlignment="0" applyProtection="0">
      <alignment vertical="center"/>
    </xf>
    <xf numFmtId="198" fontId="180" fillId="0" borderId="0" applyFont="0" applyFill="0" applyBorder="0" applyAlignment="0" applyProtection="0">
      <alignment vertical="center"/>
    </xf>
    <xf numFmtId="201" fontId="180" fillId="0" borderId="0" applyFont="0" applyFill="0" applyBorder="0" applyAlignment="0" applyProtection="0">
      <alignment vertical="center"/>
    </xf>
    <xf numFmtId="201" fontId="180" fillId="0" borderId="0" applyFont="0" applyFill="0" applyBorder="0" applyAlignment="0" applyProtection="0">
      <alignment vertical="center"/>
    </xf>
    <xf numFmtId="243" fontId="180" fillId="0" borderId="0">
      <alignment horizontal="right" vertical="center"/>
    </xf>
    <xf numFmtId="201" fontId="180" fillId="0" borderId="0" applyFont="0" applyFill="0" applyBorder="0" applyAlignment="0" applyProtection="0">
      <alignment vertical="center"/>
    </xf>
    <xf numFmtId="0" fontId="102" fillId="0" borderId="0">
      <alignment vertical="center"/>
    </xf>
    <xf numFmtId="0" fontId="35" fillId="0" borderId="0" applyFont="0" applyFill="0" applyBorder="0" applyAlignment="0" applyProtection="0">
      <alignment vertical="center"/>
    </xf>
    <xf numFmtId="201" fontId="180" fillId="0" borderId="0" applyFont="0" applyFill="0" applyBorder="0" applyAlignment="0" applyProtection="0">
      <alignment vertical="center"/>
    </xf>
    <xf numFmtId="238" fontId="180" fillId="0" borderId="0" applyFont="0" applyFill="0" applyBorder="0" applyAlignment="0" applyProtection="0">
      <alignment vertical="center"/>
    </xf>
    <xf numFmtId="0" fontId="123" fillId="0" borderId="0">
      <alignment vertical="center"/>
    </xf>
    <xf numFmtId="201" fontId="180" fillId="0" borderId="0" applyFont="0" applyFill="0" applyBorder="0" applyAlignment="0" applyProtection="0">
      <alignment vertical="center"/>
    </xf>
    <xf numFmtId="231" fontId="180" fillId="0" borderId="0" applyFont="0" applyFill="0" applyBorder="0" applyAlignment="0" applyProtection="0">
      <alignment vertical="center"/>
    </xf>
    <xf numFmtId="231" fontId="180" fillId="0" borderId="0" applyFont="0" applyFill="0" applyBorder="0" applyAlignment="0" applyProtection="0">
      <alignment vertical="center"/>
    </xf>
    <xf numFmtId="231" fontId="180" fillId="0" borderId="0" applyFont="0" applyFill="0" applyBorder="0" applyAlignment="0" applyProtection="0">
      <alignment vertical="center"/>
    </xf>
    <xf numFmtId="0" fontId="35" fillId="0" borderId="0" applyFont="0" applyFill="0" applyBorder="0" applyAlignment="0" applyProtection="0">
      <alignment vertical="center"/>
    </xf>
    <xf numFmtId="231" fontId="180" fillId="0" borderId="0" applyFont="0" applyFill="0" applyBorder="0" applyAlignment="0" applyProtection="0">
      <alignment vertical="center"/>
    </xf>
    <xf numFmtId="0" fontId="111" fillId="0" borderId="0">
      <alignment vertical="center"/>
    </xf>
    <xf numFmtId="231" fontId="180" fillId="0" borderId="0" applyFont="0" applyFill="0" applyBorder="0" applyAlignment="0" applyProtection="0">
      <alignment vertical="center"/>
    </xf>
    <xf numFmtId="0" fontId="111" fillId="0" borderId="0">
      <alignment vertical="center"/>
    </xf>
    <xf numFmtId="190" fontId="35" fillId="0" borderId="0" applyFont="0" applyFill="0" applyBorder="0" applyAlignment="0" applyProtection="0">
      <alignment vertical="center"/>
    </xf>
    <xf numFmtId="231" fontId="180" fillId="0" borderId="0" applyFont="0" applyFill="0" applyBorder="0" applyAlignment="0" applyProtection="0">
      <alignment vertical="center"/>
    </xf>
    <xf numFmtId="225" fontId="180" fillId="0" borderId="0" applyFont="0" applyFill="0" applyBorder="0" applyAlignment="0" applyProtection="0">
      <alignment vertical="center"/>
    </xf>
    <xf numFmtId="225" fontId="180" fillId="0" borderId="0" applyFont="0" applyFill="0" applyBorder="0" applyAlignment="0" applyProtection="0">
      <alignment vertical="center"/>
    </xf>
    <xf numFmtId="225" fontId="180" fillId="0" borderId="0" applyFont="0" applyFill="0" applyBorder="0" applyAlignment="0" applyProtection="0">
      <alignment vertical="center"/>
    </xf>
    <xf numFmtId="0" fontId="180" fillId="0" borderId="0">
      <alignment vertical="center"/>
    </xf>
    <xf numFmtId="0" fontId="112" fillId="13" borderId="3" applyNumberFormat="0" applyAlignment="0" applyProtection="0">
      <alignment vertical="center"/>
    </xf>
    <xf numFmtId="190" fontId="35" fillId="0" borderId="0" applyFont="0" applyFill="0" applyBorder="0" applyAlignment="0" applyProtection="0">
      <alignment vertical="center"/>
    </xf>
    <xf numFmtId="0" fontId="27" fillId="0" borderId="0" applyFont="0" applyFill="0" applyBorder="0" applyAlignment="0" applyProtection="0">
      <alignment vertical="center"/>
    </xf>
    <xf numFmtId="201" fontId="180" fillId="0" borderId="0" applyFont="0" applyFill="0" applyBorder="0" applyAlignment="0" applyProtection="0">
      <alignment vertical="center"/>
    </xf>
    <xf numFmtId="0" fontId="180" fillId="0" borderId="0">
      <alignment vertical="center"/>
    </xf>
    <xf numFmtId="201" fontId="180" fillId="0" borderId="0" applyFont="0" applyFill="0" applyBorder="0" applyAlignment="0" applyProtection="0">
      <alignment vertical="center"/>
    </xf>
    <xf numFmtId="255" fontId="35" fillId="0" borderId="0" applyFont="0" applyFill="0" applyBorder="0" applyAlignment="0" applyProtection="0">
      <alignment vertical="center"/>
    </xf>
    <xf numFmtId="190" fontId="180" fillId="0" borderId="0" applyFont="0" applyFill="0" applyBorder="0" applyAlignment="0" applyProtection="0">
      <alignment vertical="center"/>
    </xf>
    <xf numFmtId="0" fontId="118" fillId="7" borderId="0" applyNumberFormat="0" applyBorder="0" applyAlignment="0" applyProtection="0">
      <alignment vertical="center"/>
    </xf>
    <xf numFmtId="190" fontId="180" fillId="0" borderId="0" applyFont="0" applyFill="0" applyBorder="0" applyAlignment="0" applyProtection="0">
      <alignment vertical="center"/>
    </xf>
    <xf numFmtId="0" fontId="27" fillId="0" borderId="0" applyFont="0" applyFill="0" applyBorder="0" applyAlignment="0" applyProtection="0">
      <alignment vertical="center"/>
    </xf>
    <xf numFmtId="230" fontId="180" fillId="0" borderId="0">
      <alignment horizontal="center" vertical="center"/>
    </xf>
    <xf numFmtId="0" fontId="27" fillId="0" borderId="0" applyFont="0" applyFill="0" applyBorder="0" applyAlignment="0" applyProtection="0">
      <alignment vertical="center"/>
    </xf>
    <xf numFmtId="247" fontId="102" fillId="0" borderId="0">
      <alignment horizontal="center" vertical="center"/>
    </xf>
    <xf numFmtId="192" fontId="35" fillId="0" borderId="0" applyFont="0" applyFill="0" applyBorder="0" applyAlignment="0" applyProtection="0">
      <alignment vertical="center"/>
    </xf>
    <xf numFmtId="231" fontId="180" fillId="0" borderId="0" applyFont="0" applyFill="0" applyBorder="0" applyAlignment="0" applyProtection="0">
      <alignment vertical="center"/>
    </xf>
    <xf numFmtId="38" fontId="108" fillId="0" borderId="0" applyFont="0" applyFill="0" applyBorder="0" applyAlignment="0" applyProtection="0">
      <alignment vertical="center"/>
    </xf>
    <xf numFmtId="231" fontId="180" fillId="0" borderId="0" applyFont="0" applyFill="0" applyBorder="0" applyAlignment="0" applyProtection="0">
      <alignment vertical="center"/>
    </xf>
    <xf numFmtId="0" fontId="10" fillId="0" borderId="43" applyNumberFormat="0" applyAlignment="0" applyProtection="0">
      <alignment horizontal="left" vertical="center"/>
    </xf>
    <xf numFmtId="231" fontId="180" fillId="0" borderId="0" applyFont="0" applyFill="0" applyBorder="0" applyAlignment="0" applyProtection="0">
      <alignment vertical="center"/>
    </xf>
    <xf numFmtId="0" fontId="11" fillId="0" borderId="0">
      <alignment vertical="center"/>
    </xf>
    <xf numFmtId="0" fontId="180" fillId="0" borderId="0">
      <alignment vertical="center"/>
    </xf>
    <xf numFmtId="0" fontId="27" fillId="4" borderId="0" applyNumberFormat="0" applyBorder="0" applyAlignment="0" applyProtection="0">
      <alignment vertical="center"/>
    </xf>
    <xf numFmtId="231" fontId="180" fillId="0" borderId="0" applyFont="0" applyFill="0" applyBorder="0" applyAlignment="0" applyProtection="0">
      <alignment vertical="center"/>
    </xf>
    <xf numFmtId="231" fontId="180" fillId="0" borderId="0" applyFont="0" applyFill="0" applyBorder="0" applyAlignment="0" applyProtection="0">
      <alignment vertical="center"/>
    </xf>
    <xf numFmtId="0" fontId="180" fillId="0" borderId="0">
      <alignment vertical="center"/>
    </xf>
    <xf numFmtId="0" fontId="27" fillId="4" borderId="0" applyNumberFormat="0" applyBorder="0" applyAlignment="0" applyProtection="0">
      <alignment vertical="center"/>
    </xf>
    <xf numFmtId="0" fontId="35" fillId="0" borderId="0" applyFont="0" applyFill="0" applyBorder="0" applyAlignment="0" applyProtection="0">
      <alignment vertical="center"/>
    </xf>
    <xf numFmtId="0" fontId="11" fillId="22" borderId="0" applyNumberFormat="0" applyBorder="0" applyAlignment="0" applyProtection="0">
      <alignment vertical="center"/>
    </xf>
    <xf numFmtId="197" fontId="180" fillId="0" borderId="0">
      <alignment vertical="center"/>
    </xf>
    <xf numFmtId="0" fontId="148" fillId="0" borderId="0" applyNumberFormat="0" applyFill="0" applyBorder="0" applyAlignment="0" applyProtection="0">
      <alignment vertical="center"/>
    </xf>
    <xf numFmtId="190" fontId="35" fillId="0" borderId="0" applyFont="0" applyFill="0" applyBorder="0" applyAlignment="0" applyProtection="0">
      <alignment vertical="center"/>
    </xf>
    <xf numFmtId="0" fontId="129" fillId="0" borderId="0">
      <alignment horizontal="left" vertical="center"/>
    </xf>
    <xf numFmtId="0" fontId="107" fillId="19" borderId="0" applyNumberFormat="0" applyBorder="0" applyAlignment="0" applyProtection="0">
      <alignment vertical="center"/>
    </xf>
    <xf numFmtId="0" fontId="35" fillId="0" borderId="0" applyFont="0" applyFill="0" applyBorder="0" applyAlignment="0" applyProtection="0">
      <alignment vertical="center"/>
    </xf>
    <xf numFmtId="192" fontId="35" fillId="0" borderId="0" applyFont="0" applyFill="0" applyBorder="0" applyAlignment="0" applyProtection="0">
      <alignment vertical="center"/>
    </xf>
    <xf numFmtId="0" fontId="134" fillId="0" borderId="0" applyNumberFormat="0" applyFill="0" applyBorder="0" applyAlignment="0" applyProtection="0">
      <alignment vertical="center"/>
    </xf>
    <xf numFmtId="0" fontId="27" fillId="0" borderId="0" applyFont="0" applyFill="0" applyBorder="0" applyAlignment="0" applyProtection="0">
      <alignment vertical="center"/>
    </xf>
    <xf numFmtId="190" fontId="180" fillId="0" borderId="0" applyFont="0" applyFill="0" applyBorder="0" applyAlignment="0" applyProtection="0">
      <alignment vertical="center"/>
    </xf>
    <xf numFmtId="190" fontId="180" fillId="0" borderId="0" applyFont="0" applyFill="0" applyBorder="0" applyAlignment="0" applyProtection="0">
      <alignment vertical="center"/>
    </xf>
    <xf numFmtId="190" fontId="180" fillId="0" borderId="0" applyFont="0" applyFill="0" applyBorder="0" applyAlignment="0" applyProtection="0">
      <alignment vertical="center"/>
    </xf>
    <xf numFmtId="204" fontId="180" fillId="0" borderId="0" applyFont="0" applyFill="0" applyBorder="0" applyAlignment="0" applyProtection="0">
      <alignment vertical="center"/>
    </xf>
    <xf numFmtId="240" fontId="180" fillId="0" borderId="0">
      <alignment horizontal="right" vertical="center"/>
    </xf>
    <xf numFmtId="204" fontId="180" fillId="0" borderId="0" applyFont="0" applyFill="0" applyBorder="0" applyAlignment="0" applyProtection="0">
      <alignment vertical="center"/>
    </xf>
    <xf numFmtId="0" fontId="103" fillId="14" borderId="38" applyNumberFormat="0" applyAlignment="0" applyProtection="0">
      <alignment vertical="center"/>
    </xf>
    <xf numFmtId="255" fontId="35" fillId="0" borderId="0" applyFont="0" applyFill="0" applyBorder="0" applyAlignment="0" applyProtection="0">
      <alignment vertical="center"/>
    </xf>
    <xf numFmtId="0" fontId="180" fillId="0" borderId="0" applyFill="0" applyBorder="0" applyAlignment="0">
      <alignment vertical="center"/>
    </xf>
    <xf numFmtId="177" fontId="180" fillId="0" borderId="0" applyFill="0" applyBorder="0" applyAlignment="0">
      <alignment vertical="center"/>
    </xf>
    <xf numFmtId="228" fontId="180" fillId="0" borderId="0" applyFont="0" applyFill="0" applyBorder="0" applyAlignment="0" applyProtection="0">
      <alignment vertical="center"/>
    </xf>
    <xf numFmtId="0" fontId="180" fillId="0" borderId="0" applyFill="0" applyBorder="0" applyAlignment="0">
      <alignment vertical="center"/>
    </xf>
    <xf numFmtId="228" fontId="180" fillId="0" borderId="0" applyFont="0" applyFill="0" applyBorder="0" applyAlignment="0" applyProtection="0">
      <alignment vertical="center"/>
    </xf>
    <xf numFmtId="0" fontId="9" fillId="0" borderId="0">
      <alignment vertical="center"/>
    </xf>
    <xf numFmtId="0" fontId="180" fillId="0" borderId="0">
      <alignment vertical="center"/>
    </xf>
    <xf numFmtId="205" fontId="180" fillId="0" borderId="0">
      <alignment horizontal="right" vertical="center"/>
    </xf>
    <xf numFmtId="0" fontId="9" fillId="0" borderId="0">
      <alignment vertical="center"/>
    </xf>
    <xf numFmtId="0" fontId="180" fillId="0" borderId="0">
      <alignment vertical="center"/>
    </xf>
    <xf numFmtId="205" fontId="180" fillId="0" borderId="0">
      <alignment horizontal="right" vertical="center"/>
    </xf>
    <xf numFmtId="0" fontId="9" fillId="0" borderId="0">
      <alignment vertical="center"/>
    </xf>
    <xf numFmtId="0" fontId="180" fillId="0" borderId="0">
      <alignment vertical="center"/>
    </xf>
    <xf numFmtId="0" fontId="105" fillId="16" borderId="0" applyNumberFormat="0" applyBorder="0" applyAlignment="0" applyProtection="0">
      <alignment vertical="center"/>
    </xf>
    <xf numFmtId="205" fontId="180" fillId="0" borderId="0">
      <alignment horizontal="right" vertical="center"/>
    </xf>
    <xf numFmtId="205" fontId="180" fillId="0" borderId="0">
      <alignment horizontal="right" vertical="center"/>
    </xf>
    <xf numFmtId="259" fontId="180" fillId="0" borderId="0" applyFont="0" applyFill="0" applyBorder="0" applyAlignment="0" applyProtection="0">
      <alignment vertical="center"/>
    </xf>
    <xf numFmtId="205" fontId="180" fillId="0" borderId="0">
      <alignment horizontal="right" vertical="center"/>
    </xf>
    <xf numFmtId="205" fontId="180" fillId="0" borderId="0">
      <alignment horizontal="right" vertical="center"/>
    </xf>
    <xf numFmtId="184" fontId="180" fillId="0" borderId="0" applyFill="0" applyBorder="0" applyAlignment="0">
      <alignment vertical="center"/>
    </xf>
    <xf numFmtId="240" fontId="180" fillId="0" borderId="0">
      <alignment horizontal="right" vertical="center"/>
    </xf>
    <xf numFmtId="217" fontId="180" fillId="0" borderId="0" applyFont="0" applyFill="0" applyBorder="0" applyAlignment="0" applyProtection="0">
      <alignment vertical="center"/>
    </xf>
    <xf numFmtId="184" fontId="180" fillId="0" borderId="0" applyFill="0" applyBorder="0" applyAlignment="0">
      <alignment vertical="center"/>
    </xf>
    <xf numFmtId="0" fontId="11" fillId="20" borderId="0" applyNumberFormat="0" applyBorder="0" applyAlignment="0" applyProtection="0">
      <alignment vertical="center"/>
    </xf>
    <xf numFmtId="240" fontId="180" fillId="0" borderId="0">
      <alignment horizontal="right" vertical="center"/>
    </xf>
    <xf numFmtId="210" fontId="180" fillId="0" borderId="0">
      <alignment horizontal="right" vertical="center"/>
    </xf>
    <xf numFmtId="210" fontId="180" fillId="0" borderId="0">
      <alignment horizontal="right" vertical="center"/>
    </xf>
    <xf numFmtId="210" fontId="180" fillId="0" borderId="0">
      <alignment horizontal="right" vertical="center"/>
    </xf>
    <xf numFmtId="0" fontId="107" fillId="14" borderId="0" applyNumberFormat="0" applyBorder="0" applyAlignment="0" applyProtection="0">
      <alignment vertical="center"/>
    </xf>
    <xf numFmtId="243" fontId="180" fillId="0" borderId="0">
      <alignment horizontal="right" vertical="center"/>
    </xf>
    <xf numFmtId="243" fontId="180" fillId="0" borderId="0">
      <alignment horizontal="right" vertical="center"/>
    </xf>
    <xf numFmtId="0" fontId="86" fillId="0" borderId="0"/>
    <xf numFmtId="243" fontId="180" fillId="0" borderId="0">
      <alignment horizontal="right" vertical="center"/>
    </xf>
    <xf numFmtId="240" fontId="180" fillId="0" borderId="0">
      <alignment horizontal="right" vertical="center"/>
    </xf>
    <xf numFmtId="240" fontId="180" fillId="0" borderId="0">
      <alignment horizontal="right" vertical="center"/>
    </xf>
    <xf numFmtId="0" fontId="11" fillId="7" borderId="0" applyNumberFormat="0" applyBorder="0" applyAlignment="0" applyProtection="0">
      <alignment vertical="center"/>
    </xf>
    <xf numFmtId="261" fontId="108" fillId="0" borderId="0" applyFont="0" applyFill="0" applyBorder="0" applyAlignment="0" applyProtection="0">
      <alignment vertical="center"/>
    </xf>
    <xf numFmtId="0" fontId="11" fillId="22" borderId="0" applyNumberFormat="0" applyBorder="0" applyAlignment="0" applyProtection="0">
      <alignment vertical="center"/>
    </xf>
    <xf numFmtId="0" fontId="11" fillId="14" borderId="0" applyNumberFormat="0" applyBorder="0" applyAlignment="0" applyProtection="0">
      <alignment vertical="center"/>
    </xf>
    <xf numFmtId="235" fontId="11" fillId="0" borderId="41">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19" borderId="0" applyNumberFormat="0" applyBorder="0" applyAlignment="0" applyProtection="0">
      <alignment vertical="center"/>
    </xf>
    <xf numFmtId="0" fontId="11" fillId="14" borderId="0" applyNumberFormat="0" applyBorder="0" applyAlignment="0" applyProtection="0">
      <alignment vertical="center"/>
    </xf>
    <xf numFmtId="0" fontId="129" fillId="0" borderId="0">
      <alignment horizontal="left" vertical="center"/>
    </xf>
    <xf numFmtId="0" fontId="107" fillId="7" borderId="0" applyNumberFormat="0" applyBorder="0" applyAlignment="0" applyProtection="0">
      <alignment vertical="center"/>
    </xf>
    <xf numFmtId="214" fontId="180" fillId="0" borderId="0">
      <alignment vertical="center"/>
    </xf>
    <xf numFmtId="0" fontId="116" fillId="0" borderId="14" applyBorder="0">
      <alignment vertical="center"/>
    </xf>
    <xf numFmtId="0" fontId="107" fillId="8" borderId="0" applyNumberFormat="0" applyBorder="0" applyAlignment="0" applyProtection="0">
      <alignment vertical="center"/>
    </xf>
    <xf numFmtId="14" fontId="109" fillId="0" borderId="0">
      <alignment horizontal="center" vertical="center" wrapText="1"/>
      <protection locked="0"/>
    </xf>
    <xf numFmtId="0" fontId="107" fillId="22" borderId="0" applyNumberFormat="0" applyBorder="0" applyAlignment="0" applyProtection="0">
      <alignment vertical="center"/>
    </xf>
    <xf numFmtId="222" fontId="119" fillId="0" borderId="14">
      <alignment horizontal="center" vertical="center"/>
    </xf>
    <xf numFmtId="0" fontId="107" fillId="19" borderId="0" applyNumberFormat="0" applyBorder="0" applyAlignment="0" applyProtection="0">
      <alignment vertical="center"/>
    </xf>
    <xf numFmtId="0" fontId="116" fillId="0" borderId="14" applyBorder="0">
      <alignment vertical="center"/>
    </xf>
    <xf numFmtId="0" fontId="107" fillId="26" borderId="0" applyNumberFormat="0" applyBorder="0" applyAlignment="0" applyProtection="0">
      <alignment vertical="center"/>
    </xf>
    <xf numFmtId="0" fontId="107" fillId="21" borderId="0" applyNumberFormat="0" applyBorder="0" applyAlignment="0" applyProtection="0">
      <alignment vertical="center"/>
    </xf>
    <xf numFmtId="40" fontId="108" fillId="0" borderId="0" applyFont="0" applyFill="0" applyBorder="0" applyAlignment="0" applyProtection="0">
      <alignment vertical="center"/>
    </xf>
    <xf numFmtId="0" fontId="107" fillId="24" borderId="0" applyNumberFormat="0" applyBorder="0" applyAlignment="0" applyProtection="0">
      <alignment vertical="center"/>
    </xf>
    <xf numFmtId="0" fontId="35" fillId="0" borderId="0" applyFont="0" applyFill="0" applyBorder="0" applyAlignment="0" applyProtection="0">
      <alignment vertical="center"/>
    </xf>
    <xf numFmtId="191" fontId="180" fillId="0" borderId="0" applyFill="0" applyBorder="0" applyAlignment="0">
      <alignment vertical="center"/>
    </xf>
    <xf numFmtId="0" fontId="153" fillId="0" borderId="0" applyNumberFormat="0" applyFill="0" applyBorder="0" applyAlignment="0" applyProtection="0">
      <alignment vertical="center"/>
    </xf>
    <xf numFmtId="0" fontId="109" fillId="0" borderId="0">
      <alignment horizontal="center" vertical="center" wrapText="1"/>
      <protection locked="0"/>
    </xf>
    <xf numFmtId="219" fontId="11" fillId="0" borderId="0" applyFill="0" applyBorder="0" applyAlignment="0">
      <alignment vertical="center"/>
    </xf>
    <xf numFmtId="0" fontId="109" fillId="0" borderId="0">
      <alignment horizontal="center" vertical="center" wrapText="1"/>
      <protection locked="0"/>
    </xf>
    <xf numFmtId="0" fontId="114" fillId="12" borderId="5" applyNumberFormat="0" applyFont="0" applyBorder="0" applyAlignment="0" applyProtection="0">
      <alignment vertical="center"/>
    </xf>
    <xf numFmtId="0" fontId="103" fillId="14" borderId="38" applyNumberFormat="0" applyAlignment="0" applyProtection="0">
      <alignment vertical="center"/>
    </xf>
    <xf numFmtId="0" fontId="114" fillId="12" borderId="5" applyNumberFormat="0" applyFont="0" applyBorder="0" applyAlignment="0" applyProtection="0">
      <alignment vertical="center"/>
    </xf>
    <xf numFmtId="0" fontId="35" fillId="0" borderId="0" applyFont="0" applyFill="0" applyBorder="0" applyAlignment="0" applyProtection="0">
      <alignment vertical="center"/>
    </xf>
    <xf numFmtId="0" fontId="106" fillId="0" borderId="0">
      <alignment vertical="center"/>
    </xf>
    <xf numFmtId="195" fontId="109" fillId="0" borderId="0" applyFont="0" applyFill="0" applyBorder="0" applyAlignment="0" applyProtection="0">
      <alignment vertical="center"/>
    </xf>
    <xf numFmtId="239" fontId="180" fillId="0" borderId="43" applyBorder="0">
      <alignment horizontal="right" vertical="center"/>
    </xf>
    <xf numFmtId="0" fontId="130" fillId="0" borderId="0" applyNumberFormat="0" applyFill="0" applyBorder="0" applyProtection="0">
      <alignment horizontal="left" vertical="center"/>
    </xf>
    <xf numFmtId="177" fontId="180" fillId="0" borderId="0" applyFill="0" applyBorder="0" applyAlignment="0">
      <alignment vertical="center"/>
    </xf>
    <xf numFmtId="0" fontId="138" fillId="0" borderId="0">
      <alignment vertical="center"/>
    </xf>
    <xf numFmtId="37" fontId="128" fillId="0" borderId="0">
      <alignment vertical="center"/>
    </xf>
    <xf numFmtId="0" fontId="117" fillId="4" borderId="38" applyNumberFormat="0" applyAlignment="0" applyProtection="0">
      <alignment vertical="center"/>
    </xf>
    <xf numFmtId="0" fontId="138" fillId="0" borderId="0">
      <alignment vertical="center"/>
    </xf>
    <xf numFmtId="191" fontId="180" fillId="0" borderId="0" applyFill="0" applyBorder="0" applyAlignment="0">
      <alignment vertical="center"/>
    </xf>
    <xf numFmtId="191" fontId="180" fillId="0" borderId="0" applyFill="0" applyBorder="0" applyAlignment="0">
      <alignment vertical="center"/>
    </xf>
    <xf numFmtId="187" fontId="180" fillId="0" borderId="0" applyFill="0" applyBorder="0" applyAlignment="0">
      <alignment vertical="center"/>
    </xf>
    <xf numFmtId="187" fontId="180" fillId="0" borderId="0" applyFill="0" applyBorder="0" applyAlignment="0">
      <alignment vertical="center"/>
    </xf>
    <xf numFmtId="187" fontId="180" fillId="0" borderId="0" applyFill="0" applyBorder="0" applyAlignment="0">
      <alignment vertical="center"/>
    </xf>
    <xf numFmtId="182" fontId="126" fillId="0" borderId="0" applyFill="0" applyBorder="0" applyAlignment="0">
      <alignment vertical="center"/>
    </xf>
    <xf numFmtId="191" fontId="180" fillId="0" borderId="0" applyFill="0" applyBorder="0" applyAlignment="0">
      <alignment vertical="center"/>
    </xf>
    <xf numFmtId="191" fontId="180" fillId="0" borderId="0" applyFill="0" applyBorder="0" applyAlignment="0">
      <alignment vertical="center"/>
    </xf>
    <xf numFmtId="0" fontId="180" fillId="0" borderId="0" applyFill="0" applyBorder="0" applyAlignment="0">
      <alignment vertical="center"/>
    </xf>
    <xf numFmtId="208" fontId="110" fillId="0" borderId="0" applyFill="0" applyBorder="0" applyAlignment="0">
      <alignment vertical="center"/>
    </xf>
    <xf numFmtId="245" fontId="110" fillId="0" borderId="0" applyFill="0" applyBorder="0" applyAlignment="0">
      <alignment vertical="center"/>
    </xf>
    <xf numFmtId="0" fontId="111" fillId="0" borderId="0">
      <alignment vertical="center"/>
    </xf>
    <xf numFmtId="0" fontId="111" fillId="0" borderId="0">
      <alignment vertical="center"/>
    </xf>
    <xf numFmtId="0" fontId="180" fillId="0" borderId="0">
      <alignment vertical="center"/>
    </xf>
    <xf numFmtId="0" fontId="25" fillId="17" borderId="39" applyNumberFormat="0" applyAlignment="0" applyProtection="0">
      <alignment vertical="center"/>
    </xf>
    <xf numFmtId="0" fontId="139" fillId="0" borderId="0" applyNumberFormat="0" applyFill="0" applyBorder="0" applyProtection="0">
      <alignment horizontal="right" vertical="center"/>
    </xf>
    <xf numFmtId="184" fontId="180" fillId="0" borderId="0" applyFont="0" applyFill="0" applyBorder="0" applyAlignment="0" applyProtection="0">
      <alignment vertical="center"/>
    </xf>
    <xf numFmtId="215" fontId="102" fillId="0" borderId="0">
      <alignment vertical="center"/>
    </xf>
    <xf numFmtId="37" fontId="180" fillId="0" borderId="0" applyFont="0" applyFill="0" applyBorder="0" applyAlignment="0" applyProtection="0">
      <alignment horizontal="right" vertical="center"/>
    </xf>
    <xf numFmtId="37" fontId="35" fillId="0" borderId="0" applyFont="0" applyFill="0" applyBorder="0" applyAlignment="0" applyProtection="0">
      <alignment horizontal="right" vertical="center"/>
    </xf>
    <xf numFmtId="3" fontId="35" fillId="0" borderId="0" applyFont="0" applyFill="0" applyBorder="0" applyAlignment="0" applyProtection="0">
      <alignment vertical="center"/>
    </xf>
    <xf numFmtId="0" fontId="129" fillId="0" borderId="0">
      <alignment horizontal="left" vertical="center"/>
    </xf>
    <xf numFmtId="230" fontId="180" fillId="0" borderId="0">
      <alignment horizontal="center" vertical="center"/>
    </xf>
    <xf numFmtId="247" fontId="102" fillId="0" borderId="0">
      <alignment horizontal="center" vertical="center"/>
    </xf>
    <xf numFmtId="254" fontId="180" fillId="0" borderId="0" applyFont="0" applyFill="0" applyBorder="0" applyAlignment="0" applyProtection="0">
      <alignment vertical="center"/>
    </xf>
    <xf numFmtId="194" fontId="35" fillId="0" borderId="0" applyFont="0" applyFill="0" applyBorder="0" applyAlignment="0" applyProtection="0">
      <alignment vertical="center"/>
    </xf>
    <xf numFmtId="245" fontId="35" fillId="0" borderId="0" applyFont="0" applyFill="0" applyBorder="0" applyAlignment="0" applyProtection="0">
      <alignment vertical="center"/>
    </xf>
    <xf numFmtId="217" fontId="180" fillId="0" borderId="0" applyFont="0" applyFill="0" applyBorder="0" applyAlignment="0" applyProtection="0">
      <alignment vertical="center"/>
    </xf>
    <xf numFmtId="223" fontId="35" fillId="0" borderId="0" applyFont="0" applyFill="0" applyBorder="0" applyAlignment="0" applyProtection="0">
      <alignment vertical="center"/>
    </xf>
    <xf numFmtId="0" fontId="103" fillId="14" borderId="38" applyNumberFormat="0" applyAlignment="0" applyProtection="0">
      <alignment vertical="center"/>
    </xf>
    <xf numFmtId="176" fontId="109" fillId="0" borderId="0" applyFont="0" applyFill="0" applyBorder="0" applyAlignment="0" applyProtection="0">
      <alignment vertical="center"/>
    </xf>
    <xf numFmtId="237" fontId="180" fillId="12" borderId="0" applyFont="0" applyBorder="0">
      <alignment vertical="center"/>
    </xf>
    <xf numFmtId="215" fontId="35" fillId="0" borderId="0" applyFont="0" applyFill="0" applyBorder="0" applyAlignment="0" applyProtection="0">
      <alignment vertical="center"/>
    </xf>
    <xf numFmtId="227" fontId="35" fillId="0" borderId="0" applyFont="0" applyFill="0" applyBorder="0" applyAlignment="0" applyProtection="0">
      <alignment vertical="center"/>
    </xf>
    <xf numFmtId="216" fontId="180" fillId="0" borderId="40">
      <alignment vertical="center"/>
    </xf>
    <xf numFmtId="216" fontId="180" fillId="0" borderId="40">
      <alignment vertical="center"/>
    </xf>
    <xf numFmtId="10" fontId="35" fillId="0" borderId="0" applyFont="0" applyFill="0" applyBorder="0" applyAlignment="0" applyProtection="0">
      <alignment vertical="center"/>
    </xf>
    <xf numFmtId="216" fontId="180" fillId="0" borderId="40">
      <alignment vertical="center"/>
    </xf>
    <xf numFmtId="0" fontId="155" fillId="0" borderId="49" applyNumberFormat="0" applyFill="0" applyAlignment="0" applyProtection="0">
      <alignment vertical="center"/>
    </xf>
    <xf numFmtId="0" fontId="112" fillId="13" borderId="3" applyNumberFormat="0" applyAlignment="0" applyProtection="0">
      <alignment vertical="center"/>
    </xf>
    <xf numFmtId="186" fontId="110" fillId="0" borderId="0" applyFill="0" applyBorder="0" applyAlignment="0">
      <alignment vertical="center"/>
    </xf>
    <xf numFmtId="207" fontId="102" fillId="0" borderId="0">
      <alignment vertical="center"/>
    </xf>
    <xf numFmtId="234" fontId="180" fillId="0" borderId="0">
      <alignment vertical="center"/>
    </xf>
    <xf numFmtId="202" fontId="180" fillId="0" borderId="0" applyFont="0" applyFill="0" applyBorder="0" applyAlignment="0" applyProtection="0">
      <alignment vertical="center"/>
    </xf>
    <xf numFmtId="0" fontId="135" fillId="0" borderId="0" applyNumberFormat="0" applyFill="0" applyBorder="0" applyProtection="0">
      <alignment horizontal="left" vertical="center"/>
    </xf>
    <xf numFmtId="214" fontId="11" fillId="0" borderId="0" applyBorder="0">
      <alignment vertical="center"/>
    </xf>
    <xf numFmtId="0" fontId="114" fillId="11" borderId="8" applyNumberFormat="0" applyFont="0" applyAlignment="0" applyProtection="0">
      <alignment horizontal="left" vertical="center"/>
    </xf>
    <xf numFmtId="184" fontId="180" fillId="0" borderId="0" applyFill="0" applyBorder="0" applyAlignment="0">
      <alignment vertical="center"/>
    </xf>
    <xf numFmtId="184" fontId="180" fillId="0" borderId="0" applyFill="0" applyBorder="0" applyAlignment="0">
      <alignment vertical="center"/>
    </xf>
    <xf numFmtId="184" fontId="180" fillId="0" borderId="0" applyFill="0" applyBorder="0" applyAlignment="0">
      <alignment vertical="center"/>
    </xf>
    <xf numFmtId="177" fontId="180" fillId="0" borderId="0" applyFill="0" applyBorder="0" applyAlignment="0">
      <alignment vertical="center"/>
    </xf>
    <xf numFmtId="184" fontId="180" fillId="0" borderId="0" applyFill="0" applyBorder="0" applyAlignment="0">
      <alignment vertical="center"/>
    </xf>
    <xf numFmtId="177" fontId="180" fillId="0" borderId="0" applyFill="0" applyBorder="0" applyAlignment="0">
      <alignment vertical="center"/>
    </xf>
    <xf numFmtId="258" fontId="110" fillId="0" borderId="0" applyFill="0" applyBorder="0" applyAlignment="0">
      <alignment vertical="center"/>
    </xf>
    <xf numFmtId="251" fontId="180" fillId="0" borderId="0" applyFont="0" applyFill="0" applyBorder="0" applyAlignment="0" applyProtection="0">
      <alignment vertical="center"/>
    </xf>
    <xf numFmtId="0" fontId="10" fillId="0" borderId="8">
      <alignment horizontal="left" vertical="center"/>
    </xf>
    <xf numFmtId="0" fontId="113" fillId="0" borderId="0" applyNumberFormat="0" applyFill="0" applyBorder="0" applyProtection="0">
      <alignment horizontal="right" vertical="center"/>
    </xf>
    <xf numFmtId="0" fontId="145" fillId="0" borderId="0" applyNumberFormat="0" applyFill="0" applyBorder="0" applyAlignment="0" applyProtection="0">
      <alignment vertical="center"/>
    </xf>
    <xf numFmtId="0" fontId="27" fillId="4" borderId="3" applyNumberFormat="0" applyBorder="0" applyAlignment="0" applyProtection="0">
      <alignment vertical="center"/>
    </xf>
    <xf numFmtId="227" fontId="108" fillId="0" borderId="0" applyNumberFormat="0" applyFont="0" applyFill="0" applyBorder="0" applyProtection="0">
      <alignment horizontal="fill" vertical="center"/>
    </xf>
    <xf numFmtId="2" fontId="85" fillId="0" borderId="0" applyProtection="0">
      <alignment vertical="center"/>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15" fillId="0" borderId="0" applyNumberFormat="0" applyFill="0" applyBorder="0" applyProtection="0">
      <alignment horizontal="right" vertical="center"/>
    </xf>
    <xf numFmtId="0" fontId="108" fillId="0" borderId="0" applyFont="0" applyFill="0" applyBorder="0" applyProtection="0">
      <alignment vertical="center"/>
    </xf>
    <xf numFmtId="0" fontId="125" fillId="8" borderId="0" applyNumberFormat="0" applyBorder="0" applyAlignment="0" applyProtection="0">
      <alignment vertical="center"/>
    </xf>
    <xf numFmtId="38" fontId="27" fillId="4" borderId="0" applyNumberFormat="0" applyBorder="0" applyAlignment="0" applyProtection="0">
      <alignment vertical="center"/>
    </xf>
    <xf numFmtId="0" fontId="10" fillId="0" borderId="43" applyNumberFormat="0" applyAlignment="0" applyProtection="0">
      <alignment horizontal="left" vertical="center"/>
    </xf>
    <xf numFmtId="0" fontId="10" fillId="0" borderId="8">
      <alignment horizontal="left" vertical="center"/>
    </xf>
    <xf numFmtId="0" fontId="10" fillId="0" borderId="8">
      <alignment horizontal="left" vertical="center"/>
    </xf>
    <xf numFmtId="0" fontId="112" fillId="9" borderId="3" applyNumberFormat="0" applyAlignment="0" applyProtection="0">
      <alignment vertical="center"/>
    </xf>
    <xf numFmtId="0" fontId="150" fillId="0" borderId="48" applyNumberFormat="0" applyFill="0" applyAlignment="0" applyProtection="0">
      <alignment vertical="center"/>
    </xf>
    <xf numFmtId="10" fontId="27" fillId="4" borderId="3" applyNumberFormat="0" applyBorder="0" applyAlignment="0" applyProtection="0">
      <alignment vertical="center"/>
    </xf>
    <xf numFmtId="0" fontId="149" fillId="0" borderId="0">
      <alignment horizontal="left" vertical="center"/>
    </xf>
    <xf numFmtId="0" fontId="27" fillId="4" borderId="3" applyNumberFormat="0" applyBorder="0" applyAlignment="0" applyProtection="0">
      <alignment vertical="center"/>
    </xf>
    <xf numFmtId="0" fontId="103" fillId="14" borderId="38" applyNumberFormat="0" applyAlignment="0" applyProtection="0">
      <alignment vertical="center"/>
    </xf>
    <xf numFmtId="214" fontId="35" fillId="0" borderId="0">
      <alignment vertical="center"/>
    </xf>
    <xf numFmtId="0" fontId="103" fillId="14" borderId="38" applyNumberFormat="0" applyAlignment="0" applyProtection="0">
      <alignment vertical="center"/>
    </xf>
    <xf numFmtId="0" fontId="180" fillId="0" borderId="0">
      <alignment vertical="center"/>
    </xf>
    <xf numFmtId="0" fontId="11" fillId="0" borderId="0" applyNumberFormat="0" applyFill="0" applyBorder="0" applyProtection="0">
      <alignment horizontal="left" vertical="center"/>
    </xf>
    <xf numFmtId="184" fontId="180" fillId="0" borderId="0" applyFill="0" applyBorder="0" applyAlignment="0">
      <alignment vertical="center"/>
    </xf>
    <xf numFmtId="184" fontId="180" fillId="0" borderId="0" applyFill="0" applyBorder="0" applyAlignment="0">
      <alignment vertical="center"/>
    </xf>
    <xf numFmtId="208" fontId="110" fillId="0" borderId="0" applyFill="0" applyBorder="0" applyAlignment="0">
      <alignment vertical="center"/>
    </xf>
    <xf numFmtId="245" fontId="110" fillId="0" borderId="0" applyFill="0" applyBorder="0" applyAlignment="0">
      <alignment vertical="center"/>
    </xf>
    <xf numFmtId="258" fontId="110" fillId="0" borderId="0" applyFill="0" applyBorder="0" applyAlignment="0">
      <alignment vertical="center"/>
    </xf>
    <xf numFmtId="208" fontId="110" fillId="0" borderId="0" applyFill="0" applyBorder="0" applyAlignment="0">
      <alignment vertical="center"/>
    </xf>
    <xf numFmtId="245" fontId="110" fillId="0" borderId="0" applyFill="0" applyBorder="0" applyAlignment="0">
      <alignment vertical="center"/>
    </xf>
    <xf numFmtId="256" fontId="180" fillId="0" borderId="0" applyFont="0" applyFill="0" applyBorder="0" applyAlignment="0" applyProtection="0">
      <alignment vertical="center"/>
    </xf>
    <xf numFmtId="0" fontId="112" fillId="9" borderId="3" applyNumberFormat="0" applyAlignment="0" applyProtection="0">
      <alignment vertical="center"/>
    </xf>
    <xf numFmtId="0" fontId="112" fillId="9" borderId="3" applyNumberFormat="0" applyAlignment="0" applyProtection="0">
      <alignment vertical="center"/>
    </xf>
    <xf numFmtId="211" fontId="108" fillId="0" borderId="0" applyFont="0" applyFill="0" applyBorder="0" applyAlignment="0" applyProtection="0">
      <alignment vertical="center"/>
    </xf>
    <xf numFmtId="0" fontId="112" fillId="9" borderId="3" applyNumberFormat="0" applyAlignment="0" applyProtection="0">
      <alignment vertical="center"/>
    </xf>
    <xf numFmtId="0" fontId="149" fillId="0" borderId="0">
      <alignment horizontal="left" vertical="center"/>
    </xf>
    <xf numFmtId="0" fontId="123" fillId="0" borderId="44">
      <alignment vertical="center"/>
    </xf>
    <xf numFmtId="0" fontId="123" fillId="0" borderId="44">
      <alignment vertical="center"/>
    </xf>
    <xf numFmtId="233" fontId="180" fillId="0" borderId="0" applyFont="0" applyFill="0" applyBorder="0" applyAlignment="0" applyProtection="0">
      <alignment vertical="center"/>
    </xf>
    <xf numFmtId="221" fontId="180" fillId="0" borderId="0" applyFont="0" applyFill="0" applyBorder="0" applyAlignment="0" applyProtection="0">
      <alignment vertical="center"/>
    </xf>
    <xf numFmtId="197" fontId="180" fillId="0" borderId="0">
      <alignment vertical="center"/>
    </xf>
    <xf numFmtId="0" fontId="180" fillId="0" borderId="0">
      <alignment vertical="center"/>
    </xf>
    <xf numFmtId="0" fontId="180" fillId="0" borderId="0">
      <alignment vertical="center"/>
    </xf>
    <xf numFmtId="0" fontId="180" fillId="0" borderId="0">
      <alignment vertical="center"/>
    </xf>
    <xf numFmtId="0" fontId="9" fillId="0" borderId="0">
      <alignment vertical="center"/>
    </xf>
    <xf numFmtId="0" fontId="180" fillId="0" borderId="0">
      <alignment vertical="center"/>
    </xf>
    <xf numFmtId="0" fontId="86" fillId="0" borderId="0"/>
    <xf numFmtId="0" fontId="180" fillId="0" borderId="0">
      <alignment vertical="center"/>
    </xf>
    <xf numFmtId="0" fontId="180" fillId="0" borderId="0">
      <alignment vertical="center"/>
    </xf>
    <xf numFmtId="0" fontId="180" fillId="0" borderId="0">
      <alignment vertical="center"/>
    </xf>
    <xf numFmtId="0" fontId="180" fillId="0" borderId="0">
      <alignment vertical="center"/>
    </xf>
    <xf numFmtId="0" fontId="180" fillId="0" borderId="0">
      <alignment vertical="center"/>
    </xf>
    <xf numFmtId="0" fontId="86" fillId="0" borderId="0"/>
    <xf numFmtId="0" fontId="86" fillId="0" borderId="0"/>
    <xf numFmtId="0" fontId="180" fillId="0" borderId="0">
      <alignment vertical="center"/>
    </xf>
    <xf numFmtId="0" fontId="35" fillId="0" borderId="0">
      <alignment vertical="center"/>
    </xf>
    <xf numFmtId="214" fontId="35" fillId="0" borderId="0">
      <alignment vertical="center"/>
    </xf>
    <xf numFmtId="0" fontId="35" fillId="0" borderId="0">
      <alignment vertical="center"/>
    </xf>
    <xf numFmtId="0" fontId="180" fillId="0" borderId="0">
      <alignment vertical="center"/>
    </xf>
    <xf numFmtId="0" fontId="180" fillId="0" borderId="0">
      <alignment vertical="center"/>
    </xf>
    <xf numFmtId="0" fontId="180" fillId="0" borderId="0">
      <alignment vertical="center"/>
    </xf>
    <xf numFmtId="0" fontId="16" fillId="0" borderId="0">
      <alignment vertical="center"/>
    </xf>
    <xf numFmtId="0" fontId="16" fillId="0" borderId="0">
      <alignment vertical="center"/>
    </xf>
    <xf numFmtId="0" fontId="180" fillId="0" borderId="0" applyNumberFormat="0" applyFill="0" applyBorder="0" applyAlignment="0" applyProtection="0">
      <alignment vertical="center"/>
    </xf>
    <xf numFmtId="0" fontId="11" fillId="15" borderId="37" applyNumberFormat="0" applyFont="0" applyAlignment="0" applyProtection="0">
      <alignment vertical="center"/>
    </xf>
    <xf numFmtId="0" fontId="11" fillId="23" borderId="42" applyNumberFormat="0" applyFont="0" applyAlignment="0" applyProtection="0">
      <alignment vertical="center"/>
    </xf>
    <xf numFmtId="0" fontId="11" fillId="23" borderId="42" applyNumberFormat="0" applyFont="0" applyAlignment="0" applyProtection="0">
      <alignment vertical="center"/>
    </xf>
    <xf numFmtId="40" fontId="127" fillId="0" borderId="0" applyFont="0" applyFill="0" applyBorder="0" applyAlignment="0" applyProtection="0">
      <alignment vertical="center"/>
    </xf>
    <xf numFmtId="38" fontId="127"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249" fontId="109"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54" fillId="0" borderId="0" applyNumberFormat="0" applyFill="0" applyBorder="0" applyProtection="0">
      <alignment horizontal="left" vertical="center"/>
    </xf>
    <xf numFmtId="0" fontId="146" fillId="4" borderId="47" applyNumberFormat="0" applyAlignment="0" applyProtection="0">
      <alignment vertical="center"/>
    </xf>
    <xf numFmtId="176" fontId="109" fillId="0" borderId="0" applyFont="0" applyFill="0" applyBorder="0" applyAlignment="0" applyProtection="0">
      <alignment vertical="center"/>
    </xf>
    <xf numFmtId="0" fontId="109" fillId="0" borderId="0" applyFont="0" applyFill="0" applyBorder="0" applyAlignment="0" applyProtection="0">
      <alignment vertical="center"/>
    </xf>
    <xf numFmtId="0" fontId="109" fillId="0" borderId="0" applyFont="0" applyFill="0" applyBorder="0" applyAlignment="0" applyProtection="0">
      <alignment vertical="center"/>
    </xf>
    <xf numFmtId="0" fontId="109" fillId="0" borderId="0" applyFont="0" applyFill="0" applyBorder="0" applyAlignment="0" applyProtection="0">
      <alignment vertical="center"/>
    </xf>
    <xf numFmtId="0" fontId="109" fillId="0" borderId="0" applyFont="0" applyFill="0" applyBorder="0" applyAlignment="0" applyProtection="0">
      <alignment vertical="center"/>
    </xf>
    <xf numFmtId="14" fontId="109" fillId="0" borderId="0">
      <alignment horizontal="center" vertical="center" wrapText="1"/>
      <protection locked="0"/>
    </xf>
    <xf numFmtId="211" fontId="110" fillId="0" borderId="0" applyFont="0" applyFill="0" applyBorder="0" applyAlignment="0" applyProtection="0">
      <alignment vertical="center"/>
    </xf>
    <xf numFmtId="246" fontId="35" fillId="0" borderId="0" applyFont="0" applyFill="0" applyBorder="0" applyAlignment="0" applyProtection="0">
      <alignment vertical="center"/>
    </xf>
    <xf numFmtId="209" fontId="180" fillId="0" borderId="0" applyFont="0" applyFill="0" applyBorder="0" applyAlignment="0" applyProtection="0">
      <alignment vertical="center"/>
    </xf>
    <xf numFmtId="209" fontId="180" fillId="0" borderId="0" applyFont="0" applyFill="0" applyBorder="0" applyAlignment="0" applyProtection="0">
      <alignment vertical="center"/>
    </xf>
    <xf numFmtId="209" fontId="180" fillId="0" borderId="0" applyFont="0" applyFill="0" applyBorder="0" applyAlignment="0" applyProtection="0">
      <alignment vertical="center"/>
    </xf>
    <xf numFmtId="226" fontId="35" fillId="0" borderId="0" applyFont="0" applyFill="0" applyBorder="0" applyAlignment="0" applyProtection="0">
      <alignment vertical="center"/>
    </xf>
    <xf numFmtId="10" fontId="180" fillId="0" borderId="0" applyFont="0" applyFill="0" applyBorder="0" applyAlignment="0" applyProtection="0">
      <alignment vertical="center"/>
    </xf>
    <xf numFmtId="10" fontId="180" fillId="0" borderId="0" applyFont="0" applyFill="0" applyBorder="0" applyAlignment="0" applyProtection="0">
      <alignment vertical="center"/>
    </xf>
    <xf numFmtId="10" fontId="35" fillId="0" borderId="0" applyFont="0" applyFill="0" applyBorder="0" applyAlignment="0" applyProtection="0">
      <alignment vertical="center"/>
    </xf>
    <xf numFmtId="10" fontId="180" fillId="0" borderId="0" applyFont="0" applyFill="0" applyBorder="0" applyAlignment="0" applyProtection="0">
      <alignment vertical="center"/>
    </xf>
    <xf numFmtId="10" fontId="35" fillId="0" borderId="0" applyFont="0" applyFill="0" applyBorder="0" applyAlignment="0" applyProtection="0">
      <alignment vertical="center"/>
    </xf>
    <xf numFmtId="249" fontId="109" fillId="0" borderId="0" applyFont="0" applyFill="0" applyBorder="0" applyAlignment="0" applyProtection="0">
      <alignment vertical="center"/>
    </xf>
    <xf numFmtId="247" fontId="109" fillId="0" borderId="0" applyFont="0" applyFill="0" applyBorder="0" applyAlignment="0" applyProtection="0">
      <alignment vertical="center"/>
    </xf>
    <xf numFmtId="247" fontId="109" fillId="0" borderId="0" applyFont="0" applyFill="0" applyBorder="0" applyAlignment="0" applyProtection="0">
      <alignment vertical="center"/>
    </xf>
    <xf numFmtId="9" fontId="108" fillId="0" borderId="0" applyFont="0" applyFill="0" applyBorder="0" applyAlignment="0" applyProtection="0">
      <alignment vertical="center"/>
    </xf>
    <xf numFmtId="9" fontId="35" fillId="0" borderId="0" applyFont="0" applyFill="0" applyBorder="0" applyAlignment="0" applyProtection="0">
      <alignment vertical="center"/>
    </xf>
    <xf numFmtId="10" fontId="108" fillId="0" borderId="0" applyFont="0" applyFill="0" applyBorder="0" applyAlignment="0" applyProtection="0">
      <alignment vertical="center"/>
    </xf>
    <xf numFmtId="0" fontId="108" fillId="0" borderId="54" applyNumberFormat="0" applyBorder="0">
      <alignment vertical="center"/>
    </xf>
    <xf numFmtId="0" fontId="163" fillId="0" borderId="0" applyNumberFormat="0" applyFill="0" applyBorder="0" applyProtection="0">
      <alignment horizontal="right" vertical="center"/>
    </xf>
    <xf numFmtId="40" fontId="35" fillId="0" borderId="0" applyFont="0" applyFill="0" applyBorder="0" applyAlignment="0" applyProtection="0">
      <alignment vertical="center"/>
    </xf>
    <xf numFmtId="184" fontId="180" fillId="0" borderId="0" applyFill="0" applyBorder="0" applyAlignment="0">
      <alignment vertical="center"/>
    </xf>
    <xf numFmtId="184" fontId="180" fillId="0" borderId="0" applyFill="0" applyBorder="0" applyAlignment="0">
      <alignment vertical="center"/>
    </xf>
    <xf numFmtId="184" fontId="180" fillId="0" borderId="0" applyFill="0" applyBorder="0" applyAlignment="0">
      <alignment vertical="center"/>
    </xf>
    <xf numFmtId="208" fontId="110" fillId="0" borderId="0" applyFill="0" applyBorder="0" applyAlignment="0">
      <alignment vertical="center"/>
    </xf>
    <xf numFmtId="245" fontId="110" fillId="0" borderId="0" applyFill="0" applyBorder="0" applyAlignment="0">
      <alignment vertical="center"/>
    </xf>
    <xf numFmtId="184" fontId="180" fillId="0" borderId="0" applyFill="0" applyBorder="0" applyAlignment="0">
      <alignment vertical="center"/>
    </xf>
    <xf numFmtId="184" fontId="180" fillId="0" borderId="0" applyFill="0" applyBorder="0" applyAlignment="0">
      <alignment vertical="center"/>
    </xf>
    <xf numFmtId="184" fontId="180" fillId="0" borderId="0" applyFill="0" applyBorder="0" applyAlignment="0">
      <alignment vertical="center"/>
    </xf>
    <xf numFmtId="177" fontId="180" fillId="0" borderId="0" applyFill="0" applyBorder="0" applyAlignment="0">
      <alignment vertical="center"/>
    </xf>
    <xf numFmtId="186" fontId="110" fillId="0" borderId="0" applyFill="0" applyBorder="0" applyAlignment="0">
      <alignment vertical="center"/>
    </xf>
    <xf numFmtId="258" fontId="110" fillId="0" borderId="0" applyFill="0" applyBorder="0" applyAlignment="0">
      <alignment vertical="center"/>
    </xf>
    <xf numFmtId="208" fontId="110" fillId="0" borderId="0" applyFill="0" applyBorder="0" applyAlignment="0">
      <alignment vertical="center"/>
    </xf>
    <xf numFmtId="245" fontId="110" fillId="0" borderId="0" applyFill="0" applyBorder="0" applyAlignment="0">
      <alignment vertical="center"/>
    </xf>
    <xf numFmtId="4" fontId="35" fillId="0" borderId="0" applyFont="0" applyFill="0" applyBorder="0" applyProtection="0">
      <alignment horizontal="right" vertical="center"/>
    </xf>
    <xf numFmtId="0" fontId="108" fillId="0" borderId="0" applyNumberFormat="0" applyFont="0" applyFill="0" applyBorder="0" applyAlignment="0" applyProtection="0">
      <alignment horizontal="left" vertical="center"/>
    </xf>
    <xf numFmtId="0" fontId="35" fillId="0" borderId="0" applyNumberFormat="0" applyFont="0" applyFill="0" applyBorder="0" applyAlignment="0" applyProtection="0">
      <alignment horizontal="left" vertical="center"/>
    </xf>
    <xf numFmtId="0" fontId="108" fillId="0" borderId="0" applyNumberFormat="0" applyFont="0" applyFill="0" applyBorder="0" applyAlignment="0" applyProtection="0">
      <alignment horizontal="left" vertical="center"/>
    </xf>
    <xf numFmtId="15" fontId="108" fillId="0" borderId="0" applyFont="0" applyFill="0" applyBorder="0" applyAlignment="0" applyProtection="0">
      <alignment vertical="center"/>
    </xf>
    <xf numFmtId="15" fontId="35" fillId="0" borderId="0" applyFont="0" applyFill="0" applyBorder="0" applyAlignment="0" applyProtection="0">
      <alignment vertical="center"/>
    </xf>
    <xf numFmtId="4" fontId="108" fillId="0" borderId="0" applyFont="0" applyFill="0" applyBorder="0" applyAlignment="0" applyProtection="0">
      <alignment vertical="center"/>
    </xf>
    <xf numFmtId="4" fontId="35" fillId="0" borderId="0" applyFont="0" applyFill="0" applyBorder="0" applyAlignment="0" applyProtection="0">
      <alignment vertical="center"/>
    </xf>
    <xf numFmtId="0" fontId="152" fillId="0" borderId="44">
      <alignment horizontal="center" vertical="center"/>
    </xf>
    <xf numFmtId="0" fontId="152" fillId="0" borderId="44">
      <alignment horizontal="center" vertical="center"/>
    </xf>
    <xf numFmtId="0" fontId="152" fillId="0" borderId="44">
      <alignment horizontal="center" vertical="center"/>
    </xf>
    <xf numFmtId="3" fontId="108" fillId="0" borderId="0" applyFont="0" applyFill="0" applyBorder="0" applyAlignment="0" applyProtection="0">
      <alignment vertical="center"/>
    </xf>
    <xf numFmtId="3" fontId="35" fillId="0" borderId="0" applyFont="0" applyFill="0" applyBorder="0" applyAlignment="0" applyProtection="0">
      <alignment vertical="center"/>
    </xf>
    <xf numFmtId="0" fontId="108" fillId="27" borderId="0" applyNumberFormat="0" applyFont="0" applyBorder="0" applyAlignment="0" applyProtection="0">
      <alignment vertical="center"/>
    </xf>
    <xf numFmtId="0" fontId="35" fillId="27" borderId="0" applyNumberFormat="0" applyFont="0" applyBorder="0" applyAlignment="0" applyProtection="0">
      <alignment vertical="center"/>
    </xf>
    <xf numFmtId="0" fontId="108" fillId="27" borderId="0" applyNumberFormat="0" applyFont="0" applyBorder="0" applyAlignment="0" applyProtection="0">
      <alignment vertical="center"/>
    </xf>
    <xf numFmtId="37" fontId="108" fillId="0" borderId="0">
      <alignment vertical="center"/>
    </xf>
    <xf numFmtId="0" fontId="158" fillId="0" borderId="51" applyAlignment="0">
      <alignment vertical="center" wrapText="1"/>
    </xf>
    <xf numFmtId="0" fontId="159" fillId="0" borderId="52">
      <alignment horizontal="center" vertical="center" wrapText="1"/>
    </xf>
    <xf numFmtId="0" fontId="159" fillId="0" borderId="51">
      <alignment horizontal="center" vertical="center" wrapText="1"/>
    </xf>
    <xf numFmtId="0" fontId="136" fillId="0" borderId="0">
      <alignment vertical="center"/>
    </xf>
    <xf numFmtId="0" fontId="160" fillId="12" borderId="5" applyFont="0" applyAlignment="0" applyProtection="0">
      <alignment vertical="center"/>
    </xf>
    <xf numFmtId="0" fontId="160" fillId="12" borderId="5" applyFont="0" applyAlignment="0" applyProtection="0">
      <alignment vertical="center"/>
    </xf>
    <xf numFmtId="179" fontId="35" fillId="0" borderId="0" applyFont="0" applyFill="0" applyBorder="0" applyAlignment="0" applyProtection="0">
      <alignment vertical="center"/>
    </xf>
    <xf numFmtId="213" fontId="35" fillId="0" borderId="0" applyFont="0" applyFill="0" applyBorder="0" applyAlignment="0" applyProtection="0">
      <alignment vertical="center"/>
    </xf>
    <xf numFmtId="222" fontId="147" fillId="0" borderId="0">
      <alignment horizontal="centerContinuous" vertical="center"/>
    </xf>
    <xf numFmtId="211" fontId="108" fillId="0" borderId="0">
      <alignment horizontal="center" vertical="center"/>
    </xf>
    <xf numFmtId="0" fontId="180" fillId="0" borderId="0">
      <alignment vertical="center"/>
    </xf>
    <xf numFmtId="0" fontId="180" fillId="0" borderId="0">
      <alignment vertical="center"/>
    </xf>
    <xf numFmtId="0" fontId="180" fillId="0" borderId="0">
      <alignment vertical="center"/>
    </xf>
    <xf numFmtId="0" fontId="180" fillId="0" borderId="0">
      <alignment vertical="center"/>
    </xf>
    <xf numFmtId="0" fontId="122" fillId="0" borderId="0">
      <alignment vertical="center"/>
    </xf>
    <xf numFmtId="0" fontId="122" fillId="0" borderId="0">
      <alignment vertical="center"/>
    </xf>
    <xf numFmtId="0" fontId="180" fillId="0" borderId="0">
      <alignment vertical="center"/>
    </xf>
    <xf numFmtId="0" fontId="180" fillId="0" borderId="0">
      <alignment vertical="center"/>
    </xf>
    <xf numFmtId="0" fontId="180" fillId="0" borderId="0">
      <alignment vertical="center"/>
    </xf>
    <xf numFmtId="0" fontId="180" fillId="0" borderId="0">
      <alignment vertical="center"/>
    </xf>
    <xf numFmtId="0" fontId="11" fillId="0" borderId="0">
      <alignment vertical="center"/>
    </xf>
    <xf numFmtId="0" fontId="180" fillId="0" borderId="0">
      <alignment vertical="center"/>
    </xf>
    <xf numFmtId="0" fontId="123" fillId="0" borderId="0">
      <alignment vertical="center"/>
    </xf>
    <xf numFmtId="222" fontId="119" fillId="0" borderId="0">
      <alignment horizontal="centerContinuous" vertical="center"/>
    </xf>
    <xf numFmtId="0" fontId="112" fillId="29" borderId="3" applyNumberFormat="0" applyAlignment="0" applyProtection="0">
      <alignment vertical="center"/>
    </xf>
    <xf numFmtId="0" fontId="112" fillId="29" borderId="3" applyNumberFormat="0" applyAlignment="0" applyProtection="0">
      <alignment vertical="center"/>
    </xf>
    <xf numFmtId="0" fontId="149" fillId="0" borderId="0">
      <alignment vertical="center"/>
    </xf>
    <xf numFmtId="0" fontId="149" fillId="0" borderId="0">
      <alignment vertical="center"/>
    </xf>
    <xf numFmtId="49" fontId="11" fillId="0" borderId="0" applyFill="0" applyBorder="0" applyAlignment="0">
      <alignment vertical="center"/>
    </xf>
    <xf numFmtId="49" fontId="11" fillId="0" borderId="0" applyFill="0" applyBorder="0" applyAlignment="0">
      <alignment vertical="center"/>
    </xf>
    <xf numFmtId="264" fontId="110" fillId="0" borderId="0" applyFill="0" applyBorder="0" applyAlignment="0">
      <alignment vertical="center"/>
    </xf>
    <xf numFmtId="266" fontId="110" fillId="0" borderId="0" applyFill="0" applyBorder="0" applyAlignment="0">
      <alignment vertical="center"/>
    </xf>
    <xf numFmtId="264" fontId="180" fillId="0" borderId="0" applyFill="0" applyBorder="0" applyAlignment="0">
      <alignment vertical="center"/>
    </xf>
    <xf numFmtId="264" fontId="180" fillId="0" borderId="0" applyFill="0" applyBorder="0" applyAlignment="0">
      <alignment vertical="center"/>
    </xf>
    <xf numFmtId="264" fontId="180" fillId="0" borderId="0" applyFill="0" applyBorder="0" applyAlignment="0">
      <alignment vertical="center"/>
    </xf>
    <xf numFmtId="266" fontId="110" fillId="0" borderId="0" applyFill="0" applyBorder="0" applyAlignment="0">
      <alignment vertical="center"/>
    </xf>
    <xf numFmtId="0" fontId="153"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51" fillId="0" borderId="0" applyNumberFormat="0" applyFill="0" applyBorder="0" applyAlignment="0" applyProtection="0">
      <alignment vertical="center"/>
    </xf>
    <xf numFmtId="239" fontId="180" fillId="0" borderId="0" applyBorder="0">
      <alignment vertical="center"/>
    </xf>
    <xf numFmtId="0" fontId="91" fillId="0" borderId="50" applyNumberFormat="0" applyFill="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0" fontId="180" fillId="0" borderId="0" applyFont="0" applyFill="0" applyBorder="0" applyAlignment="0" applyProtection="0">
      <alignment vertical="center"/>
    </xf>
    <xf numFmtId="263" fontId="27" fillId="0" borderId="0" applyFont="0" applyFill="0" applyBorder="0" applyAlignment="0" applyProtection="0">
      <alignment vertical="center"/>
    </xf>
    <xf numFmtId="0" fontId="35" fillId="0" borderId="0" applyFont="0" applyFill="0" applyBorder="0" applyAlignment="0" applyProtection="0">
      <alignment vertical="center"/>
    </xf>
    <xf numFmtId="0" fontId="161" fillId="28" borderId="53" applyNumberFormat="0" applyAlignment="0" applyProtection="0">
      <alignment vertical="center"/>
    </xf>
    <xf numFmtId="0" fontId="162" fillId="0" borderId="0" applyNumberFormat="0" applyFill="0" applyBorder="0" applyProtection="0">
      <alignment horizontal="right" vertical="center"/>
    </xf>
    <xf numFmtId="0" fontId="180" fillId="0" borderId="0">
      <alignment vertical="center"/>
    </xf>
    <xf numFmtId="254" fontId="180" fillId="0" borderId="0" applyFont="0" applyFill="0" applyBorder="0" applyAlignment="0" applyProtection="0">
      <alignment vertical="center"/>
    </xf>
    <xf numFmtId="248" fontId="35" fillId="0" borderId="0" applyFont="0" applyFill="0" applyBorder="0" applyAlignment="0" applyProtection="0">
      <alignment vertical="center"/>
    </xf>
    <xf numFmtId="267" fontId="180" fillId="0" borderId="0" applyFont="0" applyFill="0" applyBorder="0" applyAlignment="0" applyProtection="0">
      <alignment vertical="center"/>
    </xf>
    <xf numFmtId="0" fontId="99" fillId="0" borderId="0" applyNumberFormat="0" applyFill="0" applyBorder="0" applyAlignment="0" applyProtection="0">
      <alignment vertical="center"/>
    </xf>
    <xf numFmtId="0" fontId="21" fillId="0" borderId="0">
      <alignment horizontal="left" vertical="center"/>
    </xf>
    <xf numFmtId="0" fontId="21" fillId="0" borderId="0">
      <alignment horizontal="left" vertical="center"/>
    </xf>
    <xf numFmtId="0" fontId="21" fillId="0" borderId="0">
      <alignment horizontal="left" vertical="center"/>
    </xf>
    <xf numFmtId="0" fontId="164" fillId="0" borderId="0">
      <alignment vertical="center"/>
    </xf>
    <xf numFmtId="267" fontId="180" fillId="0" borderId="0" applyFont="0" applyFill="0" applyBorder="0" applyAlignment="0" applyProtection="0">
      <alignment vertical="center"/>
    </xf>
    <xf numFmtId="0" fontId="180" fillId="0" borderId="0">
      <alignment vertical="center"/>
    </xf>
    <xf numFmtId="0" fontId="180" fillId="0" borderId="0">
      <alignment vertical="center"/>
    </xf>
    <xf numFmtId="190" fontId="180" fillId="0" borderId="0">
      <alignment vertical="center"/>
    </xf>
    <xf numFmtId="214" fontId="180" fillId="0" borderId="0">
      <alignment vertical="center"/>
    </xf>
    <xf numFmtId="0" fontId="122" fillId="0" borderId="0">
      <alignment vertical="center"/>
    </xf>
    <xf numFmtId="0" fontId="122" fillId="0" borderId="0">
      <alignment vertical="center"/>
    </xf>
    <xf numFmtId="0" fontId="35" fillId="0" borderId="0">
      <alignment vertical="center"/>
    </xf>
    <xf numFmtId="190" fontId="35" fillId="0" borderId="0">
      <alignment vertical="center"/>
    </xf>
    <xf numFmtId="38" fontId="35" fillId="0" borderId="0" applyFont="0" applyFill="0" applyBorder="0" applyAlignment="0" applyProtection="0">
      <alignment vertical="center"/>
    </xf>
    <xf numFmtId="268" fontId="35" fillId="0" borderId="0" applyFont="0" applyFill="0" applyBorder="0" applyAlignment="0" applyProtection="0">
      <alignment vertical="center"/>
    </xf>
    <xf numFmtId="0" fontId="35" fillId="0" borderId="0" applyFont="0" applyFill="0" applyBorder="0" applyAlignment="0" applyProtection="0">
      <alignment vertical="center"/>
    </xf>
    <xf numFmtId="0" fontId="35" fillId="0" borderId="0" applyFont="0" applyFill="0" applyBorder="0" applyAlignment="0" applyProtection="0">
      <alignment vertical="center"/>
    </xf>
    <xf numFmtId="10" fontId="35" fillId="0" borderId="0" applyFont="0" applyFill="0" applyBorder="0" applyAlignment="0" applyProtection="0">
      <alignment vertical="center"/>
    </xf>
    <xf numFmtId="1" fontId="35" fillId="0" borderId="0" applyFont="0" applyFill="0" applyBorder="0" applyAlignment="0" applyProtection="0">
      <alignment horizontal="right" vertical="center"/>
    </xf>
    <xf numFmtId="0" fontId="156" fillId="0" borderId="0">
      <alignment vertical="center"/>
    </xf>
    <xf numFmtId="265" fontId="35" fillId="0" borderId="0" applyFont="0" applyFill="0" applyBorder="0" applyAlignment="0" applyProtection="0">
      <alignment vertical="center"/>
    </xf>
    <xf numFmtId="260" fontId="35" fillId="0" borderId="0" applyFont="0" applyFill="0" applyBorder="0" applyAlignment="0" applyProtection="0">
      <alignment vertical="center"/>
    </xf>
    <xf numFmtId="262" fontId="35" fillId="0" borderId="0" applyFont="0" applyFill="0" applyBorder="0" applyAlignment="0" applyProtection="0">
      <alignment vertical="center"/>
    </xf>
    <xf numFmtId="0" fontId="157" fillId="0" borderId="0">
      <alignment vertical="center"/>
    </xf>
  </cellStyleXfs>
  <cellXfs count="1674">
    <xf numFmtId="0" fontId="0" fillId="0" borderId="0" xfId="0" applyAlignment="1"/>
    <xf numFmtId="0" fontId="1" fillId="0" borderId="3" xfId="504" applyFont="1" applyFill="1" applyBorder="1" applyAlignment="1">
      <alignment horizontal="center" vertical="center"/>
    </xf>
    <xf numFmtId="0" fontId="1" fillId="0" borderId="4" xfId="504" applyFont="1" applyFill="1" applyBorder="1" applyAlignment="1">
      <alignment horizontal="center" vertical="center"/>
    </xf>
    <xf numFmtId="0" fontId="1" fillId="0" borderId="3" xfId="504" applyFont="1" applyFill="1" applyBorder="1" applyAlignment="1">
      <alignment horizontal="center" vertical="center" wrapText="1"/>
    </xf>
    <xf numFmtId="0" fontId="1" fillId="0" borderId="4" xfId="504" applyFont="1" applyFill="1" applyBorder="1" applyAlignment="1">
      <alignment horizontal="center" vertical="center" wrapText="1"/>
    </xf>
    <xf numFmtId="0" fontId="0" fillId="0" borderId="3" xfId="0" applyBorder="1" applyAlignment="1"/>
    <xf numFmtId="0" fontId="0" fillId="0" borderId="6" xfId="0" applyBorder="1" applyAlignment="1"/>
    <xf numFmtId="0" fontId="0" fillId="0" borderId="3" xfId="0" applyBorder="1" applyAlignment="1">
      <alignment horizontal="center" vertical="center"/>
    </xf>
    <xf numFmtId="0" fontId="5" fillId="0" borderId="0" xfId="504" applyFont="1" applyAlignment="1">
      <alignment vertical="center"/>
    </xf>
    <xf numFmtId="0" fontId="6" fillId="0" borderId="0" xfId="0" applyFont="1" applyAlignment="1"/>
    <xf numFmtId="0" fontId="6" fillId="0" borderId="0" xfId="504" applyFont="1" applyAlignment="1">
      <alignment vertical="center"/>
    </xf>
    <xf numFmtId="0" fontId="6" fillId="2" borderId="0" xfId="0" applyFont="1" applyFill="1" applyAlignment="1"/>
    <xf numFmtId="0" fontId="7" fillId="0" borderId="0" xfId="0" applyFont="1" applyAlignment="1"/>
    <xf numFmtId="0" fontId="7" fillId="0" borderId="0" xfId="504" applyFont="1" applyBorder="1" applyAlignment="1">
      <alignment wrapText="1"/>
    </xf>
    <xf numFmtId="0" fontId="8" fillId="0" borderId="0" xfId="504" applyFont="1" applyBorder="1" applyAlignment="1"/>
    <xf numFmtId="0" fontId="0" fillId="0" borderId="0" xfId="504" applyFont="1" applyFill="1" applyBorder="1" applyAlignment="1"/>
    <xf numFmtId="0" fontId="0" fillId="0" borderId="0" xfId="504" applyFont="1" applyFill="1" applyBorder="1" applyAlignment="1">
      <alignment wrapText="1"/>
    </xf>
    <xf numFmtId="0" fontId="6" fillId="0" borderId="0" xfId="504" applyFont="1" applyFill="1" applyBorder="1" applyAlignment="1"/>
    <xf numFmtId="0" fontId="0" fillId="0" borderId="3" xfId="504" applyFont="1" applyFill="1" applyBorder="1" applyAlignment="1"/>
    <xf numFmtId="0" fontId="0" fillId="0" borderId="0" xfId="0" applyBorder="1" applyAlignment="1"/>
    <xf numFmtId="0" fontId="0" fillId="0" borderId="0" xfId="0" applyFont="1" applyAlignment="1"/>
    <xf numFmtId="0" fontId="11" fillId="0" borderId="0" xfId="0" applyFont="1" applyAlignment="1"/>
    <xf numFmtId="0" fontId="0" fillId="0" borderId="0" xfId="0" applyFill="1" applyAlignment="1"/>
    <xf numFmtId="0" fontId="0" fillId="0" borderId="1" xfId="504" applyFont="1" applyFill="1" applyBorder="1" applyAlignment="1">
      <alignment horizontal="left"/>
    </xf>
    <xf numFmtId="0" fontId="7" fillId="0" borderId="1" xfId="504" applyFont="1" applyBorder="1" applyAlignment="1">
      <alignment horizontal="left" vertical="center"/>
    </xf>
    <xf numFmtId="0" fontId="5" fillId="0" borderId="1" xfId="504" applyFont="1" applyFill="1" applyBorder="1" applyAlignment="1"/>
    <xf numFmtId="0" fontId="12" fillId="0" borderId="1" xfId="504" applyFont="1" applyBorder="1" applyAlignment="1">
      <alignment wrapText="1"/>
    </xf>
    <xf numFmtId="0" fontId="0" fillId="0" borderId="0" xfId="504" applyFont="1" applyFill="1" applyBorder="1" applyAlignment="1">
      <alignment horizontal="left"/>
    </xf>
    <xf numFmtId="0" fontId="13" fillId="0" borderId="0" xfId="504" applyFont="1" applyBorder="1" applyAlignment="1">
      <alignment horizontal="left" vertical="center"/>
    </xf>
    <xf numFmtId="0" fontId="14" fillId="0" borderId="0" xfId="504" applyFont="1" applyFill="1" applyBorder="1" applyAlignment="1"/>
    <xf numFmtId="0" fontId="12" fillId="0" borderId="0" xfId="504" applyFont="1" applyBorder="1" applyAlignment="1">
      <alignment wrapText="1"/>
    </xf>
    <xf numFmtId="0" fontId="7" fillId="0" borderId="0" xfId="504" applyFont="1" applyBorder="1" applyAlignment="1">
      <alignment horizontal="left" vertical="center"/>
    </xf>
    <xf numFmtId="0" fontId="5" fillId="0" borderId="0" xfId="504" applyFont="1" applyFill="1" applyBorder="1" applyAlignment="1"/>
    <xf numFmtId="0" fontId="0" fillId="0" borderId="0" xfId="504" applyFont="1" applyFill="1" applyBorder="1" applyAlignment="1">
      <alignment horizontal="left" wrapText="1"/>
    </xf>
    <xf numFmtId="0" fontId="15" fillId="0" borderId="0" xfId="505" applyFont="1" applyFill="1" applyAlignment="1">
      <alignment horizontal="left" vertical="center"/>
    </xf>
    <xf numFmtId="0" fontId="16" fillId="0" borderId="0" xfId="505" applyFill="1" applyAlignment="1"/>
    <xf numFmtId="0" fontId="12" fillId="0" borderId="0" xfId="504" applyFont="1" applyBorder="1" applyAlignment="1">
      <alignment horizontal="center" wrapText="1"/>
    </xf>
    <xf numFmtId="0" fontId="5" fillId="0" borderId="0" xfId="504" applyFont="1" applyFill="1" applyAlignment="1"/>
    <xf numFmtId="0" fontId="7" fillId="0" borderId="0" xfId="504" applyFont="1" applyAlignment="1">
      <alignment horizontal="left" vertical="center"/>
    </xf>
    <xf numFmtId="0" fontId="0" fillId="0" borderId="0" xfId="504" applyFont="1" applyFill="1" applyAlignment="1">
      <alignment vertical="center"/>
    </xf>
    <xf numFmtId="0" fontId="5" fillId="0" borderId="0" xfId="504" applyFont="1" applyFill="1" applyAlignment="1">
      <alignment vertical="center"/>
    </xf>
    <xf numFmtId="0" fontId="12" fillId="0" borderId="0" xfId="504" applyFont="1" applyBorder="1" applyAlignment="1">
      <alignment vertical="center" wrapText="1"/>
    </xf>
    <xf numFmtId="0" fontId="0" fillId="0" borderId="0" xfId="504" applyFont="1" applyFill="1" applyAlignment="1">
      <alignment horizontal="left"/>
    </xf>
    <xf numFmtId="0" fontId="5" fillId="0" borderId="0" xfId="504" applyFont="1" applyAlignment="1"/>
    <xf numFmtId="0" fontId="12" fillId="0" borderId="0" xfId="504" applyFont="1" applyAlignment="1">
      <alignment wrapText="1"/>
    </xf>
    <xf numFmtId="0" fontId="6" fillId="0" borderId="0" xfId="504" applyFont="1" applyFill="1" applyAlignment="1">
      <alignment horizontal="left"/>
    </xf>
    <xf numFmtId="0" fontId="17" fillId="0" borderId="2" xfId="504" applyFont="1" applyFill="1" applyBorder="1" applyAlignment="1">
      <alignment horizontal="center" vertical="center"/>
    </xf>
    <xf numFmtId="0" fontId="18" fillId="0" borderId="3" xfId="505" applyFont="1" applyFill="1" applyBorder="1" applyAlignment="1">
      <alignment horizontal="center" vertical="center"/>
    </xf>
    <xf numFmtId="0" fontId="6" fillId="0" borderId="0" xfId="504" applyFont="1" applyFill="1" applyAlignment="1">
      <alignment vertical="center"/>
    </xf>
    <xf numFmtId="0" fontId="17" fillId="0" borderId="3" xfId="504" applyFont="1" applyFill="1" applyBorder="1" applyAlignment="1">
      <alignment horizontal="center" vertical="center"/>
    </xf>
    <xf numFmtId="0" fontId="19" fillId="0" borderId="2" xfId="504" applyFont="1" applyFill="1" applyBorder="1" applyAlignment="1">
      <alignment horizontal="center" vertical="center"/>
    </xf>
    <xf numFmtId="0" fontId="20" fillId="0" borderId="3" xfId="504" applyFont="1" applyFill="1" applyBorder="1" applyAlignment="1">
      <alignment horizontal="center" vertical="center"/>
    </xf>
    <xf numFmtId="0" fontId="20" fillId="0" borderId="7" xfId="504" applyFont="1" applyFill="1" applyBorder="1" applyAlignment="1">
      <alignment horizontal="center" vertical="center"/>
    </xf>
    <xf numFmtId="0" fontId="19" fillId="0" borderId="7" xfId="504" applyFont="1" applyFill="1" applyBorder="1" applyAlignment="1">
      <alignment horizontal="center" vertical="center"/>
    </xf>
    <xf numFmtId="273" fontId="19" fillId="0" borderId="7" xfId="504" applyNumberFormat="1" applyFont="1" applyFill="1" applyBorder="1" applyAlignment="1">
      <alignment horizontal="center" vertical="center"/>
    </xf>
    <xf numFmtId="0" fontId="17" fillId="0" borderId="3" xfId="504" applyFont="1" applyFill="1" applyBorder="1" applyAlignment="1">
      <alignment horizontal="center" vertical="center" wrapText="1"/>
    </xf>
    <xf numFmtId="0" fontId="17" fillId="0" borderId="4" xfId="504" applyFont="1" applyFill="1" applyBorder="1" applyAlignment="1">
      <alignment horizontal="center" vertical="center" wrapText="1"/>
    </xf>
    <xf numFmtId="0" fontId="19" fillId="0" borderId="4" xfId="504" applyFont="1" applyFill="1" applyBorder="1" applyAlignment="1">
      <alignment horizontal="center" vertical="center" wrapText="1"/>
    </xf>
    <xf numFmtId="0" fontId="6" fillId="2" borderId="0" xfId="504" applyFont="1" applyFill="1" applyAlignment="1">
      <alignment horizontal="left"/>
    </xf>
    <xf numFmtId="0" fontId="20" fillId="2" borderId="3" xfId="504" applyFont="1" applyFill="1" applyBorder="1" applyAlignment="1">
      <alignment horizontal="center" vertical="center" wrapText="1"/>
    </xf>
    <xf numFmtId="0" fontId="19" fillId="2" borderId="3" xfId="504" applyFont="1" applyFill="1" applyBorder="1" applyAlignment="1">
      <alignment horizontal="center" vertical="center" wrapText="1"/>
    </xf>
    <xf numFmtId="0" fontId="20" fillId="0" borderId="10" xfId="504" applyFont="1" applyFill="1" applyBorder="1" applyAlignment="1">
      <alignment horizontal="center" vertical="center" wrapText="1"/>
    </xf>
    <xf numFmtId="0" fontId="19" fillId="0" borderId="10" xfId="504" applyFont="1" applyFill="1" applyBorder="1" applyAlignment="1">
      <alignment horizontal="center" vertical="center" wrapText="1"/>
    </xf>
    <xf numFmtId="0" fontId="21" fillId="0" borderId="0" xfId="504" applyFont="1" applyFill="1" applyBorder="1" applyAlignment="1">
      <alignment horizontal="left"/>
    </xf>
    <xf numFmtId="0" fontId="5" fillId="0" borderId="0" xfId="504" applyFont="1" applyFill="1" applyAlignment="1">
      <alignment horizontal="center"/>
    </xf>
    <xf numFmtId="0" fontId="21" fillId="0" borderId="4" xfId="504" applyFont="1" applyFill="1" applyBorder="1" applyAlignment="1">
      <alignment horizontal="center" vertical="center" wrapText="1"/>
    </xf>
    <xf numFmtId="0" fontId="24" fillId="0" borderId="8" xfId="504" applyFont="1" applyFill="1" applyBorder="1" applyAlignment="1">
      <alignment vertical="center" wrapText="1"/>
    </xf>
    <xf numFmtId="0" fontId="21" fillId="0" borderId="5" xfId="504" applyFont="1" applyFill="1" applyBorder="1" applyAlignment="1">
      <alignment horizontal="center" vertical="center" wrapText="1"/>
    </xf>
    <xf numFmtId="0" fontId="13" fillId="0" borderId="4" xfId="504" applyFont="1" applyBorder="1" applyAlignment="1">
      <alignment horizontal="center" vertical="center" wrapText="1"/>
    </xf>
    <xf numFmtId="0" fontId="25" fillId="0" borderId="3" xfId="0" applyFont="1" applyBorder="1" applyAlignment="1">
      <alignment horizontal="center" vertical="center"/>
    </xf>
    <xf numFmtId="0" fontId="26" fillId="0" borderId="6" xfId="0" applyFont="1" applyFill="1" applyBorder="1" applyAlignment="1">
      <alignment horizontal="left" textRotation="90"/>
    </xf>
    <xf numFmtId="0" fontId="19" fillId="0" borderId="6" xfId="0" applyFont="1" applyFill="1" applyBorder="1" applyAlignment="1">
      <alignment horizontal="center" vertical="center"/>
    </xf>
    <xf numFmtId="0" fontId="19" fillId="0" borderId="4" xfId="0" applyFont="1" applyFill="1" applyBorder="1" applyAlignment="1">
      <alignment horizontal="center" vertical="center"/>
    </xf>
    <xf numFmtId="0" fontId="19" fillId="0" borderId="5" xfId="0" applyFont="1" applyFill="1" applyBorder="1" applyAlignment="1">
      <alignment horizontal="center" vertical="center"/>
    </xf>
    <xf numFmtId="0" fontId="6" fillId="4" borderId="3" xfId="0" applyFont="1" applyFill="1" applyBorder="1" applyAlignment="1">
      <alignment horizontal="center" vertical="center" shrinkToFit="1"/>
    </xf>
    <xf numFmtId="271" fontId="6" fillId="0" borderId="3" xfId="0" applyNumberFormat="1" applyFont="1" applyFill="1" applyBorder="1" applyAlignment="1">
      <alignment horizontal="center" vertical="center" shrinkToFit="1"/>
    </xf>
    <xf numFmtId="0" fontId="24" fillId="0" borderId="0" xfId="504" applyFont="1" applyFill="1" applyBorder="1" applyAlignment="1">
      <alignment horizontal="center" vertical="center"/>
    </xf>
    <xf numFmtId="0" fontId="31" fillId="0" borderId="3" xfId="0" applyFont="1" applyFill="1" applyBorder="1" applyAlignment="1">
      <alignment horizontal="center" vertical="center"/>
    </xf>
    <xf numFmtId="0" fontId="16" fillId="0" borderId="0" xfId="504" applyAlignment="1"/>
    <xf numFmtId="0" fontId="8" fillId="0" borderId="0" xfId="504" applyFont="1" applyFill="1" applyBorder="1" applyAlignment="1">
      <alignment horizontal="center" vertical="center"/>
    </xf>
    <xf numFmtId="0" fontId="27" fillId="0" borderId="0" xfId="504" applyFont="1" applyFill="1" applyBorder="1" applyAlignment="1"/>
    <xf numFmtId="0" fontId="27" fillId="0" borderId="14" xfId="504" applyFont="1" applyFill="1" applyBorder="1" applyAlignment="1">
      <alignment horizontal="left" wrapText="1"/>
    </xf>
    <xf numFmtId="0" fontId="24" fillId="0" borderId="0" xfId="504" applyFont="1" applyFill="1" applyBorder="1" applyAlignment="1">
      <alignment horizontal="center" vertical="center" textRotation="90"/>
    </xf>
    <xf numFmtId="0" fontId="0" fillId="0" borderId="0" xfId="504" applyFont="1" applyBorder="1" applyAlignment="1"/>
    <xf numFmtId="0" fontId="33" fillId="0" borderId="4" xfId="504" applyFont="1" applyFill="1" applyBorder="1" applyAlignment="1">
      <alignment horizontal="center" vertical="center" wrapText="1"/>
    </xf>
    <xf numFmtId="0" fontId="33" fillId="0" borderId="3" xfId="504" applyFont="1" applyFill="1" applyBorder="1" applyAlignment="1">
      <alignment horizontal="center" vertical="center" wrapText="1"/>
    </xf>
    <xf numFmtId="0" fontId="21" fillId="0" borderId="3" xfId="504" applyFont="1" applyFill="1" applyBorder="1" applyAlignment="1">
      <alignment horizontal="center" vertical="center" wrapText="1"/>
    </xf>
    <xf numFmtId="0" fontId="33" fillId="0" borderId="6" xfId="504" applyFont="1" applyFill="1" applyBorder="1" applyAlignment="1">
      <alignment horizontal="center" vertical="center" wrapText="1"/>
    </xf>
    <xf numFmtId="0" fontId="0" fillId="0" borderId="4" xfId="0" applyBorder="1" applyAlignment="1"/>
    <xf numFmtId="0" fontId="0" fillId="0" borderId="3" xfId="0" applyFill="1" applyBorder="1" applyAlignment="1">
      <alignment horizontal="center" vertical="center"/>
    </xf>
    <xf numFmtId="0" fontId="6" fillId="0" borderId="0" xfId="504" applyFont="1" applyBorder="1" applyAlignment="1">
      <alignment wrapText="1"/>
    </xf>
    <xf numFmtId="0" fontId="34" fillId="0" borderId="0" xfId="504" applyFont="1" applyBorder="1" applyAlignment="1"/>
    <xf numFmtId="0" fontId="6" fillId="0" borderId="0" xfId="504" applyFont="1" applyFill="1" applyBorder="1" applyAlignment="1">
      <alignment wrapText="1"/>
    </xf>
    <xf numFmtId="0" fontId="6" fillId="3" borderId="0" xfId="504" applyFont="1" applyFill="1" applyBorder="1" applyAlignment="1"/>
    <xf numFmtId="0" fontId="35" fillId="0" borderId="0" xfId="504" applyFont="1" applyBorder="1" applyAlignment="1">
      <alignment wrapText="1"/>
    </xf>
    <xf numFmtId="0" fontId="17" fillId="0" borderId="0" xfId="504" applyFont="1" applyFill="1" applyBorder="1" applyAlignment="1">
      <alignment horizontal="left"/>
    </xf>
    <xf numFmtId="0" fontId="6" fillId="0" borderId="0" xfId="504" applyFont="1" applyFill="1" applyBorder="1" applyAlignment="1">
      <alignment horizontal="left" vertical="center"/>
    </xf>
    <xf numFmtId="0" fontId="6" fillId="0" borderId="0" xfId="504" applyFont="1" applyFill="1" applyAlignment="1">
      <alignment horizontal="center"/>
    </xf>
    <xf numFmtId="0" fontId="19" fillId="0" borderId="0" xfId="504" applyFont="1" applyFill="1" applyBorder="1" applyAlignment="1">
      <alignment horizontal="center" vertical="center"/>
    </xf>
    <xf numFmtId="0" fontId="36" fillId="0" borderId="0" xfId="504" applyFont="1" applyFill="1" applyBorder="1" applyAlignment="1">
      <alignment wrapText="1"/>
    </xf>
    <xf numFmtId="0" fontId="17" fillId="0" borderId="2" xfId="504" applyFont="1" applyFill="1" applyBorder="1" applyAlignment="1">
      <alignment vertical="center" wrapText="1"/>
    </xf>
    <xf numFmtId="0" fontId="17" fillId="0" borderId="8" xfId="504" applyFont="1" applyFill="1" applyBorder="1" applyAlignment="1">
      <alignment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37" fillId="0" borderId="3" xfId="0" applyFont="1" applyBorder="1" applyAlignment="1">
      <alignment horizontal="center" vertical="center"/>
    </xf>
    <xf numFmtId="0" fontId="37" fillId="0" borderId="2" xfId="0" applyFont="1" applyBorder="1" applyAlignment="1">
      <alignment horizontal="center" vertical="center"/>
    </xf>
    <xf numFmtId="0" fontId="29" fillId="0" borderId="6" xfId="0" applyFont="1" applyFill="1" applyBorder="1" applyAlignment="1">
      <alignment horizontal="left" textRotation="90"/>
    </xf>
    <xf numFmtId="0" fontId="6" fillId="0" borderId="4" xfId="504" applyFont="1" applyFill="1" applyBorder="1" applyAlignment="1">
      <alignment horizontal="center" vertical="center" wrapText="1"/>
    </xf>
    <xf numFmtId="0" fontId="38" fillId="0" borderId="7" xfId="504" applyFont="1" applyFill="1" applyBorder="1" applyAlignment="1">
      <alignment horizontal="center" vertical="center" wrapText="1"/>
    </xf>
    <xf numFmtId="0" fontId="6" fillId="0" borderId="3" xfId="504" applyFont="1" applyFill="1" applyBorder="1" applyAlignment="1">
      <alignment horizontal="center" vertical="center" wrapText="1"/>
    </xf>
    <xf numFmtId="0" fontId="38" fillId="0" borderId="3" xfId="504" applyFont="1" applyFill="1" applyBorder="1" applyAlignment="1">
      <alignment horizontal="center" vertical="center" wrapText="1"/>
    </xf>
    <xf numFmtId="0" fontId="6" fillId="0" borderId="5" xfId="504" applyFont="1" applyFill="1" applyBorder="1" applyAlignment="1">
      <alignment horizontal="center" vertical="center" wrapText="1"/>
    </xf>
    <xf numFmtId="0" fontId="38" fillId="0" borderId="10" xfId="504" applyFont="1" applyFill="1" applyBorder="1" applyAlignment="1">
      <alignment horizontal="center" vertical="center" wrapText="1"/>
    </xf>
    <xf numFmtId="0" fontId="39" fillId="0" borderId="2" xfId="504" applyFont="1" applyFill="1" applyBorder="1" applyAlignment="1">
      <alignment horizontal="center" vertical="center" wrapText="1"/>
    </xf>
    <xf numFmtId="0" fontId="28" fillId="0" borderId="2" xfId="504" applyFont="1" applyFill="1" applyBorder="1" applyAlignment="1">
      <alignment horizontal="center" vertical="center" wrapText="1"/>
    </xf>
    <xf numFmtId="0" fontId="39" fillId="0" borderId="5" xfId="504" applyFont="1" applyFill="1" applyBorder="1" applyAlignment="1">
      <alignment horizontal="center" vertical="center" wrapText="1"/>
    </xf>
    <xf numFmtId="0" fontId="28" fillId="0" borderId="7" xfId="504" applyFont="1" applyFill="1" applyBorder="1" applyAlignment="1">
      <alignment horizontal="center" vertical="center" wrapText="1"/>
    </xf>
    <xf numFmtId="0" fontId="28" fillId="0" borderId="3" xfId="504" applyFont="1" applyFill="1" applyBorder="1" applyAlignment="1">
      <alignment horizontal="center" vertical="center" wrapText="1"/>
    </xf>
    <xf numFmtId="0" fontId="28" fillId="0" borderId="10" xfId="504" applyFont="1" applyFill="1" applyBorder="1" applyAlignment="1">
      <alignment horizontal="center" vertical="center" wrapText="1"/>
    </xf>
    <xf numFmtId="0" fontId="17" fillId="0" borderId="3" xfId="505" applyFont="1" applyFill="1" applyBorder="1" applyAlignment="1">
      <alignment horizontal="center" vertical="center"/>
    </xf>
    <xf numFmtId="14" fontId="6" fillId="0" borderId="3" xfId="0" applyNumberFormat="1" applyFont="1" applyFill="1" applyBorder="1" applyAlignment="1">
      <alignment horizontal="center" vertical="center" shrinkToFit="1"/>
    </xf>
    <xf numFmtId="0" fontId="30" fillId="0" borderId="3" xfId="0" applyFont="1" applyBorder="1" applyAlignment="1"/>
    <xf numFmtId="0" fontId="17" fillId="0" borderId="0" xfId="504" applyFont="1" applyFill="1" applyBorder="1" applyAlignment="1">
      <alignment horizontal="center" vertical="center"/>
    </xf>
    <xf numFmtId="0" fontId="39" fillId="0" borderId="4" xfId="504" applyFont="1" applyFill="1" applyBorder="1" applyAlignment="1">
      <alignment horizontal="center" vertical="center" textRotation="90" wrapText="1"/>
    </xf>
    <xf numFmtId="0" fontId="30" fillId="4" borderId="3" xfId="504" applyFont="1" applyFill="1" applyBorder="1" applyAlignment="1">
      <alignment horizontal="center" vertical="center" wrapText="1"/>
    </xf>
    <xf numFmtId="0" fontId="34" fillId="0" borderId="6" xfId="0" applyFont="1" applyFill="1" applyBorder="1" applyAlignment="1">
      <alignment horizontal="left" textRotation="90"/>
    </xf>
    <xf numFmtId="0" fontId="17" fillId="0" borderId="3" xfId="0" applyFont="1" applyFill="1" applyBorder="1" applyAlignment="1">
      <alignment horizontal="center" vertical="center"/>
    </xf>
    <xf numFmtId="0" fontId="17" fillId="0" borderId="4" xfId="0" applyFont="1" applyFill="1" applyBorder="1" applyAlignment="1">
      <alignment horizontal="center" vertical="center"/>
    </xf>
    <xf numFmtId="0" fontId="17" fillId="0" borderId="0" xfId="504" applyFont="1" applyFill="1" applyBorder="1" applyAlignment="1">
      <alignment horizontal="center" vertical="center" textRotation="90"/>
    </xf>
    <xf numFmtId="0" fontId="6" fillId="0" borderId="3" xfId="0" applyFont="1" applyFill="1" applyBorder="1" applyAlignment="1">
      <alignment horizontal="center" vertical="center"/>
    </xf>
    <xf numFmtId="273" fontId="19" fillId="0" borderId="3" xfId="504" applyNumberFormat="1" applyFont="1" applyFill="1" applyBorder="1" applyAlignment="1">
      <alignment horizontal="center" vertical="center"/>
    </xf>
    <xf numFmtId="0" fontId="19" fillId="0" borderId="3" xfId="504" applyFont="1" applyFill="1" applyBorder="1" applyAlignment="1">
      <alignment horizontal="center" vertical="center"/>
    </xf>
    <xf numFmtId="0" fontId="17" fillId="0" borderId="6" xfId="0" applyFont="1" applyFill="1" applyBorder="1" applyAlignment="1">
      <alignment horizontal="center" vertical="center"/>
    </xf>
    <xf numFmtId="0" fontId="1" fillId="0" borderId="8" xfId="504" applyFont="1" applyFill="1" applyBorder="1" applyAlignment="1">
      <alignment vertical="center" wrapText="1"/>
    </xf>
    <xf numFmtId="0" fontId="40" fillId="0" borderId="12" xfId="504" applyFont="1" applyFill="1" applyBorder="1" applyAlignment="1">
      <alignment horizontal="center" vertical="center"/>
    </xf>
    <xf numFmtId="0" fontId="1" fillId="0" borderId="15" xfId="504" applyFont="1" applyFill="1" applyBorder="1" applyAlignment="1">
      <alignment horizontal="center" vertical="center" wrapText="1"/>
    </xf>
    <xf numFmtId="0" fontId="2" fillId="0" borderId="6" xfId="504" applyFont="1" applyFill="1" applyBorder="1" applyAlignment="1">
      <alignment horizontal="center" vertical="center" wrapText="1"/>
    </xf>
    <xf numFmtId="0" fontId="1" fillId="0" borderId="6" xfId="504" applyFont="1" applyFill="1" applyBorder="1" applyAlignment="1">
      <alignment horizontal="center" vertical="center" wrapText="1"/>
    </xf>
    <xf numFmtId="0" fontId="40" fillId="0" borderId="3" xfId="0" applyFont="1" applyBorder="1" applyAlignment="1">
      <alignment vertical="center"/>
    </xf>
    <xf numFmtId="0" fontId="41" fillId="0" borderId="4" xfId="504" applyFont="1" applyFill="1" applyBorder="1" applyAlignment="1">
      <alignment horizontal="center" vertical="center" wrapText="1"/>
    </xf>
    <xf numFmtId="0" fontId="41" fillId="0" borderId="4" xfId="504" applyFont="1" applyFill="1" applyBorder="1" applyAlignment="1">
      <alignment wrapText="1"/>
    </xf>
    <xf numFmtId="0" fontId="41" fillId="0" borderId="3" xfId="504" applyFont="1" applyFill="1" applyBorder="1" applyAlignment="1">
      <alignment horizontal="center" vertical="center" wrapText="1"/>
    </xf>
    <xf numFmtId="0" fontId="41" fillId="0" borderId="3" xfId="504" applyFont="1" applyFill="1" applyBorder="1" applyAlignment="1">
      <alignment wrapText="1"/>
    </xf>
    <xf numFmtId="0" fontId="41" fillId="0" borderId="13" xfId="504" applyFont="1" applyFill="1" applyBorder="1" applyAlignment="1">
      <alignment horizontal="center" vertical="center" wrapText="1"/>
    </xf>
    <xf numFmtId="0" fontId="41" fillId="0" borderId="13" xfId="504" applyFont="1" applyFill="1" applyBorder="1" applyAlignment="1">
      <alignment wrapText="1"/>
    </xf>
    <xf numFmtId="0" fontId="41" fillId="4" borderId="16" xfId="504" applyFont="1" applyFill="1" applyBorder="1" applyAlignment="1">
      <alignment horizontal="center" vertical="center" wrapText="1"/>
    </xf>
    <xf numFmtId="0" fontId="41" fillId="4" borderId="16" xfId="504" applyFont="1" applyFill="1" applyBorder="1" applyAlignment="1">
      <alignment horizontal="left" vertical="center" wrapText="1"/>
    </xf>
    <xf numFmtId="0" fontId="41" fillId="4" borderId="3" xfId="504" applyFont="1" applyFill="1" applyBorder="1" applyAlignment="1">
      <alignment horizontal="center" vertical="center" wrapText="1"/>
    </xf>
    <xf numFmtId="0" fontId="1" fillId="0" borderId="16" xfId="504" applyFont="1" applyFill="1" applyBorder="1" applyAlignment="1">
      <alignment vertical="center" wrapText="1"/>
    </xf>
    <xf numFmtId="0" fontId="42" fillId="0" borderId="3" xfId="0" applyFont="1" applyBorder="1" applyAlignment="1">
      <alignment horizontal="center" vertical="center"/>
    </xf>
    <xf numFmtId="0" fontId="43" fillId="0" borderId="6" xfId="0" applyFont="1" applyFill="1" applyBorder="1" applyAlignment="1">
      <alignment horizontal="center" textRotation="90"/>
    </xf>
    <xf numFmtId="0" fontId="41" fillId="6" borderId="4" xfId="504" applyFont="1" applyFill="1" applyBorder="1" applyAlignment="1">
      <alignment horizontal="center" vertical="center" wrapText="1"/>
    </xf>
    <xf numFmtId="0" fontId="41" fillId="5" borderId="3" xfId="504" applyFont="1" applyFill="1" applyBorder="1" applyAlignment="1">
      <alignment horizontal="center" vertical="center" wrapText="1"/>
    </xf>
    <xf numFmtId="0" fontId="1" fillId="0" borderId="13" xfId="504" applyFont="1" applyFill="1" applyBorder="1" applyAlignment="1">
      <alignment horizontal="center" vertical="center" wrapText="1"/>
    </xf>
    <xf numFmtId="0" fontId="41" fillId="6" borderId="5" xfId="504" applyFont="1" applyFill="1" applyBorder="1" applyAlignment="1">
      <alignment horizontal="center" vertical="center" wrapText="1"/>
    </xf>
    <xf numFmtId="14" fontId="40" fillId="0" borderId="16" xfId="504" applyNumberFormat="1" applyFont="1" applyFill="1" applyBorder="1" applyAlignment="1" applyProtection="1">
      <alignment horizontal="center" vertical="center" wrapText="1"/>
      <protection locked="0"/>
    </xf>
    <xf numFmtId="0" fontId="41" fillId="5" borderId="4" xfId="504" applyFont="1" applyFill="1" applyBorder="1" applyAlignment="1">
      <alignment horizontal="center" vertical="center" wrapText="1"/>
    </xf>
    <xf numFmtId="272" fontId="40" fillId="0" borderId="16" xfId="504" applyNumberFormat="1" applyFont="1" applyFill="1" applyBorder="1" applyAlignment="1" applyProtection="1">
      <alignment horizontal="center" vertical="center" wrapText="1"/>
      <protection locked="0"/>
    </xf>
    <xf numFmtId="0" fontId="21" fillId="3" borderId="3" xfId="504" applyFont="1" applyFill="1" applyBorder="1" applyAlignment="1">
      <alignment horizontal="center" vertical="center" wrapText="1"/>
    </xf>
    <xf numFmtId="0" fontId="39" fillId="0" borderId="3" xfId="504" applyFont="1" applyFill="1" applyBorder="1" applyAlignment="1">
      <alignment horizontal="left" vertical="center" wrapText="1"/>
    </xf>
    <xf numFmtId="0" fontId="39" fillId="0" borderId="10" xfId="504" applyFont="1" applyFill="1" applyBorder="1" applyAlignment="1">
      <alignment horizontal="left" vertical="center" wrapText="1"/>
    </xf>
    <xf numFmtId="0" fontId="21" fillId="3" borderId="4" xfId="504" applyFont="1" applyFill="1" applyBorder="1" applyAlignment="1">
      <alignment horizontal="center" vertical="center" wrapText="1"/>
    </xf>
    <xf numFmtId="0" fontId="39" fillId="0" borderId="7" xfId="504" applyFont="1" applyFill="1" applyBorder="1" applyAlignment="1">
      <alignment horizontal="left" vertical="center" wrapText="1"/>
    </xf>
    <xf numFmtId="0" fontId="6" fillId="0" borderId="6" xfId="504" applyFont="1" applyFill="1" applyBorder="1" applyAlignment="1">
      <alignment horizontal="center" vertical="center" wrapText="1"/>
    </xf>
    <xf numFmtId="0" fontId="21" fillId="0" borderId="6" xfId="504" applyFont="1" applyFill="1" applyBorder="1" applyAlignment="1">
      <alignment horizontal="center" vertical="center" wrapText="1"/>
    </xf>
    <xf numFmtId="0" fontId="41" fillId="3" borderId="3" xfId="504" applyFont="1" applyFill="1" applyBorder="1" applyAlignment="1">
      <alignment horizontal="center" vertical="center" wrapText="1"/>
    </xf>
    <xf numFmtId="0" fontId="41" fillId="0" borderId="6" xfId="504" applyFont="1" applyFill="1" applyBorder="1" applyAlignment="1">
      <alignment horizontal="center" vertical="center" wrapText="1"/>
    </xf>
    <xf numFmtId="0" fontId="41" fillId="0" borderId="6" xfId="504" applyFont="1" applyFill="1" applyBorder="1" applyAlignment="1">
      <alignment horizontal="left" vertical="center" wrapText="1"/>
    </xf>
    <xf numFmtId="0" fontId="41" fillId="0" borderId="3" xfId="504" applyFont="1" applyFill="1" applyBorder="1" applyAlignment="1">
      <alignment vertical="center" wrapText="1"/>
    </xf>
    <xf numFmtId="0" fontId="41" fillId="0" borderId="16" xfId="504" applyFont="1" applyFill="1" applyBorder="1" applyAlignment="1">
      <alignment vertical="center" wrapText="1"/>
    </xf>
    <xf numFmtId="0" fontId="41" fillId="0" borderId="4" xfId="504" applyFont="1" applyFill="1" applyBorder="1" applyAlignment="1">
      <alignment horizontal="left" vertical="center" wrapText="1"/>
    </xf>
    <xf numFmtId="0" fontId="40" fillId="3" borderId="3" xfId="504" applyFont="1" applyFill="1" applyBorder="1" applyAlignment="1"/>
    <xf numFmtId="0" fontId="40" fillId="0" borderId="3" xfId="504" applyFont="1" applyFill="1" applyBorder="1" applyAlignment="1"/>
    <xf numFmtId="0" fontId="40" fillId="0" borderId="4" xfId="504" applyFont="1" applyFill="1" applyBorder="1" applyAlignment="1"/>
    <xf numFmtId="0" fontId="44" fillId="0" borderId="6" xfId="504" applyFont="1" applyFill="1" applyBorder="1" applyAlignment="1">
      <alignment horizontal="center" vertical="center"/>
    </xf>
    <xf numFmtId="0" fontId="41" fillId="5" borderId="5" xfId="504" applyFont="1" applyFill="1" applyBorder="1" applyAlignment="1">
      <alignment horizontal="center" vertical="center" wrapText="1"/>
    </xf>
    <xf numFmtId="0" fontId="41" fillId="5" borderId="6" xfId="504" applyFont="1" applyFill="1" applyBorder="1" applyAlignment="1">
      <alignment horizontal="center" vertical="center" wrapText="1"/>
    </xf>
    <xf numFmtId="0" fontId="0" fillId="2" borderId="0" xfId="0" applyFill="1" applyBorder="1" applyAlignment="1"/>
    <xf numFmtId="0" fontId="46" fillId="0" borderId="0" xfId="504" applyFont="1" applyFill="1" applyBorder="1" applyAlignment="1"/>
    <xf numFmtId="0" fontId="46" fillId="0" borderId="3" xfId="504" applyFont="1" applyFill="1" applyBorder="1" applyAlignment="1"/>
    <xf numFmtId="0" fontId="47" fillId="0" borderId="0" xfId="504" applyFont="1" applyFill="1" applyBorder="1" applyAlignment="1"/>
    <xf numFmtId="0" fontId="48" fillId="0" borderId="0" xfId="504" applyFont="1" applyFill="1" applyBorder="1" applyAlignment="1"/>
    <xf numFmtId="0" fontId="48" fillId="0" borderId="3" xfId="504" applyFont="1" applyFill="1" applyBorder="1" applyAlignment="1"/>
    <xf numFmtId="0" fontId="5" fillId="0" borderId="1" xfId="504" applyFont="1" applyBorder="1" applyAlignment="1"/>
    <xf numFmtId="0" fontId="5" fillId="0" borderId="0" xfId="504" applyFont="1" applyBorder="1" applyAlignment="1"/>
    <xf numFmtId="0" fontId="15" fillId="0" borderId="0" xfId="505" applyFont="1" applyFill="1" applyBorder="1" applyAlignment="1">
      <alignment horizontal="left" vertical="center"/>
    </xf>
    <xf numFmtId="0" fontId="5" fillId="0" borderId="0" xfId="504" applyFont="1" applyFill="1" applyBorder="1" applyAlignment="1">
      <alignment vertical="center"/>
    </xf>
    <xf numFmtId="0" fontId="5" fillId="0" borderId="0" xfId="504" applyFont="1" applyBorder="1" applyAlignment="1">
      <alignment vertical="center"/>
    </xf>
    <xf numFmtId="0" fontId="0" fillId="0" borderId="0" xfId="504" applyFont="1" applyBorder="1" applyAlignment="1">
      <alignment horizontal="left"/>
    </xf>
    <xf numFmtId="0" fontId="24" fillId="0" borderId="3" xfId="504" applyFont="1" applyFill="1" applyBorder="1" applyAlignment="1">
      <alignment horizontal="center" vertical="center"/>
    </xf>
    <xf numFmtId="0" fontId="5" fillId="0" borderId="16" xfId="504" applyFont="1" applyBorder="1" applyAlignment="1"/>
    <xf numFmtId="0" fontId="22" fillId="0" borderId="2" xfId="504" applyFont="1" applyFill="1" applyBorder="1" applyAlignment="1">
      <alignment horizontal="center" vertical="center"/>
    </xf>
    <xf numFmtId="0" fontId="0" fillId="0" borderId="0" xfId="504" applyFont="1" applyFill="1" applyBorder="1" applyAlignment="1">
      <alignment vertical="center"/>
    </xf>
    <xf numFmtId="0" fontId="24" fillId="0" borderId="16" xfId="505" applyFont="1" applyFill="1" applyBorder="1" applyAlignment="1">
      <alignment horizontal="center" vertical="center"/>
    </xf>
    <xf numFmtId="0" fontId="49" fillId="0" borderId="2" xfId="504" applyFont="1" applyFill="1" applyBorder="1" applyAlignment="1">
      <alignment horizontal="center" vertical="center"/>
    </xf>
    <xf numFmtId="0" fontId="50" fillId="0" borderId="3" xfId="504" applyFont="1" applyFill="1" applyBorder="1" applyAlignment="1">
      <alignment horizontal="center" vertical="center"/>
    </xf>
    <xf numFmtId="0" fontId="51" fillId="0" borderId="16" xfId="505" applyFont="1" applyFill="1" applyBorder="1" applyAlignment="1">
      <alignment horizontal="center" vertical="center"/>
    </xf>
    <xf numFmtId="0" fontId="52" fillId="0" borderId="16" xfId="504" applyFont="1" applyFill="1" applyBorder="1" applyAlignment="1">
      <alignment horizontal="center" vertical="center"/>
    </xf>
    <xf numFmtId="0" fontId="0" fillId="4" borderId="4" xfId="0" applyFont="1" applyFill="1" applyBorder="1" applyAlignment="1">
      <alignment horizontal="center" vertical="center" shrinkToFit="1"/>
    </xf>
    <xf numFmtId="269" fontId="46" fillId="4" borderId="3" xfId="0" applyNumberFormat="1" applyFont="1" applyFill="1" applyBorder="1" applyAlignment="1">
      <alignment horizontal="center" vertical="center" shrinkToFit="1"/>
    </xf>
    <xf numFmtId="0" fontId="22" fillId="0" borderId="16" xfId="504" applyFont="1" applyFill="1" applyBorder="1" applyAlignment="1">
      <alignment horizontal="center" vertical="center"/>
    </xf>
    <xf numFmtId="271" fontId="13" fillId="0" borderId="4" xfId="505" applyNumberFormat="1" applyFont="1" applyFill="1" applyBorder="1" applyAlignment="1">
      <alignment horizontal="center" vertical="center"/>
    </xf>
    <xf numFmtId="0" fontId="24" fillId="0" borderId="3" xfId="504" applyFont="1" applyFill="1" applyBorder="1" applyAlignment="1">
      <alignment horizontal="center" vertical="center" wrapText="1"/>
    </xf>
    <xf numFmtId="271" fontId="13" fillId="0" borderId="16" xfId="505" applyNumberFormat="1" applyFont="1" applyFill="1" applyBorder="1" applyAlignment="1">
      <alignment horizontal="center" vertical="center"/>
    </xf>
    <xf numFmtId="0" fontId="22" fillId="0" borderId="4" xfId="504" applyFont="1" applyFill="1" applyBorder="1" applyAlignment="1">
      <alignment horizontal="center" vertical="center" wrapText="1"/>
    </xf>
    <xf numFmtId="0" fontId="0" fillId="2" borderId="0" xfId="504" applyFont="1" applyFill="1" applyBorder="1" applyAlignment="1">
      <alignment horizontal="left"/>
    </xf>
    <xf numFmtId="0" fontId="50" fillId="2" borderId="3" xfId="504" applyFont="1" applyFill="1" applyBorder="1" applyAlignment="1">
      <alignment horizontal="center" vertical="center" wrapText="1"/>
    </xf>
    <xf numFmtId="0" fontId="13" fillId="2" borderId="16" xfId="505" applyFont="1" applyFill="1" applyBorder="1" applyAlignment="1">
      <alignment horizontal="center" vertical="center"/>
    </xf>
    <xf numFmtId="0" fontId="22" fillId="2" borderId="3" xfId="504" applyFont="1" applyFill="1" applyBorder="1" applyAlignment="1">
      <alignment horizontal="center" vertical="center" wrapText="1"/>
    </xf>
    <xf numFmtId="271" fontId="53" fillId="0" borderId="16" xfId="505" applyNumberFormat="1" applyFont="1" applyFill="1" applyBorder="1" applyAlignment="1">
      <alignment horizontal="center" vertical="center"/>
    </xf>
    <xf numFmtId="0" fontId="22" fillId="0" borderId="10" xfId="504" applyFont="1" applyFill="1" applyBorder="1" applyAlignment="1">
      <alignment horizontal="center" vertical="center" wrapText="1"/>
    </xf>
    <xf numFmtId="0" fontId="21" fillId="0" borderId="7" xfId="504" applyFont="1" applyFill="1" applyBorder="1" applyAlignment="1">
      <alignment horizontal="center" vertical="center" wrapText="1"/>
    </xf>
    <xf numFmtId="0" fontId="10" fillId="0" borderId="4" xfId="504" applyFont="1" applyFill="1" applyBorder="1" applyAlignment="1">
      <alignment horizontal="center" vertical="center" wrapText="1"/>
    </xf>
    <xf numFmtId="0" fontId="25" fillId="0" borderId="2" xfId="0" applyFont="1" applyBorder="1" applyAlignment="1">
      <alignment horizontal="center" vertical="center"/>
    </xf>
    <xf numFmtId="0" fontId="25" fillId="0" borderId="16" xfId="0" applyFont="1" applyBorder="1" applyAlignment="1">
      <alignment horizontal="center" vertical="center"/>
    </xf>
    <xf numFmtId="0" fontId="21" fillId="0" borderId="2"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10" fillId="0" borderId="3" xfId="504" applyFont="1" applyFill="1" applyBorder="1" applyAlignment="1">
      <alignment horizontal="center" vertical="center" wrapText="1"/>
    </xf>
    <xf numFmtId="0" fontId="33" fillId="0" borderId="8" xfId="504" applyFont="1" applyFill="1" applyBorder="1" applyAlignment="1">
      <alignment horizontal="center" vertical="center" wrapText="1"/>
    </xf>
    <xf numFmtId="0" fontId="33" fillId="0" borderId="11" xfId="504" applyFont="1" applyFill="1" applyBorder="1" applyAlignment="1">
      <alignment horizontal="center" vertical="center" wrapText="1"/>
    </xf>
    <xf numFmtId="0" fontId="54" fillId="0" borderId="3" xfId="504" applyFont="1" applyFill="1" applyBorder="1" applyAlignment="1">
      <alignment horizontal="center" vertical="center" wrapText="1"/>
    </xf>
    <xf numFmtId="0" fontId="21" fillId="0" borderId="9" xfId="504" applyFont="1" applyFill="1" applyBorder="1" applyAlignment="1">
      <alignment horizontal="center" vertical="center" wrapText="1"/>
    </xf>
    <xf numFmtId="0" fontId="10" fillId="0" borderId="6" xfId="504" applyFont="1" applyFill="1" applyBorder="1" applyAlignment="1">
      <alignment horizontal="center" vertical="center" wrapText="1"/>
    </xf>
    <xf numFmtId="0" fontId="54" fillId="0" borderId="6" xfId="504" applyFont="1" applyFill="1" applyBorder="1" applyAlignment="1">
      <alignment horizontal="center" vertical="center" wrapText="1"/>
    </xf>
    <xf numFmtId="0" fontId="54" fillId="0" borderId="4" xfId="504" applyFont="1" applyFill="1" applyBorder="1" applyAlignment="1">
      <alignment horizontal="center" vertical="center" wrapText="1"/>
    </xf>
    <xf numFmtId="0" fontId="33" fillId="0" borderId="16" xfId="504" applyFont="1" applyFill="1" applyBorder="1" applyAlignment="1">
      <alignment horizontal="center" vertical="center" wrapText="1"/>
    </xf>
    <xf numFmtId="0" fontId="0" fillId="4" borderId="3" xfId="0" applyFont="1" applyFill="1" applyBorder="1" applyAlignment="1">
      <alignment horizontal="center" vertical="center" shrinkToFit="1"/>
    </xf>
    <xf numFmtId="0" fontId="55" fillId="2" borderId="3" xfId="504" applyNumberFormat="1" applyFont="1" applyFill="1" applyBorder="1" applyAlignment="1">
      <alignment horizontal="center" vertical="center" wrapText="1"/>
    </xf>
    <xf numFmtId="271" fontId="0" fillId="0" borderId="3" xfId="0" applyNumberFormat="1" applyFont="1" applyFill="1" applyBorder="1" applyAlignment="1">
      <alignment horizontal="center" vertical="center" shrinkToFit="1"/>
    </xf>
    <xf numFmtId="0" fontId="55" fillId="4" borderId="3" xfId="504" applyFont="1" applyFill="1" applyBorder="1" applyAlignment="1">
      <alignment horizontal="center" vertical="center" wrapText="1"/>
    </xf>
    <xf numFmtId="271" fontId="13" fillId="0" borderId="3" xfId="505" applyNumberFormat="1" applyFont="1" applyFill="1" applyBorder="1" applyAlignment="1">
      <alignment horizontal="center" vertical="center"/>
    </xf>
    <xf numFmtId="0" fontId="10" fillId="0" borderId="5" xfId="504" applyFont="1" applyFill="1" applyBorder="1" applyAlignment="1">
      <alignment horizontal="center" vertical="center" wrapText="1"/>
    </xf>
    <xf numFmtId="0" fontId="21" fillId="0" borderId="3" xfId="0" applyFont="1" applyBorder="1" applyAlignment="1">
      <alignment vertical="center"/>
    </xf>
    <xf numFmtId="0" fontId="33" fillId="0" borderId="3" xfId="504" applyFont="1" applyFill="1" applyBorder="1" applyAlignment="1">
      <alignment horizontal="left" vertical="center" wrapText="1"/>
    </xf>
    <xf numFmtId="0" fontId="7" fillId="0" borderId="0" xfId="0" applyFont="1" applyBorder="1" applyAlignment="1"/>
    <xf numFmtId="0" fontId="57" fillId="0" borderId="6" xfId="0" applyFont="1" applyFill="1" applyBorder="1" applyAlignment="1">
      <alignment horizontal="center" textRotation="90"/>
    </xf>
    <xf numFmtId="0" fontId="33" fillId="0" borderId="16" xfId="504" applyFont="1" applyFill="1" applyBorder="1" applyAlignment="1">
      <alignment wrapText="1"/>
    </xf>
    <xf numFmtId="0" fontId="58" fillId="0" borderId="16" xfId="504" applyFont="1" applyFill="1" applyBorder="1" applyAlignment="1"/>
    <xf numFmtId="0" fontId="59" fillId="6" borderId="4" xfId="504" applyFont="1" applyFill="1" applyBorder="1" applyAlignment="1">
      <alignment horizontal="center" vertical="center" wrapText="1"/>
    </xf>
    <xf numFmtId="0" fontId="59" fillId="5" borderId="4" xfId="504" applyFont="1" applyFill="1" applyBorder="1" applyAlignment="1">
      <alignment horizontal="center" vertical="center" wrapText="1"/>
    </xf>
    <xf numFmtId="0" fontId="33" fillId="0" borderId="3" xfId="504" applyFont="1" applyFill="1" applyBorder="1" applyAlignment="1">
      <alignment wrapText="1"/>
    </xf>
    <xf numFmtId="0" fontId="59" fillId="5" borderId="3" xfId="504" applyFont="1" applyFill="1" applyBorder="1" applyAlignment="1">
      <alignment horizontal="center" vertical="center" wrapText="1"/>
    </xf>
    <xf numFmtId="0" fontId="61" fillId="0" borderId="3" xfId="504" applyFont="1" applyFill="1" applyBorder="1" applyAlignment="1">
      <alignment horizontal="center" vertical="center" wrapText="1"/>
    </xf>
    <xf numFmtId="0" fontId="33" fillId="5" borderId="3" xfId="504" applyFont="1" applyFill="1" applyBorder="1" applyAlignment="1">
      <alignment horizontal="center" vertical="center" wrapText="1"/>
    </xf>
    <xf numFmtId="0" fontId="33" fillId="0" borderId="16" xfId="504" applyFont="1" applyFill="1" applyBorder="1" applyAlignment="1">
      <alignment horizontal="left" vertical="center" wrapText="1"/>
    </xf>
    <xf numFmtId="14" fontId="58" fillId="0" borderId="16" xfId="504" applyNumberFormat="1" applyFont="1" applyFill="1" applyBorder="1" applyAlignment="1" applyProtection="1">
      <alignment horizontal="center" vertical="center" wrapText="1"/>
      <protection locked="0"/>
    </xf>
    <xf numFmtId="272" fontId="58" fillId="0" borderId="16" xfId="504" applyNumberFormat="1" applyFont="1" applyFill="1" applyBorder="1" applyAlignment="1" applyProtection="1">
      <alignment horizontal="center" vertical="center" wrapText="1"/>
      <protection locked="0"/>
    </xf>
    <xf numFmtId="0" fontId="0" fillId="2" borderId="0" xfId="0" applyFill="1" applyAlignment="1"/>
    <xf numFmtId="0" fontId="21" fillId="0" borderId="10" xfId="504" applyFont="1" applyFill="1" applyBorder="1" applyAlignment="1">
      <alignment horizontal="center" vertical="center" wrapText="1"/>
    </xf>
    <xf numFmtId="0" fontId="33" fillId="0" borderId="14" xfId="504" applyFont="1" applyFill="1" applyBorder="1" applyAlignment="1">
      <alignment horizontal="center" vertical="center" wrapText="1"/>
    </xf>
    <xf numFmtId="0" fontId="63" fillId="3" borderId="3" xfId="504" applyFont="1" applyFill="1" applyBorder="1" applyAlignment="1">
      <alignment horizontal="center" vertical="center" wrapText="1"/>
    </xf>
    <xf numFmtId="0" fontId="33" fillId="3" borderId="3" xfId="504" applyFont="1" applyFill="1" applyBorder="1" applyAlignment="1">
      <alignment horizontal="center" vertical="center" wrapText="1"/>
    </xf>
    <xf numFmtId="0" fontId="21" fillId="3" borderId="10" xfId="504" applyFont="1" applyFill="1" applyBorder="1" applyAlignment="1">
      <alignment horizontal="center" vertical="center" wrapText="1"/>
    </xf>
    <xf numFmtId="0" fontId="21" fillId="3" borderId="2" xfId="504" applyFont="1" applyFill="1" applyBorder="1" applyAlignment="1">
      <alignment horizontal="center" vertical="center" wrapText="1"/>
    </xf>
    <xf numFmtId="0" fontId="64" fillId="3" borderId="3" xfId="504" applyFont="1" applyFill="1" applyBorder="1" applyAlignment="1">
      <alignment horizontal="center" vertical="center" wrapText="1"/>
    </xf>
    <xf numFmtId="0" fontId="64" fillId="0" borderId="3" xfId="504" applyFont="1" applyFill="1" applyBorder="1" applyAlignment="1">
      <alignment horizontal="center" vertical="center" wrapText="1"/>
    </xf>
    <xf numFmtId="0" fontId="64" fillId="0" borderId="8" xfId="504" applyFont="1" applyFill="1" applyBorder="1" applyAlignment="1">
      <alignment horizontal="center" vertical="center" wrapText="1"/>
    </xf>
    <xf numFmtId="0" fontId="65" fillId="0" borderId="3" xfId="504" applyFont="1" applyFill="1" applyBorder="1" applyAlignment="1">
      <alignment horizontal="center" vertical="center" wrapText="1"/>
    </xf>
    <xf numFmtId="0" fontId="64" fillId="0" borderId="5" xfId="504" applyFont="1" applyFill="1" applyBorder="1" applyAlignment="1">
      <alignment horizontal="center" vertical="center" wrapText="1"/>
    </xf>
    <xf numFmtId="0" fontId="64" fillId="0" borderId="3" xfId="504" applyFont="1" applyFill="1" applyBorder="1" applyAlignment="1">
      <alignment vertical="center" wrapText="1"/>
    </xf>
    <xf numFmtId="0" fontId="21" fillId="3" borderId="7" xfId="504" applyFont="1" applyFill="1" applyBorder="1" applyAlignment="1">
      <alignment horizontal="center" vertical="center" wrapText="1"/>
    </xf>
    <xf numFmtId="0" fontId="64" fillId="0" borderId="4" xfId="504" applyFont="1" applyFill="1" applyBorder="1" applyAlignment="1">
      <alignment horizontal="center" vertical="center" wrapText="1"/>
    </xf>
    <xf numFmtId="0" fontId="64" fillId="0" borderId="11" xfId="504" applyFont="1" applyFill="1" applyBorder="1" applyAlignment="1">
      <alignment horizontal="center" vertical="center" wrapText="1"/>
    </xf>
    <xf numFmtId="0" fontId="63" fillId="0" borderId="3" xfId="504" applyFont="1" applyFill="1" applyBorder="1" applyAlignment="1">
      <alignment horizontal="center" vertical="center" wrapText="1"/>
    </xf>
    <xf numFmtId="0" fontId="61" fillId="0" borderId="8" xfId="504" applyFont="1" applyFill="1" applyBorder="1" applyAlignment="1">
      <alignment horizontal="center" vertical="center" wrapText="1"/>
    </xf>
    <xf numFmtId="0" fontId="0" fillId="0" borderId="3" xfId="0" applyFont="1" applyBorder="1" applyAlignment="1"/>
    <xf numFmtId="0" fontId="64" fillId="3" borderId="16" xfId="504" applyFont="1" applyFill="1" applyBorder="1" applyAlignment="1">
      <alignment horizontal="center" vertical="center" wrapText="1"/>
    </xf>
    <xf numFmtId="0" fontId="33" fillId="3" borderId="4" xfId="504" applyFont="1" applyFill="1" applyBorder="1" applyAlignment="1">
      <alignment horizontal="center" vertical="center" wrapText="1"/>
    </xf>
    <xf numFmtId="0" fontId="64" fillId="3" borderId="4" xfId="504" applyFont="1" applyFill="1" applyBorder="1" applyAlignment="1">
      <alignment vertical="center" wrapText="1"/>
    </xf>
    <xf numFmtId="0" fontId="33" fillId="0" borderId="3" xfId="504" applyFont="1" applyFill="1" applyBorder="1" applyAlignment="1">
      <alignment vertical="center" wrapText="1"/>
    </xf>
    <xf numFmtId="0" fontId="58" fillId="0" borderId="3" xfId="504" applyFont="1" applyFill="1" applyBorder="1" applyAlignment="1">
      <alignment horizontal="center" vertical="center"/>
    </xf>
    <xf numFmtId="0" fontId="58" fillId="0" borderId="3" xfId="504" applyFont="1" applyFill="1" applyBorder="1" applyAlignment="1">
      <alignment horizontal="center" vertical="center" wrapText="1"/>
    </xf>
    <xf numFmtId="0" fontId="33" fillId="0" borderId="4" xfId="504" applyFont="1" applyFill="1" applyBorder="1" applyAlignment="1">
      <alignment vertical="center" wrapText="1"/>
    </xf>
    <xf numFmtId="0" fontId="58" fillId="0" borderId="4" xfId="504" applyFont="1" applyFill="1" applyBorder="1" applyAlignment="1">
      <alignment horizontal="center" vertical="center"/>
    </xf>
    <xf numFmtId="0" fontId="33" fillId="3" borderId="3" xfId="504" applyFont="1" applyFill="1" applyBorder="1" applyAlignment="1">
      <alignment vertical="center" wrapText="1"/>
    </xf>
    <xf numFmtId="0" fontId="33" fillId="5" borderId="4" xfId="504" applyFont="1" applyFill="1" applyBorder="1" applyAlignment="1">
      <alignment horizontal="center" vertical="center" wrapText="1"/>
    </xf>
    <xf numFmtId="0" fontId="61" fillId="0" borderId="6" xfId="504" applyFont="1" applyFill="1" applyBorder="1" applyAlignment="1">
      <alignment horizontal="center" vertical="center" wrapText="1"/>
    </xf>
    <xf numFmtId="0" fontId="61" fillId="0" borderId="6" xfId="504" applyFont="1" applyFill="1" applyBorder="1" applyAlignment="1">
      <alignment horizontal="left" vertical="center" wrapText="1"/>
    </xf>
    <xf numFmtId="0" fontId="66" fillId="0" borderId="6" xfId="504" applyFont="1" applyFill="1" applyBorder="1" applyAlignment="1">
      <alignment horizontal="center" vertical="center"/>
    </xf>
    <xf numFmtId="0" fontId="33" fillId="5" borderId="5" xfId="504" applyFont="1" applyFill="1" applyBorder="1" applyAlignment="1">
      <alignment horizontal="center" vertical="center" wrapText="1"/>
    </xf>
    <xf numFmtId="0" fontId="33" fillId="3" borderId="3" xfId="504" applyFont="1" applyFill="1" applyBorder="1" applyAlignment="1">
      <alignment horizontal="left" vertical="center" wrapText="1"/>
    </xf>
    <xf numFmtId="0" fontId="67" fillId="3" borderId="3" xfId="504" applyFont="1" applyFill="1" applyBorder="1" applyAlignment="1">
      <alignment horizontal="center" vertical="center"/>
    </xf>
    <xf numFmtId="0" fontId="64" fillId="0" borderId="3" xfId="504" applyFont="1" applyFill="1" applyBorder="1" applyAlignment="1">
      <alignment horizontal="left" vertical="center" wrapText="1"/>
    </xf>
    <xf numFmtId="0" fontId="68" fillId="0" borderId="3" xfId="504" applyFont="1" applyFill="1" applyBorder="1" applyAlignment="1">
      <alignment horizontal="center" vertical="center"/>
    </xf>
    <xf numFmtId="0" fontId="68" fillId="0" borderId="5" xfId="504" applyFont="1" applyFill="1" applyBorder="1" applyAlignment="1">
      <alignment horizontal="center" vertical="center"/>
    </xf>
    <xf numFmtId="0" fontId="64" fillId="0" borderId="12" xfId="504" applyFont="1" applyFill="1" applyBorder="1" applyAlignment="1">
      <alignment horizontal="center" vertical="center" wrapText="1"/>
    </xf>
    <xf numFmtId="0" fontId="64" fillId="0" borderId="12" xfId="504" applyFont="1" applyFill="1" applyBorder="1" applyAlignment="1">
      <alignment horizontal="left" vertical="center" wrapText="1"/>
    </xf>
    <xf numFmtId="0" fontId="64" fillId="0" borderId="3" xfId="504" applyFont="1" applyFill="1" applyBorder="1" applyAlignment="1">
      <alignment horizontal="center" vertical="center"/>
    </xf>
    <xf numFmtId="0" fontId="64" fillId="5" borderId="3" xfId="504" applyFont="1" applyFill="1" applyBorder="1" applyAlignment="1">
      <alignment horizontal="center" vertical="center" wrapText="1"/>
    </xf>
    <xf numFmtId="0" fontId="64" fillId="3" borderId="12" xfId="504" applyFont="1" applyFill="1" applyBorder="1" applyAlignment="1">
      <alignment vertical="center" wrapText="1"/>
    </xf>
    <xf numFmtId="0" fontId="64" fillId="3" borderId="12" xfId="504" applyFont="1" applyFill="1" applyBorder="1" applyAlignment="1">
      <alignment horizontal="center" vertical="center" wrapText="1"/>
    </xf>
    <xf numFmtId="0" fontId="64" fillId="3" borderId="4" xfId="504" applyFont="1" applyFill="1" applyBorder="1" applyAlignment="1">
      <alignment horizontal="center" vertical="center"/>
    </xf>
    <xf numFmtId="0" fontId="64" fillId="4" borderId="3" xfId="504" applyFont="1" applyFill="1" applyBorder="1" applyAlignment="1">
      <alignment horizontal="center" vertical="center" wrapText="1"/>
    </xf>
    <xf numFmtId="0" fontId="61" fillId="0" borderId="3" xfId="504" applyFont="1" applyFill="1" applyBorder="1" applyAlignment="1">
      <alignment horizontal="left" vertical="center" wrapText="1"/>
    </xf>
    <xf numFmtId="0" fontId="66" fillId="0" borderId="3" xfId="504" applyFont="1" applyFill="1" applyBorder="1" applyAlignment="1">
      <alignment horizontal="center" vertical="center"/>
    </xf>
    <xf numFmtId="0" fontId="71" fillId="0" borderId="3" xfId="504" applyFont="1" applyFill="1" applyBorder="1" applyAlignment="1">
      <alignment horizontal="center" vertical="center" wrapText="1"/>
    </xf>
    <xf numFmtId="0" fontId="47" fillId="0" borderId="3" xfId="504" applyFont="1" applyFill="1" applyBorder="1" applyAlignment="1"/>
    <xf numFmtId="0" fontId="33" fillId="0" borderId="0" xfId="504" applyFont="1" applyFill="1" applyBorder="1" applyAlignment="1">
      <alignment horizontal="center" vertical="center" wrapText="1"/>
    </xf>
    <xf numFmtId="0" fontId="27" fillId="0" borderId="1" xfId="504" applyFont="1" applyBorder="1" applyAlignment="1">
      <alignment horizontal="center"/>
    </xf>
    <xf numFmtId="0" fontId="27" fillId="0" borderId="0" xfId="504" applyFont="1" applyBorder="1" applyAlignment="1">
      <alignment horizontal="center"/>
    </xf>
    <xf numFmtId="0" fontId="27" fillId="0" borderId="0" xfId="504" applyFont="1" applyBorder="1" applyAlignment="1">
      <alignment horizontal="center" vertical="center"/>
    </xf>
    <xf numFmtId="0" fontId="11" fillId="0" borderId="0" xfId="504" applyFont="1" applyFill="1" applyAlignment="1">
      <alignment horizontal="left" vertical="center"/>
    </xf>
    <xf numFmtId="0" fontId="11" fillId="0" borderId="0" xfId="0" applyFont="1" applyFill="1" applyAlignment="1">
      <alignment vertical="center"/>
    </xf>
    <xf numFmtId="14" fontId="0" fillId="0" borderId="3" xfId="0" applyNumberFormat="1" applyFont="1" applyFill="1" applyBorder="1" applyAlignment="1">
      <alignment horizontal="center" vertical="center" shrinkToFit="1"/>
    </xf>
    <xf numFmtId="0" fontId="56" fillId="0" borderId="4" xfId="504" applyFont="1" applyFill="1" applyBorder="1" applyAlignment="1">
      <alignment horizontal="center" vertical="center" textRotation="90" wrapText="1"/>
    </xf>
    <xf numFmtId="0" fontId="32" fillId="0" borderId="6" xfId="0" applyFont="1" applyFill="1" applyBorder="1" applyAlignment="1">
      <alignment horizontal="left" textRotation="90"/>
    </xf>
    <xf numFmtId="0" fontId="21" fillId="0" borderId="4" xfId="0" applyFont="1" applyFill="1" applyBorder="1" applyAlignment="1">
      <alignment horizontal="center" vertical="center"/>
    </xf>
    <xf numFmtId="0" fontId="21" fillId="0" borderId="3" xfId="0" applyFont="1" applyFill="1" applyBorder="1" applyAlignment="1">
      <alignment horizontal="center" vertical="center"/>
    </xf>
    <xf numFmtId="0" fontId="61" fillId="0" borderId="4" xfId="504" applyFont="1" applyFill="1" applyBorder="1" applyAlignment="1">
      <alignment horizontal="center" vertical="center" wrapText="1"/>
    </xf>
    <xf numFmtId="0" fontId="33" fillId="0" borderId="13" xfId="504" applyFont="1" applyFill="1" applyBorder="1" applyAlignment="1">
      <alignment horizontal="center" vertical="center" wrapText="1"/>
    </xf>
    <xf numFmtId="0" fontId="72" fillId="0" borderId="6" xfId="504" applyFont="1" applyFill="1" applyBorder="1" applyAlignment="1">
      <alignment horizontal="center" vertical="center" wrapText="1"/>
    </xf>
    <xf numFmtId="0" fontId="61" fillId="0" borderId="4" xfId="504" applyFont="1" applyFill="1" applyBorder="1" applyAlignment="1">
      <alignment wrapText="1"/>
    </xf>
    <xf numFmtId="0" fontId="73" fillId="0" borderId="4" xfId="504" applyFont="1" applyFill="1" applyBorder="1" applyAlignment="1">
      <alignment horizontal="center" vertical="center" wrapText="1"/>
    </xf>
    <xf numFmtId="0" fontId="62" fillId="0" borderId="3" xfId="504" applyFont="1" applyFill="1" applyBorder="1" applyAlignment="1">
      <alignment horizontal="center" wrapText="1"/>
    </xf>
    <xf numFmtId="0" fontId="62" fillId="0" borderId="13" xfId="504" applyFont="1" applyFill="1" applyBorder="1" applyAlignment="1">
      <alignment horizontal="center" wrapText="1"/>
    </xf>
    <xf numFmtId="0" fontId="59" fillId="5" borderId="5" xfId="504" applyFont="1" applyFill="1" applyBorder="1" applyAlignment="1">
      <alignment horizontal="center" vertical="center" wrapText="1"/>
    </xf>
    <xf numFmtId="0" fontId="74" fillId="0" borderId="6" xfId="504" applyFont="1" applyFill="1" applyBorder="1" applyAlignment="1">
      <alignment horizontal="center" vertical="center" wrapText="1"/>
    </xf>
    <xf numFmtId="0" fontId="75" fillId="0" borderId="6" xfId="504" applyFont="1" applyFill="1" applyBorder="1" applyAlignment="1">
      <alignment horizontal="center" vertical="center" wrapText="1"/>
    </xf>
    <xf numFmtId="0" fontId="76" fillId="0" borderId="6" xfId="504" applyFont="1" applyFill="1" applyBorder="1" applyAlignment="1">
      <alignment horizontal="center" vertical="center" wrapText="1"/>
    </xf>
    <xf numFmtId="0" fontId="54" fillId="0" borderId="16" xfId="504" applyFont="1" applyFill="1" applyBorder="1" applyAlignment="1">
      <alignment horizontal="center" vertical="center" wrapText="1"/>
    </xf>
    <xf numFmtId="0" fontId="33" fillId="3" borderId="16" xfId="504" applyFont="1" applyFill="1" applyBorder="1" applyAlignment="1">
      <alignment horizontal="center" vertical="center" wrapText="1"/>
    </xf>
    <xf numFmtId="0" fontId="61" fillId="3" borderId="3" xfId="504" applyFont="1" applyFill="1" applyBorder="1" applyAlignment="1">
      <alignment horizontal="center" vertical="center" wrapText="1"/>
    </xf>
    <xf numFmtId="0" fontId="10" fillId="3" borderId="6" xfId="504" applyFont="1" applyFill="1" applyBorder="1" applyAlignment="1">
      <alignment horizontal="center" vertical="center" wrapText="1"/>
    </xf>
    <xf numFmtId="0" fontId="33" fillId="3" borderId="14" xfId="504" applyFont="1" applyFill="1" applyBorder="1" applyAlignment="1">
      <alignment horizontal="center" vertical="center" wrapText="1"/>
    </xf>
    <xf numFmtId="0" fontId="65" fillId="0" borderId="8" xfId="504" applyFont="1" applyFill="1" applyBorder="1" applyAlignment="1">
      <alignment horizontal="center" vertical="center" wrapText="1"/>
    </xf>
    <xf numFmtId="0" fontId="64" fillId="0" borderId="14" xfId="504" applyFont="1" applyFill="1" applyBorder="1" applyAlignment="1">
      <alignment horizontal="center" vertical="center" wrapText="1"/>
    </xf>
    <xf numFmtId="0" fontId="64" fillId="3" borderId="8" xfId="504" applyFont="1" applyFill="1" applyBorder="1" applyAlignment="1">
      <alignment horizontal="center" vertical="center" wrapText="1"/>
    </xf>
    <xf numFmtId="0" fontId="64" fillId="3" borderId="11" xfId="504" applyFont="1" applyFill="1" applyBorder="1" applyAlignment="1">
      <alignment horizontal="center" vertical="center" wrapText="1"/>
    </xf>
    <xf numFmtId="0" fontId="54" fillId="0" borderId="14" xfId="504" applyFont="1" applyFill="1" applyBorder="1" applyAlignment="1">
      <alignment horizontal="center" vertical="center" wrapText="1"/>
    </xf>
    <xf numFmtId="0" fontId="54" fillId="0" borderId="3" xfId="0" applyFont="1" applyBorder="1" applyAlignment="1">
      <alignment horizontal="center" vertical="center"/>
    </xf>
    <xf numFmtId="0" fontId="54" fillId="0" borderId="16" xfId="0" applyFont="1" applyBorder="1" applyAlignment="1">
      <alignment horizontal="center" vertical="center" wrapText="1"/>
    </xf>
    <xf numFmtId="0" fontId="58" fillId="0" borderId="4" xfId="504" applyFont="1" applyFill="1" applyBorder="1" applyAlignment="1">
      <alignment horizontal="center" vertical="center" wrapText="1"/>
    </xf>
    <xf numFmtId="0" fontId="68" fillId="0" borderId="4" xfId="504" applyFont="1" applyFill="1" applyBorder="1" applyAlignment="1">
      <alignment horizontal="center" vertical="center" wrapText="1"/>
    </xf>
    <xf numFmtId="0" fontId="0" fillId="0" borderId="4" xfId="0" applyFill="1" applyBorder="1" applyAlignment="1"/>
    <xf numFmtId="0" fontId="68" fillId="0" borderId="3" xfId="504" applyFont="1" applyFill="1" applyBorder="1" applyAlignment="1">
      <alignment horizontal="center" vertical="center" wrapText="1"/>
    </xf>
    <xf numFmtId="0" fontId="0" fillId="0" borderId="3" xfId="0" applyFill="1" applyBorder="1" applyAlignment="1"/>
    <xf numFmtId="0" fontId="65" fillId="0" borderId="4" xfId="504" applyFont="1" applyFill="1" applyBorder="1" applyAlignment="1">
      <alignment horizontal="center" vertical="center" wrapText="1"/>
    </xf>
    <xf numFmtId="0" fontId="64" fillId="3" borderId="3" xfId="504" applyFont="1" applyFill="1" applyBorder="1" applyAlignment="1">
      <alignment vertical="center" wrapText="1"/>
    </xf>
    <xf numFmtId="0" fontId="77" fillId="0" borderId="6" xfId="504" applyFont="1" applyFill="1" applyBorder="1" applyAlignment="1">
      <alignment horizontal="left" vertical="center" wrapText="1"/>
    </xf>
    <xf numFmtId="0" fontId="10" fillId="0" borderId="4" xfId="0" applyFont="1" applyBorder="1" applyAlignment="1">
      <alignment vertical="center"/>
    </xf>
    <xf numFmtId="0" fontId="58" fillId="3" borderId="3" xfId="504" applyFont="1" applyFill="1" applyBorder="1" applyAlignment="1">
      <alignment horizontal="center" vertical="center"/>
    </xf>
    <xf numFmtId="0" fontId="59" fillId="3" borderId="4" xfId="504" applyFont="1" applyFill="1" applyBorder="1" applyAlignment="1">
      <alignment horizontal="center" vertical="center" wrapText="1"/>
    </xf>
    <xf numFmtId="0" fontId="68" fillId="5" borderId="4" xfId="504" applyFont="1" applyFill="1" applyBorder="1" applyAlignment="1">
      <alignment horizontal="center" vertical="center" wrapText="1"/>
    </xf>
    <xf numFmtId="0" fontId="65" fillId="0" borderId="12" xfId="504" applyFont="1" applyFill="1" applyBorder="1" applyAlignment="1">
      <alignment horizontal="center" vertical="center" wrapText="1"/>
    </xf>
    <xf numFmtId="0" fontId="69" fillId="0" borderId="12" xfId="504" applyFont="1" applyFill="1" applyBorder="1" applyAlignment="1">
      <alignment horizontal="left" vertical="center" wrapText="1"/>
    </xf>
    <xf numFmtId="0" fontId="70" fillId="0" borderId="4" xfId="504" applyFont="1" applyFill="1" applyBorder="1" applyAlignment="1">
      <alignment horizontal="center" vertical="center"/>
    </xf>
    <xf numFmtId="0" fontId="64" fillId="0" borderId="13" xfId="504" applyFont="1" applyFill="1" applyBorder="1" applyAlignment="1">
      <alignment horizontal="center" vertical="center" wrapText="1"/>
    </xf>
    <xf numFmtId="0" fontId="64" fillId="0" borderId="13" xfId="504" applyFont="1" applyFill="1" applyBorder="1" applyAlignment="1">
      <alignment horizontal="left" vertical="center" wrapText="1"/>
    </xf>
    <xf numFmtId="0" fontId="68" fillId="6" borderId="5" xfId="504" applyFont="1" applyFill="1" applyBorder="1" applyAlignment="1">
      <alignment horizontal="center" vertical="center" wrapText="1"/>
    </xf>
    <xf numFmtId="0" fontId="64" fillId="3" borderId="3" xfId="504" applyFont="1" applyFill="1" applyBorder="1" applyAlignment="1">
      <alignment horizontal="center" vertical="center"/>
    </xf>
    <xf numFmtId="0" fontId="64" fillId="3" borderId="4" xfId="504" applyFont="1" applyFill="1" applyBorder="1" applyAlignment="1">
      <alignment horizontal="center" vertical="center" wrapText="1"/>
    </xf>
    <xf numFmtId="0" fontId="21" fillId="0" borderId="6" xfId="504" applyFont="1" applyFill="1" applyBorder="1" applyAlignment="1">
      <alignment horizontal="center" vertical="center"/>
    </xf>
    <xf numFmtId="0" fontId="78" fillId="6" borderId="6" xfId="504" applyFont="1" applyFill="1" applyBorder="1" applyAlignment="1">
      <alignment horizontal="center" vertical="center" wrapText="1"/>
    </xf>
    <xf numFmtId="0" fontId="0" fillId="0" borderId="6" xfId="504" applyFont="1" applyFill="1" applyBorder="1" applyAlignment="1"/>
    <xf numFmtId="0" fontId="10" fillId="0" borderId="4" xfId="0" applyFont="1" applyBorder="1" applyAlignment="1"/>
    <xf numFmtId="0" fontId="21" fillId="0" borderId="4" xfId="0" applyFont="1" applyBorder="1" applyAlignment="1"/>
    <xf numFmtId="0" fontId="71" fillId="5" borderId="4" xfId="0" applyFont="1" applyFill="1" applyBorder="1" applyAlignment="1">
      <alignment horizontal="center" vertical="center"/>
    </xf>
    <xf numFmtId="0" fontId="46" fillId="0" borderId="0" xfId="0" applyFont="1" applyAlignment="1"/>
    <xf numFmtId="0" fontId="46" fillId="0" borderId="0" xfId="504" applyFont="1" applyBorder="1" applyAlignment="1">
      <alignment wrapText="1"/>
    </xf>
    <xf numFmtId="0" fontId="79" fillId="0" borderId="0" xfId="504" applyFont="1" applyBorder="1" applyAlignment="1"/>
    <xf numFmtId="0" fontId="46" fillId="5" borderId="0" xfId="504" applyFont="1" applyFill="1" applyBorder="1" applyAlignment="1"/>
    <xf numFmtId="0" fontId="46" fillId="5" borderId="0" xfId="504" applyFont="1" applyFill="1" applyBorder="1" applyAlignment="1">
      <alignment wrapText="1"/>
    </xf>
    <xf numFmtId="197" fontId="49" fillId="0" borderId="7" xfId="504" applyNumberFormat="1" applyFont="1" applyFill="1" applyBorder="1" applyAlignment="1">
      <alignment horizontal="center" vertical="center"/>
    </xf>
    <xf numFmtId="0" fontId="50" fillId="0" borderId="3" xfId="504" applyFont="1" applyFill="1" applyBorder="1" applyAlignment="1">
      <alignment horizontal="center" vertical="center" wrapText="1"/>
    </xf>
    <xf numFmtId="0" fontId="80" fillId="0" borderId="3" xfId="0" applyFont="1" applyBorder="1" applyAlignment="1">
      <alignment horizontal="center" vertical="center"/>
    </xf>
    <xf numFmtId="271" fontId="58" fillId="0" borderId="3" xfId="505" applyNumberFormat="1" applyFont="1" applyFill="1" applyBorder="1" applyAlignment="1">
      <alignment horizontal="center" vertical="center"/>
    </xf>
    <xf numFmtId="271" fontId="58" fillId="0" borderId="4" xfId="505" applyNumberFormat="1" applyFont="1" applyFill="1" applyBorder="1" applyAlignment="1">
      <alignment horizontal="center" vertical="center"/>
    </xf>
    <xf numFmtId="0" fontId="13" fillId="2" borderId="3" xfId="505" applyFont="1" applyFill="1" applyBorder="1" applyAlignment="1">
      <alignment horizontal="center" vertical="center"/>
    </xf>
    <xf numFmtId="0" fontId="27" fillId="0" borderId="3" xfId="504" applyFont="1" applyFill="1" applyBorder="1" applyAlignment="1">
      <alignment horizontal="center"/>
    </xf>
    <xf numFmtId="0" fontId="10" fillId="0" borderId="2" xfId="504" applyFont="1" applyFill="1" applyBorder="1" applyAlignment="1">
      <alignment vertical="center" wrapText="1"/>
    </xf>
    <xf numFmtId="0" fontId="10" fillId="0" borderId="8" xfId="504" applyFont="1" applyFill="1" applyBorder="1" applyAlignment="1">
      <alignment vertical="center" wrapText="1"/>
    </xf>
    <xf numFmtId="0" fontId="81" fillId="0" borderId="4" xfId="0" applyFont="1" applyBorder="1" applyAlignment="1">
      <alignment horizontal="center" vertical="center"/>
    </xf>
    <xf numFmtId="0" fontId="81" fillId="0" borderId="3" xfId="0" applyFont="1" applyBorder="1" applyAlignment="1">
      <alignment horizontal="center" vertical="center"/>
    </xf>
    <xf numFmtId="0" fontId="81" fillId="0" borderId="2" xfId="0" applyFont="1" applyBorder="1" applyAlignment="1">
      <alignment horizontal="center" vertical="center"/>
    </xf>
    <xf numFmtId="0" fontId="82" fillId="0" borderId="6" xfId="0" applyFont="1" applyFill="1" applyBorder="1" applyAlignment="1">
      <alignment horizontal="left" textRotation="90"/>
    </xf>
    <xf numFmtId="0" fontId="33" fillId="0" borderId="2" xfId="504" applyFont="1" applyFill="1" applyBorder="1" applyAlignment="1">
      <alignment horizontal="center" vertical="center" wrapText="1"/>
    </xf>
    <xf numFmtId="0" fontId="49" fillId="0" borderId="3" xfId="0" applyFont="1" applyFill="1" applyBorder="1" applyAlignment="1">
      <alignment horizontal="center" vertical="center"/>
    </xf>
    <xf numFmtId="0" fontId="49" fillId="0" borderId="4" xfId="0" applyFont="1" applyFill="1" applyBorder="1" applyAlignment="1">
      <alignment horizontal="center" vertical="center"/>
    </xf>
    <xf numFmtId="0" fontId="33" fillId="0" borderId="10" xfId="504" applyFont="1" applyFill="1" applyBorder="1" applyAlignment="1">
      <alignment horizontal="center" vertical="center" wrapText="1"/>
    </xf>
    <xf numFmtId="0" fontId="49" fillId="0" borderId="5" xfId="0" applyFont="1" applyFill="1" applyBorder="1" applyAlignment="1">
      <alignment horizontal="center" vertical="center"/>
    </xf>
    <xf numFmtId="0" fontId="33" fillId="0" borderId="7" xfId="504" applyFont="1" applyFill="1" applyBorder="1" applyAlignment="1">
      <alignment horizontal="center" vertical="center" wrapText="1"/>
    </xf>
    <xf numFmtId="197" fontId="49" fillId="0" borderId="3" xfId="504" applyNumberFormat="1" applyFont="1" applyFill="1" applyBorder="1" applyAlignment="1">
      <alignment horizontal="center" vertical="center" wrapText="1"/>
    </xf>
    <xf numFmtId="197" fontId="49" fillId="0" borderId="4" xfId="504" applyNumberFormat="1" applyFont="1" applyFill="1" applyBorder="1" applyAlignment="1">
      <alignment horizontal="center" vertical="center" wrapText="1"/>
    </xf>
    <xf numFmtId="271" fontId="0" fillId="0" borderId="4" xfId="0" applyNumberFormat="1" applyFill="1" applyBorder="1" applyAlignment="1">
      <alignment horizontal="center" vertical="center" shrinkToFit="1"/>
    </xf>
    <xf numFmtId="0" fontId="22" fillId="0" borderId="3" xfId="504" applyFont="1" applyFill="1" applyBorder="1" applyAlignment="1">
      <alignment horizontal="center" vertical="center" wrapText="1"/>
    </xf>
    <xf numFmtId="271" fontId="0" fillId="0" borderId="3" xfId="0" applyNumberFormat="1" applyFill="1" applyBorder="1" applyAlignment="1">
      <alignment horizontal="center" vertical="center" shrinkToFit="1"/>
    </xf>
    <xf numFmtId="0" fontId="24" fillId="0" borderId="3" xfId="504" applyFont="1" applyFill="1" applyBorder="1" applyAlignment="1">
      <alignment vertical="center" wrapText="1"/>
    </xf>
    <xf numFmtId="0" fontId="84" fillId="0" borderId="4" xfId="504" applyFont="1" applyFill="1" applyBorder="1" applyAlignment="1">
      <alignment horizontal="center" vertical="center" textRotation="90" wrapText="1"/>
    </xf>
    <xf numFmtId="0" fontId="35" fillId="4" borderId="3" xfId="504" applyFont="1" applyFill="1" applyBorder="1" applyAlignment="1">
      <alignment horizontal="center" vertical="center" wrapText="1"/>
    </xf>
    <xf numFmtId="0" fontId="79" fillId="0" borderId="6" xfId="0" applyFont="1" applyFill="1" applyBorder="1" applyAlignment="1">
      <alignment horizontal="left" textRotation="90"/>
    </xf>
    <xf numFmtId="0" fontId="58" fillId="0" borderId="5" xfId="504" applyFont="1" applyFill="1" applyBorder="1" applyAlignment="1">
      <alignment horizontal="center" vertical="center" wrapText="1"/>
    </xf>
    <xf numFmtId="0" fontId="4" fillId="2" borderId="3" xfId="504" applyFont="1" applyFill="1" applyBorder="1" applyAlignment="1">
      <alignment horizontal="center" vertical="center" wrapText="1"/>
    </xf>
    <xf numFmtId="0" fontId="0" fillId="0" borderId="0" xfId="0" applyFill="1" applyBorder="1" applyAlignment="1"/>
    <xf numFmtId="0" fontId="85" fillId="0" borderId="12" xfId="504" applyFont="1" applyFill="1" applyBorder="1" applyAlignment="1">
      <alignment horizontal="center" vertical="center"/>
    </xf>
    <xf numFmtId="0" fontId="10" fillId="0" borderId="15" xfId="504" applyFont="1" applyFill="1" applyBorder="1" applyAlignment="1">
      <alignment horizontal="center" vertical="center" wrapText="1"/>
    </xf>
    <xf numFmtId="0" fontId="85" fillId="0" borderId="16" xfId="0" applyFont="1" applyBorder="1" applyAlignment="1">
      <alignment vertical="center"/>
    </xf>
    <xf numFmtId="0" fontId="85" fillId="0" borderId="3" xfId="0" applyFont="1" applyBorder="1" applyAlignment="1">
      <alignment vertical="center"/>
    </xf>
    <xf numFmtId="0" fontId="33" fillId="0" borderId="12" xfId="504" applyFont="1" applyFill="1" applyBorder="1" applyAlignment="1">
      <alignment vertical="center" wrapText="1"/>
    </xf>
    <xf numFmtId="0" fontId="33" fillId="0" borderId="15" xfId="504" applyFont="1" applyFill="1" applyBorder="1" applyAlignment="1">
      <alignment vertical="center" wrapText="1"/>
    </xf>
    <xf numFmtId="0" fontId="33" fillId="0" borderId="16" xfId="504" applyFont="1" applyFill="1" applyBorder="1" applyAlignment="1">
      <alignment vertical="center" wrapText="1"/>
    </xf>
    <xf numFmtId="0" fontId="10" fillId="0" borderId="16" xfId="504" applyFont="1" applyFill="1" applyBorder="1" applyAlignment="1">
      <alignment vertical="center" wrapText="1"/>
    </xf>
    <xf numFmtId="0" fontId="10" fillId="0" borderId="12" xfId="504" applyFont="1" applyFill="1" applyBorder="1" applyAlignment="1">
      <alignment vertical="center" wrapText="1"/>
    </xf>
    <xf numFmtId="0" fontId="46" fillId="0" borderId="0" xfId="0" applyFont="1" applyFill="1" applyAlignment="1"/>
    <xf numFmtId="0" fontId="46" fillId="0" borderId="0" xfId="504" applyFont="1" applyFill="1" applyBorder="1" applyAlignment="1">
      <alignment wrapText="1"/>
    </xf>
    <xf numFmtId="0" fontId="81" fillId="0" borderId="6" xfId="0" applyFont="1" applyBorder="1" applyAlignment="1">
      <alignment horizontal="center" vertical="center"/>
    </xf>
    <xf numFmtId="0" fontId="87" fillId="0" borderId="6" xfId="0" applyFont="1" applyFill="1" applyBorder="1" applyAlignment="1">
      <alignment horizontal="left" textRotation="90"/>
    </xf>
    <xf numFmtId="0" fontId="79" fillId="0" borderId="0" xfId="504" applyFont="1" applyFill="1" applyBorder="1" applyAlignment="1"/>
    <xf numFmtId="0" fontId="33" fillId="6" borderId="5" xfId="504" applyFont="1" applyFill="1" applyBorder="1" applyAlignment="1">
      <alignment horizontal="center" vertical="center" wrapText="1"/>
    </xf>
    <xf numFmtId="0" fontId="33" fillId="6" borderId="4" xfId="504" applyFont="1" applyFill="1" applyBorder="1" applyAlignment="1">
      <alignment horizontal="center" vertical="center" wrapText="1"/>
    </xf>
    <xf numFmtId="0" fontId="33" fillId="0" borderId="9" xfId="504" applyFont="1" applyFill="1" applyBorder="1" applyAlignment="1">
      <alignment horizontal="center" vertical="center" wrapText="1"/>
    </xf>
    <xf numFmtId="0" fontId="54" fillId="0" borderId="7" xfId="504" applyFont="1" applyFill="1" applyBorder="1" applyAlignment="1">
      <alignment horizontal="center" vertical="center" wrapText="1"/>
    </xf>
    <xf numFmtId="0" fontId="58" fillId="0" borderId="3" xfId="0" applyFont="1" applyFill="1" applyBorder="1" applyAlignment="1">
      <alignment horizontal="center" vertical="center"/>
    </xf>
    <xf numFmtId="0" fontId="58" fillId="0" borderId="4" xfId="0" applyFont="1" applyFill="1" applyBorder="1" applyAlignment="1">
      <alignment horizontal="center" vertical="center"/>
    </xf>
    <xf numFmtId="0" fontId="58" fillId="0" borderId="6" xfId="504" applyFont="1" applyFill="1" applyBorder="1" applyAlignment="1">
      <alignment horizontal="center" vertical="center" wrapText="1"/>
    </xf>
    <xf numFmtId="0" fontId="33" fillId="0" borderId="15" xfId="504" applyFont="1" applyFill="1" applyBorder="1" applyAlignment="1">
      <alignment horizontal="left" vertical="center" wrapText="1"/>
    </xf>
    <xf numFmtId="0" fontId="33" fillId="0" borderId="6" xfId="504" applyFont="1" applyFill="1" applyBorder="1" applyAlignment="1">
      <alignment horizontal="left" vertical="center" wrapText="1"/>
    </xf>
    <xf numFmtId="0" fontId="33" fillId="0" borderId="12" xfId="504" applyFont="1" applyFill="1" applyBorder="1" applyAlignment="1">
      <alignment horizontal="left" vertical="center" wrapText="1"/>
    </xf>
    <xf numFmtId="0" fontId="33" fillId="4" borderId="16" xfId="504" applyFont="1" applyFill="1" applyBorder="1" applyAlignment="1">
      <alignment horizontal="center" vertical="center" wrapText="1"/>
    </xf>
    <xf numFmtId="0" fontId="66" fillId="0" borderId="4" xfId="504" applyFont="1" applyFill="1" applyBorder="1" applyAlignment="1">
      <alignment horizontal="center" vertical="center"/>
    </xf>
    <xf numFmtId="0" fontId="66" fillId="0" borderId="16" xfId="504" applyFont="1" applyFill="1" applyBorder="1" applyAlignment="1">
      <alignment horizontal="center" vertical="center"/>
    </xf>
    <xf numFmtId="0" fontId="66" fillId="0" borderId="12" xfId="504" applyFont="1" applyFill="1" applyBorder="1" applyAlignment="1">
      <alignment horizontal="center" vertical="center"/>
    </xf>
    <xf numFmtId="272" fontId="10" fillId="0" borderId="16" xfId="504" applyNumberFormat="1" applyFont="1" applyFill="1" applyBorder="1" applyAlignment="1" applyProtection="1">
      <alignment horizontal="center" vertical="center" wrapText="1"/>
      <protection locked="0"/>
    </xf>
    <xf numFmtId="272" fontId="10" fillId="0" borderId="12" xfId="504" applyNumberFormat="1" applyFont="1" applyFill="1" applyBorder="1" applyAlignment="1" applyProtection="1">
      <alignment horizontal="center" vertical="center" wrapText="1"/>
      <protection locked="0"/>
    </xf>
    <xf numFmtId="272" fontId="10" fillId="6" borderId="12" xfId="504" applyNumberFormat="1" applyFont="1" applyFill="1" applyBorder="1" applyAlignment="1" applyProtection="1">
      <alignment horizontal="center" vertical="center" wrapText="1"/>
      <protection locked="0"/>
    </xf>
    <xf numFmtId="0" fontId="10" fillId="0" borderId="3" xfId="504" applyFont="1" applyFill="1" applyBorder="1" applyAlignment="1">
      <alignment horizontal="center" vertical="center"/>
    </xf>
    <xf numFmtId="0" fontId="10" fillId="0" borderId="4" xfId="504" applyFont="1" applyFill="1" applyBorder="1" applyAlignment="1">
      <alignment horizontal="center" vertical="center"/>
    </xf>
    <xf numFmtId="0" fontId="10" fillId="6" borderId="3" xfId="504" applyFont="1" applyFill="1" applyBorder="1" applyAlignment="1">
      <alignment horizontal="center" vertical="center"/>
    </xf>
    <xf numFmtId="0" fontId="54" fillId="5" borderId="3" xfId="504" applyFont="1" applyFill="1" applyBorder="1" applyAlignment="1">
      <alignment horizontal="center" vertical="center" wrapText="1"/>
    </xf>
    <xf numFmtId="0" fontId="88" fillId="5" borderId="3" xfId="504" applyFont="1" applyFill="1" applyBorder="1" applyAlignment="1">
      <alignment horizontal="center" vertical="center" wrapText="1"/>
    </xf>
    <xf numFmtId="196" fontId="5" fillId="0" borderId="0" xfId="504" applyNumberFormat="1" applyFont="1" applyAlignment="1">
      <alignment vertical="center"/>
    </xf>
    <xf numFmtId="0" fontId="5" fillId="0" borderId="0" xfId="504" applyFont="1" applyBorder="1" applyAlignment="1">
      <alignment wrapText="1"/>
    </xf>
    <xf numFmtId="0" fontId="8" fillId="0" borderId="0" xfId="504" applyFont="1" applyBorder="1" applyAlignment="1">
      <alignment wrapText="1"/>
    </xf>
    <xf numFmtId="0" fontId="0" fillId="0" borderId="17" xfId="504" applyFont="1" applyBorder="1" applyAlignment="1"/>
    <xf numFmtId="0" fontId="0" fillId="0" borderId="0" xfId="504" applyFont="1" applyBorder="1" applyAlignment="1">
      <alignment vertical="center"/>
    </xf>
    <xf numFmtId="0" fontId="13" fillId="0" borderId="19" xfId="505" applyFont="1" applyFill="1" applyBorder="1" applyAlignment="1">
      <alignment horizontal="center" vertical="center"/>
    </xf>
    <xf numFmtId="0" fontId="24" fillId="0" borderId="20" xfId="505" applyFont="1" applyFill="1" applyBorder="1" applyAlignment="1">
      <alignment horizontal="left" vertical="center"/>
    </xf>
    <xf numFmtId="0" fontId="24" fillId="0" borderId="21" xfId="505" applyFont="1" applyFill="1" applyBorder="1" applyAlignment="1">
      <alignment horizontal="center" vertical="center"/>
    </xf>
    <xf numFmtId="196" fontId="0" fillId="0" borderId="0" xfId="504" applyNumberFormat="1" applyFont="1" applyBorder="1" applyAlignment="1">
      <alignment vertical="center"/>
    </xf>
    <xf numFmtId="196" fontId="0" fillId="0" borderId="0" xfId="504" applyNumberFormat="1" applyFont="1" applyFill="1" applyAlignment="1">
      <alignment vertical="center"/>
    </xf>
    <xf numFmtId="0" fontId="13" fillId="0" borderId="2" xfId="505" applyFont="1" applyFill="1" applyBorder="1" applyAlignment="1">
      <alignment vertical="center"/>
    </xf>
    <xf numFmtId="0" fontId="13" fillId="0" borderId="8" xfId="505" applyFont="1" applyFill="1" applyBorder="1" applyAlignment="1">
      <alignment vertical="center"/>
    </xf>
    <xf numFmtId="0" fontId="13" fillId="0" borderId="8" xfId="505" applyFont="1" applyFill="1" applyBorder="1" applyAlignment="1">
      <alignment horizontal="left" vertical="center"/>
    </xf>
    <xf numFmtId="1" fontId="13" fillId="0" borderId="26" xfId="505" applyNumberFormat="1" applyFont="1" applyFill="1" applyBorder="1" applyAlignment="1">
      <alignment horizontal="left" vertical="center"/>
    </xf>
    <xf numFmtId="1" fontId="13" fillId="0" borderId="27" xfId="505" applyNumberFormat="1" applyFont="1" applyFill="1" applyBorder="1" applyAlignment="1">
      <alignment horizontal="left" vertical="center"/>
    </xf>
    <xf numFmtId="0" fontId="13" fillId="0" borderId="26" xfId="505" applyFont="1" applyFill="1" applyBorder="1" applyAlignment="1">
      <alignment horizontal="left" vertical="center"/>
    </xf>
    <xf numFmtId="0" fontId="13" fillId="0" borderId="27" xfId="505" applyFont="1" applyFill="1" applyBorder="1" applyAlignment="1">
      <alignment horizontal="left" vertical="center"/>
    </xf>
    <xf numFmtId="0" fontId="13" fillId="0" borderId="28" xfId="505" applyFont="1" applyFill="1" applyBorder="1" applyAlignment="1">
      <alignment horizontal="left" vertical="center"/>
    </xf>
    <xf numFmtId="0" fontId="13" fillId="0" borderId="29" xfId="505" applyFont="1" applyFill="1" applyBorder="1" applyAlignment="1">
      <alignment horizontal="left" vertical="center"/>
    </xf>
    <xf numFmtId="268" fontId="7" fillId="0" borderId="0" xfId="504" applyNumberFormat="1" applyFont="1" applyFill="1" applyBorder="1" applyAlignment="1">
      <alignment horizontal="left" vertical="center"/>
    </xf>
    <xf numFmtId="0" fontId="24" fillId="7" borderId="9" xfId="504" applyFont="1" applyFill="1" applyBorder="1" applyAlignment="1">
      <alignment horizontal="center" vertical="center" wrapText="1"/>
    </xf>
    <xf numFmtId="1" fontId="25" fillId="0" borderId="3" xfId="0" applyNumberFormat="1" applyFont="1" applyBorder="1" applyAlignment="1">
      <alignment horizontal="center" vertical="center"/>
    </xf>
    <xf numFmtId="0" fontId="0" fillId="8" borderId="3" xfId="0" applyFont="1" applyFill="1" applyBorder="1" applyAlignment="1">
      <alignment horizontal="center" vertical="center" wrapText="1"/>
    </xf>
    <xf numFmtId="0" fontId="7" fillId="0" borderId="2" xfId="504" applyFont="1" applyFill="1" applyBorder="1" applyAlignment="1">
      <alignment horizontal="left" vertical="center" wrapText="1"/>
    </xf>
    <xf numFmtId="0" fontId="7" fillId="0" borderId="8" xfId="504" applyFont="1" applyFill="1" applyBorder="1" applyAlignment="1">
      <alignment horizontal="left" vertical="center" wrapText="1"/>
    </xf>
    <xf numFmtId="0" fontId="7" fillId="0" borderId="16" xfId="504" applyFont="1" applyFill="1" applyBorder="1" applyAlignment="1">
      <alignment horizontal="left" vertical="center" wrapText="1"/>
    </xf>
    <xf numFmtId="1" fontId="5" fillId="0" borderId="1" xfId="504" applyNumberFormat="1" applyFont="1" applyFill="1" applyBorder="1" applyAlignment="1"/>
    <xf numFmtId="0" fontId="5" fillId="0" borderId="1" xfId="504" applyFont="1" applyBorder="1" applyAlignment="1">
      <alignment horizontal="center"/>
    </xf>
    <xf numFmtId="0" fontId="89" fillId="0" borderId="1" xfId="504" applyFont="1" applyBorder="1" applyAlignment="1">
      <alignment horizontal="left"/>
    </xf>
    <xf numFmtId="1" fontId="14" fillId="0" borderId="0" xfId="504" applyNumberFormat="1" applyFont="1" applyFill="1" applyBorder="1" applyAlignment="1"/>
    <xf numFmtId="0" fontId="14" fillId="0" borderId="0" xfId="504" applyFont="1" applyBorder="1" applyAlignment="1">
      <alignment horizontal="center"/>
    </xf>
    <xf numFmtId="0" fontId="14" fillId="0" borderId="0" xfId="504" applyFont="1" applyBorder="1" applyAlignment="1"/>
    <xf numFmtId="0" fontId="89" fillId="0" borderId="0" xfId="504" applyFont="1" applyBorder="1" applyAlignment="1">
      <alignment horizontal="left"/>
    </xf>
    <xf numFmtId="1" fontId="5" fillId="0" borderId="0" xfId="504" applyNumberFormat="1" applyFont="1" applyFill="1" applyBorder="1" applyAlignment="1"/>
    <xf numFmtId="0" fontId="5" fillId="0" borderId="0" xfId="504" applyFont="1" applyBorder="1" applyAlignment="1">
      <alignment horizontal="center"/>
    </xf>
    <xf numFmtId="1" fontId="16" fillId="0" borderId="0" xfId="505" applyNumberFormat="1" applyFill="1" applyAlignment="1"/>
    <xf numFmtId="14" fontId="16" fillId="0" borderId="0" xfId="505" applyNumberFormat="1" applyFill="1" applyBorder="1" applyAlignment="1">
      <alignment horizontal="center" wrapText="1"/>
    </xf>
    <xf numFmtId="0" fontId="16" fillId="0" borderId="0" xfId="505" applyFill="1" applyBorder="1" applyAlignment="1">
      <alignment wrapText="1"/>
    </xf>
    <xf numFmtId="0" fontId="16" fillId="0" borderId="0" xfId="505" applyFill="1" applyAlignment="1">
      <alignment horizontal="center"/>
    </xf>
    <xf numFmtId="1" fontId="5" fillId="0" borderId="0" xfId="504" applyNumberFormat="1" applyFont="1" applyFill="1" applyAlignment="1"/>
    <xf numFmtId="0" fontId="5" fillId="0" borderId="0" xfId="504" applyFont="1" applyAlignment="1">
      <alignment horizontal="center"/>
    </xf>
    <xf numFmtId="1" fontId="5" fillId="0" borderId="0" xfId="504" applyNumberFormat="1" applyFont="1" applyFill="1" applyAlignment="1">
      <alignment vertical="center"/>
    </xf>
    <xf numFmtId="0" fontId="5" fillId="0" borderId="0" xfId="504" applyFont="1" applyAlignment="1">
      <alignment horizontal="center" vertical="center"/>
    </xf>
    <xf numFmtId="0" fontId="89" fillId="0" borderId="0" xfId="504" applyFont="1" applyAlignment="1">
      <alignment horizontal="left" vertical="center"/>
    </xf>
    <xf numFmtId="0" fontId="89" fillId="0" borderId="0" xfId="504" applyFont="1" applyAlignment="1">
      <alignment horizontal="left"/>
    </xf>
    <xf numFmtId="0" fontId="24" fillId="0" borderId="19" xfId="505" applyFont="1" applyFill="1" applyBorder="1" applyAlignment="1">
      <alignment horizontal="left" vertical="center"/>
    </xf>
    <xf numFmtId="0" fontId="23" fillId="0" borderId="16" xfId="505" applyFont="1" applyFill="1" applyBorder="1" applyAlignment="1">
      <alignment horizontal="center" vertical="center"/>
    </xf>
    <xf numFmtId="0" fontId="24" fillId="0" borderId="3" xfId="505" applyFont="1" applyFill="1" applyBorder="1" applyAlignment="1">
      <alignment horizontal="center" vertical="center"/>
    </xf>
    <xf numFmtId="0" fontId="24" fillId="0" borderId="0" xfId="505" applyFont="1" applyFill="1" applyBorder="1" applyAlignment="1">
      <alignment horizontal="center" vertical="center"/>
    </xf>
    <xf numFmtId="0" fontId="23" fillId="0" borderId="3" xfId="505" applyFont="1" applyFill="1" applyBorder="1" applyAlignment="1">
      <alignment horizontal="center" vertical="center"/>
    </xf>
    <xf numFmtId="0" fontId="90" fillId="0" borderId="3" xfId="505" applyFont="1" applyFill="1" applyBorder="1" applyAlignment="1">
      <alignment horizontal="center" vertical="center"/>
    </xf>
    <xf numFmtId="0" fontId="13" fillId="0" borderId="3" xfId="505" applyFont="1" applyFill="1" applyBorder="1" applyAlignment="1">
      <alignment horizontal="center" vertical="center"/>
    </xf>
    <xf numFmtId="0" fontId="10" fillId="0" borderId="3" xfId="505" applyFont="1" applyFill="1" applyBorder="1" applyAlignment="1">
      <alignment horizontal="center" vertical="center"/>
    </xf>
    <xf numFmtId="0" fontId="10" fillId="0" borderId="0" xfId="505" applyFont="1" applyFill="1" applyBorder="1" applyAlignment="1">
      <alignment horizontal="center" vertical="center"/>
    </xf>
    <xf numFmtId="1" fontId="13" fillId="0" borderId="16" xfId="505" applyNumberFormat="1" applyFont="1" applyFill="1" applyBorder="1" applyAlignment="1">
      <alignment horizontal="left" vertical="center"/>
    </xf>
    <xf numFmtId="1" fontId="90" fillId="0" borderId="3" xfId="505" applyNumberFormat="1" applyFont="1" applyFill="1" applyBorder="1" applyAlignment="1">
      <alignment horizontal="center" vertical="center"/>
    </xf>
    <xf numFmtId="268" fontId="90" fillId="0" borderId="3" xfId="505" applyNumberFormat="1" applyFont="1" applyFill="1" applyBorder="1" applyAlignment="1">
      <alignment horizontal="center" vertical="center"/>
    </xf>
    <xf numFmtId="0" fontId="13" fillId="0" borderId="16" xfId="505" applyFont="1" applyFill="1" applyBorder="1" applyAlignment="1">
      <alignment horizontal="left" vertical="center"/>
    </xf>
    <xf numFmtId="0" fontId="13" fillId="0" borderId="0" xfId="505" applyFont="1" applyFill="1" applyBorder="1" applyAlignment="1">
      <alignment horizontal="center" vertical="center"/>
    </xf>
    <xf numFmtId="0" fontId="13" fillId="0" borderId="32" xfId="505" applyFont="1" applyFill="1" applyBorder="1" applyAlignment="1">
      <alignment horizontal="left" vertical="center"/>
    </xf>
    <xf numFmtId="0" fontId="55" fillId="0" borderId="3" xfId="505" applyFont="1" applyFill="1" applyBorder="1" applyAlignment="1">
      <alignment horizontal="center" vertical="center"/>
    </xf>
    <xf numFmtId="0" fontId="7" fillId="0" borderId="3" xfId="505" applyFont="1" applyFill="1" applyBorder="1" applyAlignment="1">
      <alignment horizontal="center" vertical="center"/>
    </xf>
    <xf numFmtId="0" fontId="27" fillId="0" borderId="3" xfId="505" applyFont="1" applyFill="1" applyBorder="1" applyAlignment="1">
      <alignment horizontal="center" vertical="center"/>
    </xf>
    <xf numFmtId="0" fontId="27" fillId="0" borderId="0" xfId="505" applyFont="1" applyFill="1" applyBorder="1" applyAlignment="1">
      <alignment horizontal="center" vertical="center"/>
    </xf>
    <xf numFmtId="1" fontId="5" fillId="0" borderId="0" xfId="504" applyNumberFormat="1" applyFont="1" applyFill="1" applyAlignment="1">
      <alignment horizontal="center"/>
    </xf>
    <xf numFmtId="268" fontId="24" fillId="0" borderId="0" xfId="504" applyNumberFormat="1" applyFont="1" applyFill="1" applyBorder="1" applyAlignment="1">
      <alignment horizontal="center"/>
    </xf>
    <xf numFmtId="268" fontId="23" fillId="0" borderId="0" xfId="504" applyNumberFormat="1" applyFont="1" applyFill="1" applyBorder="1" applyAlignment="1">
      <alignment horizontal="center"/>
    </xf>
    <xf numFmtId="268" fontId="24" fillId="0" borderId="0" xfId="504" applyNumberFormat="1" applyFont="1" applyFill="1" applyBorder="1" applyAlignment="1"/>
    <xf numFmtId="0" fontId="13" fillId="0" borderId="11" xfId="504" applyFont="1" applyBorder="1" applyAlignment="1">
      <alignment horizontal="left" vertical="center" wrapText="1"/>
    </xf>
    <xf numFmtId="268" fontId="24" fillId="0" borderId="8" xfId="504" applyNumberFormat="1" applyFont="1" applyFill="1" applyBorder="1" applyAlignment="1">
      <alignment horizontal="center" vertical="center"/>
    </xf>
    <xf numFmtId="0" fontId="13" fillId="0" borderId="13" xfId="504" applyFont="1" applyBorder="1" applyAlignment="1">
      <alignment horizontal="left" vertical="center" wrapText="1"/>
    </xf>
    <xf numFmtId="0" fontId="24" fillId="0" borderId="4" xfId="504" applyFont="1" applyBorder="1" applyAlignment="1">
      <alignment horizontal="center" vertical="center" wrapText="1"/>
    </xf>
    <xf numFmtId="268" fontId="24" fillId="0" borderId="11" xfId="504" applyNumberFormat="1" applyFont="1" applyFill="1" applyBorder="1" applyAlignment="1">
      <alignment horizontal="center" vertical="center"/>
    </xf>
    <xf numFmtId="0" fontId="21" fillId="0" borderId="6" xfId="0" applyFont="1" applyBorder="1" applyAlignment="1">
      <alignment horizontal="center" vertical="center"/>
    </xf>
    <xf numFmtId="0" fontId="24" fillId="0" borderId="12" xfId="504" applyFont="1" applyFill="1" applyBorder="1" applyAlignment="1">
      <alignment horizontal="center" vertical="center" wrapText="1"/>
    </xf>
    <xf numFmtId="0" fontId="21" fillId="0" borderId="6" xfId="0" applyFont="1" applyFill="1" applyBorder="1" applyAlignment="1">
      <alignment vertical="center"/>
    </xf>
    <xf numFmtId="1" fontId="7" fillId="0" borderId="3" xfId="0" applyNumberFormat="1" applyFont="1" applyFill="1" applyBorder="1" applyAlignment="1">
      <alignment horizontal="left" vertical="center" wrapText="1"/>
    </xf>
    <xf numFmtId="1" fontId="7" fillId="9" borderId="3" xfId="0" applyNumberFormat="1" applyFont="1" applyFill="1" applyBorder="1" applyAlignment="1">
      <alignment horizontal="left" vertical="center" wrapText="1"/>
    </xf>
    <xf numFmtId="1" fontId="7" fillId="0" borderId="3" xfId="0" applyNumberFormat="1" applyFont="1" applyFill="1" applyBorder="1" applyAlignment="1">
      <alignment vertical="center" wrapText="1"/>
    </xf>
    <xf numFmtId="0" fontId="55" fillId="0" borderId="3" xfId="0" applyFont="1" applyFill="1" applyBorder="1" applyAlignment="1">
      <alignment horizontal="left" vertical="center" wrapText="1"/>
    </xf>
    <xf numFmtId="0" fontId="92" fillId="0" borderId="3" xfId="504" applyFont="1" applyFill="1" applyBorder="1" applyAlignment="1">
      <alignment horizontal="center" vertical="center" wrapText="1"/>
    </xf>
    <xf numFmtId="1" fontId="7" fillId="10" borderId="3" xfId="0" applyNumberFormat="1" applyFont="1" applyFill="1" applyBorder="1" applyAlignment="1">
      <alignment horizontal="left" vertical="center" wrapText="1"/>
    </xf>
    <xf numFmtId="0" fontId="5" fillId="0" borderId="0" xfId="504" applyFont="1" applyBorder="1" applyAlignment="1">
      <alignment horizontal="center" vertical="center"/>
    </xf>
    <xf numFmtId="196" fontId="0" fillId="9" borderId="0" xfId="504" applyNumberFormat="1" applyFont="1" applyFill="1" applyAlignment="1">
      <alignment horizontal="center" vertical="center"/>
    </xf>
    <xf numFmtId="196" fontId="5" fillId="0" borderId="0" xfId="504" applyNumberFormat="1" applyFont="1" applyFill="1" applyAlignment="1">
      <alignment vertical="center"/>
    </xf>
    <xf numFmtId="0" fontId="11" fillId="0" borderId="0" xfId="504" applyFont="1" applyAlignment="1"/>
    <xf numFmtId="0" fontId="11" fillId="0" borderId="0" xfId="504" applyFont="1" applyAlignment="1">
      <alignment horizontal="center"/>
    </xf>
    <xf numFmtId="0" fontId="11" fillId="0" borderId="0" xfId="504" applyFont="1" applyBorder="1" applyAlignment="1">
      <alignment vertical="center"/>
    </xf>
    <xf numFmtId="196" fontId="11" fillId="0" borderId="0" xfId="504" applyNumberFormat="1" applyFont="1" applyAlignment="1">
      <alignment vertical="center"/>
    </xf>
    <xf numFmtId="0" fontId="93" fillId="0" borderId="0" xfId="504" applyFont="1" applyFill="1" applyAlignment="1">
      <alignment horizontal="left" vertical="center"/>
    </xf>
    <xf numFmtId="0" fontId="94" fillId="0" borderId="0" xfId="504" applyFont="1" applyAlignment="1"/>
    <xf numFmtId="0" fontId="94" fillId="0" borderId="0" xfId="504" applyFont="1" applyAlignment="1">
      <alignment horizontal="center"/>
    </xf>
    <xf numFmtId="0" fontId="93" fillId="0" borderId="0" xfId="504" applyFont="1" applyBorder="1" applyAlignment="1">
      <alignment vertical="center"/>
    </xf>
    <xf numFmtId="268" fontId="27" fillId="0" borderId="0" xfId="504" applyNumberFormat="1" applyFont="1" applyFill="1" applyBorder="1" applyAlignment="1">
      <alignment horizontal="center"/>
    </xf>
    <xf numFmtId="0" fontId="24" fillId="0" borderId="3" xfId="504" applyFont="1" applyBorder="1" applyAlignment="1">
      <alignment horizontal="center" vertical="center" wrapText="1"/>
    </xf>
    <xf numFmtId="0" fontId="24" fillId="0" borderId="2" xfId="504" applyFont="1" applyBorder="1" applyAlignment="1">
      <alignment horizontal="center" vertical="center" wrapText="1"/>
    </xf>
    <xf numFmtId="0" fontId="7" fillId="0" borderId="3" xfId="504" applyFont="1" applyFill="1" applyBorder="1" applyAlignment="1">
      <alignment horizontal="center" vertical="center" wrapText="1"/>
    </xf>
    <xf numFmtId="0" fontId="55" fillId="0" borderId="3" xfId="504" applyFont="1" applyFill="1" applyBorder="1" applyAlignment="1">
      <alignment horizontal="center" vertical="center" wrapText="1"/>
    </xf>
    <xf numFmtId="0" fontId="27" fillId="0" borderId="1" xfId="504" applyFont="1" applyFill="1" applyBorder="1" applyAlignment="1"/>
    <xf numFmtId="0" fontId="27" fillId="0" borderId="0" xfId="504" applyFont="1" applyFill="1" applyBorder="1" applyAlignment="1">
      <alignment vertical="center"/>
    </xf>
    <xf numFmtId="0" fontId="0" fillId="9" borderId="0" xfId="0" applyFill="1" applyAlignment="1"/>
    <xf numFmtId="0" fontId="27" fillId="0" borderId="0" xfId="504" applyFont="1" applyAlignment="1">
      <alignment horizontal="center"/>
    </xf>
    <xf numFmtId="0" fontId="11" fillId="0" borderId="0" xfId="504" applyFont="1" applyFill="1" applyAlignment="1">
      <alignment vertical="center"/>
    </xf>
    <xf numFmtId="0" fontId="11" fillId="0" borderId="0" xfId="505" applyFont="1" applyFill="1" applyAlignment="1">
      <alignment vertical="center"/>
    </xf>
    <xf numFmtId="0" fontId="0" fillId="0" borderId="0" xfId="505" applyFont="1" applyFill="1" applyAlignment="1">
      <alignment vertical="center"/>
    </xf>
    <xf numFmtId="0" fontId="16" fillId="0" borderId="0" xfId="505" applyFont="1" applyFill="1" applyAlignment="1">
      <alignment vertical="center"/>
    </xf>
    <xf numFmtId="0" fontId="0" fillId="4" borderId="0" xfId="0" applyFont="1" applyFill="1" applyBorder="1" applyAlignment="1">
      <alignment horizontal="center"/>
    </xf>
    <xf numFmtId="0" fontId="91" fillId="4" borderId="0" xfId="505" applyFont="1" applyFill="1" applyBorder="1" applyAlignment="1">
      <alignment horizontal="center" vertical="center"/>
    </xf>
    <xf numFmtId="0" fontId="91" fillId="0" borderId="0" xfId="505" applyFont="1" applyFill="1" applyBorder="1" applyAlignment="1">
      <alignment vertical="center"/>
    </xf>
    <xf numFmtId="0" fontId="11" fillId="4" borderId="0" xfId="0" applyFont="1" applyFill="1" applyBorder="1" applyAlignment="1">
      <alignment horizontal="center"/>
    </xf>
    <xf numFmtId="268" fontId="27" fillId="0" borderId="0" xfId="504" applyNumberFormat="1" applyFont="1" applyFill="1" applyBorder="1" applyAlignment="1"/>
    <xf numFmtId="268" fontId="24" fillId="0" borderId="12" xfId="504" applyNumberFormat="1" applyFont="1" applyFill="1" applyBorder="1" applyAlignment="1">
      <alignment horizontal="center" vertical="center"/>
    </xf>
    <xf numFmtId="268" fontId="24" fillId="0" borderId="12" xfId="504" applyNumberFormat="1" applyFont="1" applyFill="1" applyBorder="1" applyAlignment="1">
      <alignment vertical="center"/>
    </xf>
    <xf numFmtId="0" fontId="24" fillId="0" borderId="4" xfId="504" applyFont="1" applyFill="1" applyBorder="1" applyAlignment="1">
      <alignment vertical="center" wrapText="1"/>
    </xf>
    <xf numFmtId="0" fontId="23" fillId="9" borderId="6" xfId="0" applyFont="1" applyFill="1" applyBorder="1" applyAlignment="1">
      <alignment horizontal="center" vertical="center" wrapText="1"/>
    </xf>
    <xf numFmtId="0" fontId="14" fillId="7" borderId="6" xfId="504" applyFont="1" applyFill="1" applyBorder="1" applyAlignment="1">
      <alignment vertical="center" wrapText="1"/>
    </xf>
    <xf numFmtId="0" fontId="24" fillId="0" borderId="6" xfId="504" applyFont="1" applyBorder="1" applyAlignment="1">
      <alignment horizontal="center" vertical="center" wrapText="1"/>
    </xf>
    <xf numFmtId="1" fontId="25" fillId="0" borderId="3" xfId="0" applyNumberFormat="1" applyFont="1" applyBorder="1" applyAlignment="1">
      <alignment vertical="center"/>
    </xf>
    <xf numFmtId="1" fontId="25" fillId="0" borderId="3" xfId="0" applyNumberFormat="1" applyFont="1" applyFill="1" applyBorder="1" applyAlignment="1">
      <alignment vertical="center"/>
    </xf>
    <xf numFmtId="0" fontId="55" fillId="0" borderId="3" xfId="504" applyFont="1" applyFill="1" applyBorder="1" applyAlignment="1">
      <alignment vertical="center" wrapText="1"/>
    </xf>
    <xf numFmtId="14" fontId="7" fillId="10" borderId="3" xfId="504" applyNumberFormat="1" applyFont="1" applyFill="1" applyBorder="1" applyAlignment="1" applyProtection="1">
      <alignment horizontal="center" vertical="center" wrapText="1"/>
      <protection locked="0"/>
    </xf>
    <xf numFmtId="14" fontId="7" fillId="0" borderId="3" xfId="504" applyNumberFormat="1" applyFont="1" applyFill="1" applyBorder="1" applyAlignment="1" applyProtection="1">
      <alignment vertical="center" wrapText="1"/>
      <protection locked="0"/>
    </xf>
    <xf numFmtId="14" fontId="7" fillId="9" borderId="3" xfId="504" applyNumberFormat="1" applyFont="1" applyFill="1" applyBorder="1" applyAlignment="1" applyProtection="1">
      <alignment horizontal="center" vertical="center" wrapText="1"/>
      <protection locked="0"/>
    </xf>
    <xf numFmtId="14" fontId="7" fillId="11" borderId="3" xfId="504" applyNumberFormat="1" applyFont="1" applyFill="1" applyBorder="1" applyAlignment="1" applyProtection="1">
      <alignment horizontal="center" vertical="center" wrapText="1"/>
      <protection locked="0"/>
    </xf>
    <xf numFmtId="0" fontId="5" fillId="0" borderId="1" xfId="504" applyFont="1" applyBorder="1" applyAlignment="1">
      <alignment horizontal="left" vertical="top"/>
    </xf>
    <xf numFmtId="0" fontId="5" fillId="0" borderId="0" xfId="504" applyFont="1" applyBorder="1" applyAlignment="1">
      <alignment horizontal="left" vertical="top"/>
    </xf>
    <xf numFmtId="0" fontId="5" fillId="0" borderId="0" xfId="504" applyFont="1" applyAlignment="1">
      <alignment horizontal="left" vertical="top"/>
    </xf>
    <xf numFmtId="196" fontId="24" fillId="0" borderId="2" xfId="504" applyNumberFormat="1" applyFont="1" applyBorder="1" applyAlignment="1">
      <alignment horizontal="center" vertical="center"/>
    </xf>
    <xf numFmtId="185" fontId="0" fillId="0" borderId="3" xfId="0" applyNumberFormat="1" applyFont="1" applyFill="1" applyBorder="1" applyAlignment="1">
      <alignment horizontal="center" vertical="center" shrinkToFit="1"/>
    </xf>
    <xf numFmtId="196" fontId="89" fillId="0" borderId="0" xfId="504" applyNumberFormat="1" applyFont="1" applyAlignment="1">
      <alignment vertical="center"/>
    </xf>
    <xf numFmtId="0" fontId="24" fillId="0" borderId="0" xfId="504" applyFont="1" applyBorder="1" applyAlignment="1">
      <alignment horizontal="left" vertical="top"/>
    </xf>
    <xf numFmtId="0" fontId="24" fillId="0" borderId="11" xfId="504" applyFont="1" applyFill="1" applyBorder="1" applyAlignment="1">
      <alignment horizontal="center" vertical="center" wrapText="1"/>
    </xf>
    <xf numFmtId="0" fontId="24" fillId="0" borderId="0" xfId="504" applyFont="1" applyFill="1" applyBorder="1" applyAlignment="1">
      <alignment horizontal="center" vertical="center" wrapText="1"/>
    </xf>
    <xf numFmtId="0" fontId="24" fillId="0" borderId="14" xfId="504" applyFont="1" applyFill="1" applyBorder="1" applyAlignment="1">
      <alignment horizontal="center" vertical="center" wrapText="1"/>
    </xf>
    <xf numFmtId="0" fontId="7" fillId="0" borderId="3" xfId="0" applyFont="1" applyFill="1" applyBorder="1" applyAlignment="1">
      <alignment horizontal="center" textRotation="90"/>
    </xf>
    <xf numFmtId="0" fontId="24" fillId="0" borderId="10" xfId="504" applyFont="1" applyBorder="1" applyAlignment="1">
      <alignment horizontal="center" vertical="center" wrapText="1"/>
    </xf>
    <xf numFmtId="0" fontId="27" fillId="0" borderId="6" xfId="0" applyFont="1" applyFill="1" applyBorder="1" applyAlignment="1">
      <alignment horizontal="center" vertical="center"/>
    </xf>
    <xf numFmtId="268" fontId="24" fillId="0" borderId="10" xfId="504" applyNumberFormat="1" applyFont="1" applyFill="1" applyBorder="1" applyAlignment="1">
      <alignment horizontal="center" vertical="center"/>
    </xf>
    <xf numFmtId="1" fontId="24" fillId="0" borderId="3" xfId="504" applyNumberFormat="1" applyFont="1" applyFill="1" applyBorder="1" applyAlignment="1">
      <alignment horizontal="center" vertical="center"/>
    </xf>
    <xf numFmtId="268" fontId="23" fillId="0" borderId="0" xfId="504" applyNumberFormat="1" applyFont="1" applyFill="1" applyBorder="1" applyAlignment="1">
      <alignment wrapText="1"/>
    </xf>
    <xf numFmtId="268" fontId="24" fillId="0" borderId="0" xfId="504" applyNumberFormat="1" applyFont="1" applyFill="1" applyBorder="1" applyAlignment="1">
      <alignment horizontal="left" vertical="top"/>
    </xf>
    <xf numFmtId="268" fontId="57" fillId="0" borderId="0" xfId="504" applyNumberFormat="1" applyFont="1" applyFill="1" applyBorder="1" applyAlignment="1">
      <alignment horizontal="center" vertical="center"/>
    </xf>
    <xf numFmtId="1" fontId="57" fillId="0" borderId="0" xfId="504" applyNumberFormat="1" applyFont="1" applyFill="1" applyBorder="1" applyAlignment="1">
      <alignment horizontal="center" vertical="center"/>
    </xf>
    <xf numFmtId="268" fontId="24" fillId="0" borderId="0" xfId="504" applyNumberFormat="1" applyFont="1" applyFill="1" applyBorder="1" applyAlignment="1">
      <alignment horizontal="center" vertical="center"/>
    </xf>
    <xf numFmtId="1" fontId="24" fillId="0" borderId="0" xfId="504" applyNumberFormat="1" applyFont="1" applyFill="1" applyBorder="1" applyAlignment="1">
      <alignment horizontal="right" vertical="center"/>
    </xf>
    <xf numFmtId="1" fontId="24" fillId="0" borderId="0" xfId="504" applyNumberFormat="1" applyFont="1" applyFill="1" applyBorder="1" applyAlignment="1">
      <alignment horizontal="left" vertical="center"/>
    </xf>
    <xf numFmtId="1" fontId="24" fillId="0" borderId="0" xfId="504" applyNumberFormat="1" applyFont="1" applyFill="1" applyBorder="1" applyAlignment="1">
      <alignment horizontal="center" vertical="center"/>
    </xf>
    <xf numFmtId="1" fontId="24" fillId="0" borderId="0" xfId="504" applyNumberFormat="1" applyFont="1" applyFill="1" applyBorder="1" applyAlignment="1">
      <alignment horizontal="right" vertical="center" textRotation="90"/>
    </xf>
    <xf numFmtId="1" fontId="24" fillId="0" borderId="0" xfId="504" applyNumberFormat="1" applyFont="1" applyFill="1" applyBorder="1" applyAlignment="1">
      <alignment horizontal="left" vertical="center" textRotation="90"/>
    </xf>
    <xf numFmtId="1" fontId="24" fillId="0" borderId="0" xfId="504" applyNumberFormat="1" applyFont="1" applyFill="1" applyBorder="1" applyAlignment="1">
      <alignment horizontal="center" vertical="center" textRotation="90"/>
    </xf>
    <xf numFmtId="268" fontId="23" fillId="0" borderId="4" xfId="504" applyNumberFormat="1" applyFont="1" applyFill="1" applyBorder="1" applyAlignment="1">
      <alignment vertical="center" wrapText="1"/>
    </xf>
    <xf numFmtId="0" fontId="24" fillId="12" borderId="4" xfId="504" applyFont="1" applyFill="1" applyBorder="1" applyAlignment="1">
      <alignment horizontal="center" vertical="center" wrapText="1"/>
    </xf>
    <xf numFmtId="0" fontId="24" fillId="0" borderId="4" xfId="504" applyFont="1" applyFill="1" applyBorder="1" applyAlignment="1">
      <alignment horizontal="center" vertical="center" textRotation="90" wrapText="1"/>
    </xf>
    <xf numFmtId="268" fontId="24" fillId="0" borderId="5" xfId="504" applyNumberFormat="1" applyFont="1" applyFill="1" applyBorder="1" applyAlignment="1">
      <alignment horizontal="center" vertical="center" wrapText="1"/>
    </xf>
    <xf numFmtId="0" fontId="55" fillId="0" borderId="3" xfId="504" applyFont="1" applyBorder="1" applyAlignment="1">
      <alignment horizontal="center" vertical="center" wrapText="1"/>
    </xf>
    <xf numFmtId="0" fontId="55" fillId="0" borderId="3" xfId="0" applyFont="1" applyFill="1" applyBorder="1" applyAlignment="1">
      <alignment horizontal="center" vertical="center" wrapText="1"/>
    </xf>
    <xf numFmtId="268" fontId="24" fillId="0" borderId="6" xfId="504" applyNumberFormat="1" applyFont="1" applyFill="1" applyBorder="1" applyAlignment="1">
      <alignment horizontal="center" vertical="center" wrapText="1"/>
    </xf>
    <xf numFmtId="0" fontId="13" fillId="0" borderId="6" xfId="504" applyFont="1" applyBorder="1" applyAlignment="1">
      <alignment horizontal="center" vertical="center" textRotation="90" wrapText="1"/>
    </xf>
    <xf numFmtId="0" fontId="32" fillId="0" borderId="6" xfId="0" applyFont="1" applyFill="1" applyBorder="1" applyAlignment="1">
      <alignment horizontal="left" textRotation="90" wrapText="1"/>
    </xf>
    <xf numFmtId="0" fontId="32" fillId="0" borderId="6" xfId="0" applyFont="1" applyBorder="1" applyAlignment="1">
      <alignment horizontal="left" textRotation="90" wrapText="1"/>
    </xf>
    <xf numFmtId="0" fontId="32" fillId="12" borderId="6" xfId="0" applyFont="1" applyFill="1" applyBorder="1" applyAlignment="1">
      <alignment horizontal="left" vertical="top" textRotation="90" wrapText="1"/>
    </xf>
    <xf numFmtId="0" fontId="55" fillId="0" borderId="3" xfId="0" applyFont="1" applyFill="1" applyBorder="1" applyAlignment="1">
      <alignment vertical="center" wrapText="1"/>
    </xf>
    <xf numFmtId="268" fontId="7" fillId="12" borderId="3" xfId="504" applyNumberFormat="1" applyFont="1" applyFill="1" applyBorder="1" applyAlignment="1">
      <alignment horizontal="left" vertical="top" wrapText="1"/>
    </xf>
    <xf numFmtId="0" fontId="21" fillId="4" borderId="3" xfId="0" applyFont="1" applyFill="1" applyBorder="1" applyAlignment="1">
      <alignment horizontal="center" vertical="center"/>
    </xf>
    <xf numFmtId="268" fontId="95" fillId="12" borderId="3" xfId="18" applyNumberFormat="1" applyFont="1" applyFill="1" applyBorder="1" applyAlignment="1">
      <alignment horizontal="left" vertical="top" wrapText="1"/>
    </xf>
    <xf numFmtId="0" fontId="21" fillId="11" borderId="3" xfId="0" applyFont="1" applyFill="1" applyBorder="1" applyAlignment="1">
      <alignment horizontal="center" vertical="center"/>
    </xf>
    <xf numFmtId="0" fontId="55" fillId="4" borderId="3" xfId="0" applyFont="1" applyFill="1" applyBorder="1" applyAlignment="1">
      <alignment vertical="center" wrapText="1"/>
    </xf>
    <xf numFmtId="0" fontId="27" fillId="0" borderId="0" xfId="504" applyFont="1" applyFill="1" applyBorder="1" applyAlignment="1">
      <alignment horizontal="left" wrapText="1"/>
    </xf>
    <xf numFmtId="0" fontId="55" fillId="0" borderId="3" xfId="0" applyFont="1" applyBorder="1" applyAlignment="1">
      <alignment horizontal="center" vertical="center" wrapText="1"/>
    </xf>
    <xf numFmtId="185" fontId="0" fillId="0" borderId="0" xfId="0" applyNumberFormat="1" applyFont="1" applyFill="1" applyBorder="1" applyAlignment="1">
      <alignment horizontal="center" vertical="center" shrinkToFit="1"/>
    </xf>
    <xf numFmtId="0" fontId="7" fillId="0" borderId="0" xfId="0" applyFont="1" applyFill="1" applyBorder="1" applyAlignment="1">
      <alignment horizontal="center" textRotation="90"/>
    </xf>
    <xf numFmtId="0" fontId="27" fillId="0" borderId="0" xfId="0" applyFont="1" applyFill="1" applyBorder="1" applyAlignment="1">
      <alignment horizontal="center" vertical="center"/>
    </xf>
    <xf numFmtId="1" fontId="57" fillId="0" borderId="0" xfId="504" applyNumberFormat="1" applyFont="1" applyFill="1" applyBorder="1" applyAlignment="1">
      <alignment horizontal="centerContinuous" vertical="center"/>
    </xf>
    <xf numFmtId="0" fontId="13" fillId="0" borderId="4" xfId="504" applyFont="1" applyFill="1" applyBorder="1" applyAlignment="1">
      <alignment horizontal="center" vertical="center" textRotation="90" wrapText="1"/>
    </xf>
    <xf numFmtId="0" fontId="13" fillId="0" borderId="0" xfId="504" applyFont="1" applyFill="1" applyBorder="1" applyAlignment="1">
      <alignment horizontal="center" vertical="center" textRotation="90" wrapText="1"/>
    </xf>
    <xf numFmtId="0" fontId="21" fillId="4" borderId="0" xfId="0" applyFont="1" applyFill="1" applyBorder="1" applyAlignment="1">
      <alignment horizontal="center" vertical="center"/>
    </xf>
    <xf numFmtId="0" fontId="5" fillId="0" borderId="0" xfId="504" applyFont="1" applyFill="1" applyBorder="1" applyAlignment="1">
      <alignment wrapText="1"/>
    </xf>
    <xf numFmtId="268" fontId="24" fillId="0" borderId="0" xfId="504" applyNumberFormat="1" applyFont="1" applyFill="1" applyBorder="1" applyAlignment="1">
      <alignment horizontal="centerContinuous" vertical="center"/>
    </xf>
    <xf numFmtId="268" fontId="24" fillId="0" borderId="0" xfId="504" applyNumberFormat="1" applyFont="1" applyFill="1" applyBorder="1" applyAlignment="1">
      <alignment horizontal="center" vertical="center" textRotation="90"/>
    </xf>
    <xf numFmtId="0" fontId="13" fillId="0" borderId="0" xfId="504" applyFont="1" applyBorder="1" applyAlignment="1">
      <alignment horizontal="center" vertical="center" textRotation="90" wrapText="1"/>
    </xf>
    <xf numFmtId="0" fontId="21" fillId="0" borderId="0" xfId="0" applyFont="1" applyFill="1" applyBorder="1" applyAlignment="1">
      <alignment horizontal="center" vertical="center"/>
    </xf>
    <xf numFmtId="0" fontId="13" fillId="0" borderId="6" xfId="504" applyFont="1" applyBorder="1" applyAlignment="1">
      <alignment horizontal="center" vertical="center" wrapText="1"/>
    </xf>
    <xf numFmtId="0" fontId="21" fillId="4" borderId="3" xfId="0" applyFont="1" applyFill="1" applyBorder="1" applyAlignment="1">
      <alignment horizontal="center" vertical="center" wrapText="1"/>
    </xf>
    <xf numFmtId="0" fontId="21" fillId="13" borderId="3" xfId="0" applyFont="1" applyFill="1" applyBorder="1" applyAlignment="1">
      <alignment horizontal="center" vertical="center"/>
    </xf>
    <xf numFmtId="0" fontId="21" fillId="13" borderId="3" xfId="0" applyFont="1" applyFill="1" applyBorder="1" applyAlignment="1">
      <alignment horizontal="center" vertical="center" wrapText="1"/>
    </xf>
    <xf numFmtId="0" fontId="96" fillId="0" borderId="3" xfId="0" applyFont="1" applyBorder="1" applyAlignment="1">
      <alignment horizontal="center" wrapText="1"/>
    </xf>
    <xf numFmtId="272" fontId="27" fillId="0" borderId="3" xfId="0" applyNumberFormat="1" applyFont="1" applyFill="1" applyBorder="1" applyAlignment="1">
      <alignment horizontal="center" vertical="center" wrapText="1"/>
    </xf>
    <xf numFmtId="0" fontId="27" fillId="0" borderId="3" xfId="0" applyFont="1" applyFill="1" applyBorder="1" applyAlignment="1">
      <alignment horizontal="center" vertical="center" shrinkToFit="1"/>
    </xf>
    <xf numFmtId="0" fontId="32" fillId="0" borderId="4" xfId="0" applyFont="1" applyBorder="1" applyAlignment="1">
      <alignment horizontal="center" textRotation="90" wrapText="1"/>
    </xf>
    <xf numFmtId="0" fontId="32" fillId="0" borderId="5" xfId="0" applyFont="1" applyBorder="1" applyAlignment="1">
      <alignment horizontal="center" textRotation="90" wrapText="1"/>
    </xf>
    <xf numFmtId="0" fontId="32" fillId="0" borderId="6" xfId="0" applyFont="1" applyBorder="1" applyAlignment="1">
      <alignment horizontal="center" textRotation="90" wrapText="1"/>
    </xf>
    <xf numFmtId="0" fontId="8" fillId="0" borderId="0" xfId="504" applyFont="1" applyAlignment="1"/>
    <xf numFmtId="0" fontId="21" fillId="11" borderId="3" xfId="504" applyFont="1" applyFill="1" applyBorder="1" applyAlignment="1">
      <alignment horizontal="center" vertical="center" wrapText="1"/>
    </xf>
    <xf numFmtId="0" fontId="21" fillId="10" borderId="3" xfId="504" applyFont="1" applyFill="1" applyBorder="1" applyAlignment="1">
      <alignment horizontal="center" vertical="center" wrapText="1"/>
    </xf>
    <xf numFmtId="0" fontId="21" fillId="10" borderId="2" xfId="504" applyFont="1" applyFill="1" applyBorder="1" applyAlignment="1">
      <alignment horizontal="center" vertical="center" wrapText="1"/>
    </xf>
    <xf numFmtId="0" fontId="7" fillId="10" borderId="16" xfId="504" applyFont="1" applyFill="1" applyBorder="1" applyAlignment="1">
      <alignment horizontal="left" vertical="center" wrapText="1"/>
    </xf>
    <xf numFmtId="274" fontId="7" fillId="0" borderId="3" xfId="0" applyNumberFormat="1" applyFont="1" applyFill="1" applyBorder="1" applyAlignment="1">
      <alignment horizontal="left" vertical="center" wrapText="1"/>
    </xf>
    <xf numFmtId="1" fontId="7" fillId="0" borderId="6" xfId="0" applyNumberFormat="1" applyFont="1" applyFill="1" applyBorder="1" applyAlignment="1">
      <alignment horizontal="left" vertical="center" wrapText="1"/>
    </xf>
    <xf numFmtId="1" fontId="7" fillId="0" borderId="6" xfId="0" applyNumberFormat="1" applyFont="1" applyFill="1" applyBorder="1" applyAlignment="1">
      <alignment horizontal="center" vertical="center" wrapText="1"/>
    </xf>
    <xf numFmtId="274" fontId="7" fillId="0" borderId="3" xfId="0" applyNumberFormat="1" applyFont="1" applyFill="1" applyBorder="1" applyAlignment="1">
      <alignment vertical="center" wrapText="1"/>
    </xf>
    <xf numFmtId="1" fontId="7" fillId="9" borderId="6" xfId="0" applyNumberFormat="1" applyFont="1" applyFill="1" applyBorder="1" applyAlignment="1">
      <alignment horizontal="center" vertical="center" wrapText="1"/>
    </xf>
    <xf numFmtId="0" fontId="55" fillId="10" borderId="3" xfId="0" applyFont="1" applyFill="1" applyBorder="1" applyAlignment="1">
      <alignment horizontal="left" vertical="center" wrapText="1"/>
    </xf>
    <xf numFmtId="0" fontId="92" fillId="10" borderId="3" xfId="504" applyFont="1" applyFill="1" applyBorder="1" applyAlignment="1">
      <alignment horizontal="center" vertical="center" wrapText="1"/>
    </xf>
    <xf numFmtId="0" fontId="92" fillId="0" borderId="16" xfId="504" applyFont="1" applyFill="1" applyBorder="1" applyAlignment="1">
      <alignment horizontal="center" vertical="center" wrapText="1"/>
    </xf>
    <xf numFmtId="1" fontId="7" fillId="0" borderId="16" xfId="0" applyNumberFormat="1" applyFont="1" applyFill="1" applyBorder="1" applyAlignment="1">
      <alignment horizontal="left" vertical="center" wrapText="1"/>
    </xf>
    <xf numFmtId="0" fontId="97" fillId="0" borderId="3" xfId="0" applyFont="1" applyFill="1" applyBorder="1" applyAlignment="1">
      <alignment horizontal="left" vertical="center" wrapText="1"/>
    </xf>
    <xf numFmtId="1" fontId="7" fillId="11" borderId="3" xfId="0" applyNumberFormat="1" applyFont="1" applyFill="1" applyBorder="1" applyAlignment="1">
      <alignment horizontal="left" vertical="center" wrapText="1"/>
    </xf>
    <xf numFmtId="0" fontId="7" fillId="10" borderId="3" xfId="504" applyFont="1" applyFill="1" applyBorder="1" applyAlignment="1">
      <alignment horizontal="center" vertical="center" wrapText="1"/>
    </xf>
    <xf numFmtId="0" fontId="55" fillId="10" borderId="3" xfId="504" applyFont="1" applyFill="1" applyBorder="1" applyAlignment="1">
      <alignment horizontal="center" vertical="center" wrapText="1"/>
    </xf>
    <xf numFmtId="0" fontId="7" fillId="0" borderId="16" xfId="504" applyFont="1" applyFill="1" applyBorder="1" applyAlignment="1">
      <alignment horizontal="center" vertical="center" wrapText="1"/>
    </xf>
    <xf numFmtId="0" fontId="55" fillId="0" borderId="16" xfId="504" applyFont="1" applyFill="1" applyBorder="1" applyAlignment="1">
      <alignment horizontal="center" vertical="center" wrapText="1"/>
    </xf>
    <xf numFmtId="0" fontId="55" fillId="0" borderId="3" xfId="504" applyFont="1" applyFill="1" applyBorder="1" applyAlignment="1">
      <alignment horizontal="left" vertical="center" wrapText="1"/>
    </xf>
    <xf numFmtId="0" fontId="55" fillId="0" borderId="16" xfId="504" applyFont="1" applyFill="1" applyBorder="1" applyAlignment="1">
      <alignment horizontal="left" vertical="center" wrapText="1"/>
    </xf>
    <xf numFmtId="0" fontId="55" fillId="0" borderId="16" xfId="504" applyFont="1" applyFill="1" applyBorder="1" applyAlignment="1">
      <alignment vertical="center" wrapText="1"/>
    </xf>
    <xf numFmtId="0" fontId="7" fillId="0" borderId="16" xfId="504" applyFont="1" applyFill="1" applyBorder="1" applyAlignment="1">
      <alignment vertical="center" wrapText="1"/>
    </xf>
    <xf numFmtId="14" fontId="7" fillId="11" borderId="16" xfId="504" applyNumberFormat="1" applyFont="1" applyFill="1" applyBorder="1" applyAlignment="1" applyProtection="1">
      <alignment horizontal="center" vertical="center" wrapText="1"/>
      <protection locked="0"/>
    </xf>
    <xf numFmtId="14" fontId="7" fillId="0" borderId="16" xfId="504" applyNumberFormat="1" applyFont="1" applyFill="1" applyBorder="1" applyAlignment="1" applyProtection="1">
      <alignment vertical="center" wrapText="1"/>
      <protection locked="0"/>
    </xf>
    <xf numFmtId="0" fontId="7" fillId="0" borderId="3" xfId="0" applyFont="1" applyFill="1" applyBorder="1" applyAlignment="1">
      <alignment horizontal="left" vertical="center" wrapText="1"/>
    </xf>
    <xf numFmtId="0" fontId="21" fillId="0" borderId="16" xfId="0" applyFont="1" applyFill="1" applyBorder="1" applyAlignment="1">
      <alignment horizontal="center" vertical="center"/>
    </xf>
    <xf numFmtId="268" fontId="7" fillId="12" borderId="16" xfId="504" applyNumberFormat="1" applyFont="1" applyFill="1" applyBorder="1" applyAlignment="1">
      <alignment horizontal="left" vertical="top" wrapText="1"/>
    </xf>
    <xf numFmtId="0" fontId="55" fillId="0" borderId="16" xfId="0" applyFont="1" applyFill="1" applyBorder="1" applyAlignment="1">
      <alignment vertical="center" wrapText="1"/>
    </xf>
    <xf numFmtId="0" fontId="0" fillId="0" borderId="0" xfId="504" applyFont="1" applyAlignment="1"/>
    <xf numFmtId="1" fontId="0" fillId="0" borderId="0" xfId="504" applyNumberFormat="1" applyFont="1" applyFill="1" applyAlignment="1"/>
    <xf numFmtId="1" fontId="7" fillId="0" borderId="0" xfId="504" applyNumberFormat="1" applyFont="1" applyFill="1" applyAlignment="1"/>
    <xf numFmtId="0" fontId="21" fillId="4" borderId="0" xfId="504" applyFont="1" applyFill="1" applyBorder="1" applyAlignment="1">
      <alignment horizontal="center" vertical="center" wrapText="1"/>
    </xf>
    <xf numFmtId="0" fontId="13" fillId="4" borderId="0" xfId="504" applyFont="1" applyFill="1" applyBorder="1" applyAlignment="1">
      <alignment horizontal="center" vertical="center" wrapText="1"/>
    </xf>
    <xf numFmtId="0" fontId="21" fillId="0" borderId="0" xfId="504" applyFont="1" applyAlignment="1">
      <alignment horizontal="left"/>
    </xf>
    <xf numFmtId="0" fontId="21" fillId="0" borderId="0" xfId="504" applyFont="1" applyFill="1" applyAlignment="1">
      <alignment horizontal="left"/>
    </xf>
    <xf numFmtId="0" fontId="7" fillId="0" borderId="10" xfId="504" applyFont="1" applyFill="1" applyBorder="1" applyAlignment="1">
      <alignment vertical="center" wrapText="1"/>
    </xf>
    <xf numFmtId="0" fontId="7" fillId="0" borderId="14" xfId="504" applyFont="1" applyFill="1" applyBorder="1" applyAlignment="1">
      <alignment vertical="center" wrapText="1"/>
    </xf>
    <xf numFmtId="0" fontId="7" fillId="0" borderId="15" xfId="504" applyFont="1" applyFill="1" applyBorder="1" applyAlignment="1">
      <alignment vertical="center" wrapText="1"/>
    </xf>
    <xf numFmtId="0" fontId="0" fillId="0" borderId="3" xfId="0" applyFont="1" applyFill="1" applyBorder="1" applyAlignment="1">
      <alignment horizontal="center" vertical="center"/>
    </xf>
    <xf numFmtId="0" fontId="7" fillId="0" borderId="2" xfId="504" applyFont="1" applyFill="1" applyBorder="1" applyAlignment="1">
      <alignment vertical="center" wrapText="1"/>
    </xf>
    <xf numFmtId="0" fontId="7" fillId="0" borderId="8" xfId="504" applyFont="1" applyFill="1" applyBorder="1" applyAlignment="1">
      <alignment vertical="center" wrapText="1"/>
    </xf>
    <xf numFmtId="0" fontId="7" fillId="0" borderId="0" xfId="504" applyFont="1" applyAlignment="1"/>
    <xf numFmtId="0" fontId="7" fillId="0" borderId="0" xfId="504" applyFont="1" applyBorder="1" applyAlignment="1"/>
    <xf numFmtId="0" fontId="21" fillId="0" borderId="0" xfId="504" applyFont="1" applyBorder="1" applyAlignment="1"/>
    <xf numFmtId="0" fontId="21" fillId="0" borderId="0" xfId="504" applyFont="1" applyFill="1" applyBorder="1" applyAlignment="1"/>
    <xf numFmtId="0" fontId="7" fillId="0" borderId="0" xfId="504" applyFont="1" applyFill="1" applyBorder="1" applyAlignment="1">
      <alignment vertical="center" wrapText="1"/>
    </xf>
    <xf numFmtId="0" fontId="7" fillId="4" borderId="0" xfId="504" applyFont="1" applyFill="1" applyAlignment="1"/>
    <xf numFmtId="1" fontId="7" fillId="0" borderId="3" xfId="0" applyNumberFormat="1" applyFont="1" applyFill="1" applyBorder="1" applyAlignment="1">
      <alignment horizontal="center" vertical="center"/>
    </xf>
    <xf numFmtId="1" fontId="7" fillId="0" borderId="3" xfId="593" applyNumberFormat="1" applyFont="1" applyFill="1" applyBorder="1" applyAlignment="1">
      <alignment horizontal="center" vertical="center"/>
    </xf>
    <xf numFmtId="0" fontId="7" fillId="0" borderId="16" xfId="504" applyFont="1" applyFill="1" applyBorder="1" applyAlignment="1">
      <alignment vertical="top" wrapText="1"/>
    </xf>
    <xf numFmtId="0" fontId="7" fillId="0" borderId="3" xfId="593" applyFont="1" applyFill="1" applyBorder="1" applyAlignment="1">
      <alignment horizontal="left" vertical="center" wrapText="1"/>
    </xf>
    <xf numFmtId="1" fontId="55" fillId="0" borderId="3" xfId="0" applyNumberFormat="1" applyFont="1" applyFill="1" applyBorder="1" applyAlignment="1">
      <alignment horizontal="left" vertical="center" wrapText="1"/>
    </xf>
    <xf numFmtId="0" fontId="55" fillId="0" borderId="0" xfId="504" applyFont="1" applyAlignment="1"/>
    <xf numFmtId="0" fontId="55" fillId="0" borderId="0" xfId="504" applyFont="1" applyAlignment="1">
      <alignment horizontal="center"/>
    </xf>
    <xf numFmtId="0" fontId="13" fillId="0" borderId="0" xfId="504" applyFont="1" applyFill="1" applyBorder="1" applyAlignment="1">
      <alignment horizontal="center" vertical="center" wrapText="1"/>
    </xf>
    <xf numFmtId="0" fontId="90" fillId="4" borderId="0" xfId="504" applyFont="1" applyFill="1" applyBorder="1" applyAlignment="1">
      <alignment horizontal="center" vertical="center" wrapText="1"/>
    </xf>
    <xf numFmtId="0" fontId="7" fillId="0" borderId="0" xfId="504" applyFont="1" applyFill="1" applyAlignment="1"/>
    <xf numFmtId="0" fontId="55" fillId="4" borderId="0" xfId="504" applyFont="1" applyFill="1" applyAlignment="1"/>
    <xf numFmtId="0" fontId="7" fillId="0" borderId="3" xfId="504" applyFont="1" applyFill="1" applyBorder="1" applyAlignment="1">
      <alignment horizontal="center" vertical="center"/>
    </xf>
    <xf numFmtId="0" fontId="13" fillId="0" borderId="3" xfId="504" applyFont="1" applyFill="1" applyBorder="1" applyAlignment="1">
      <alignment horizontal="center" vertical="center" wrapText="1"/>
    </xf>
    <xf numFmtId="0" fontId="7" fillId="0" borderId="0" xfId="504" applyFont="1" applyFill="1" applyBorder="1" applyAlignment="1"/>
    <xf numFmtId="15" fontId="55" fillId="0" borderId="3" xfId="504" applyNumberFormat="1" applyFont="1" applyFill="1" applyBorder="1" applyAlignment="1">
      <alignment horizontal="center" vertical="center" wrapText="1"/>
    </xf>
    <xf numFmtId="14" fontId="7" fillId="10" borderId="16" xfId="504" applyNumberFormat="1" applyFont="1" applyFill="1" applyBorder="1" applyAlignment="1" applyProtection="1">
      <alignment horizontal="center" vertical="center" wrapText="1"/>
      <protection locked="0"/>
    </xf>
    <xf numFmtId="0" fontId="55" fillId="0" borderId="0" xfId="504" applyFont="1" applyFill="1" applyAlignment="1">
      <alignment horizontal="center"/>
    </xf>
    <xf numFmtId="0" fontId="55" fillId="0" borderId="0" xfId="504" applyFont="1" applyFill="1" applyAlignment="1"/>
    <xf numFmtId="0" fontId="7" fillId="0" borderId="0" xfId="504" applyFont="1" applyAlignment="1">
      <alignment horizontal="center"/>
    </xf>
    <xf numFmtId="0" fontId="90" fillId="0" borderId="0" xfId="504" applyFont="1" applyFill="1" applyBorder="1" applyAlignment="1">
      <alignment horizontal="center" vertical="center" wrapText="1"/>
    </xf>
    <xf numFmtId="0" fontId="90" fillId="0" borderId="0" xfId="504" applyFont="1" applyFill="1" applyBorder="1" applyAlignment="1">
      <alignment vertical="center" wrapText="1"/>
    </xf>
    <xf numFmtId="0" fontId="13" fillId="4" borderId="0" xfId="504" applyFont="1" applyFill="1" applyAlignment="1"/>
    <xf numFmtId="0" fontId="7" fillId="0" borderId="3" xfId="0" applyFont="1" applyFill="1" applyBorder="1" applyAlignment="1">
      <alignment vertical="center" wrapText="1"/>
    </xf>
    <xf numFmtId="1" fontId="7" fillId="0" borderId="3" xfId="0" applyNumberFormat="1" applyFont="1" applyFill="1" applyBorder="1" applyAlignment="1">
      <alignment horizontal="center" vertical="center" wrapText="1"/>
    </xf>
    <xf numFmtId="0" fontId="27" fillId="0" borderId="0" xfId="504" applyFont="1" applyFill="1" applyAlignment="1"/>
    <xf numFmtId="0" fontId="90" fillId="4" borderId="0" xfId="504" applyFont="1" applyFill="1" applyBorder="1" applyAlignment="1">
      <alignment vertical="center" wrapText="1"/>
    </xf>
    <xf numFmtId="0" fontId="90" fillId="4" borderId="0" xfId="504" applyFont="1" applyFill="1" applyAlignment="1"/>
    <xf numFmtId="268" fontId="7" fillId="0" borderId="3" xfId="504" applyNumberFormat="1" applyFont="1" applyFill="1" applyBorder="1" applyAlignment="1">
      <alignment horizontal="left" vertical="top" wrapText="1"/>
    </xf>
    <xf numFmtId="0" fontId="55" fillId="0" borderId="3" xfId="593" applyFont="1" applyFill="1" applyBorder="1" applyAlignment="1">
      <alignment vertical="center" wrapText="1"/>
    </xf>
    <xf numFmtId="0" fontId="12" fillId="0" borderId="0" xfId="504" applyFont="1" applyAlignment="1"/>
    <xf numFmtId="0" fontId="21" fillId="11" borderId="3" xfId="0" applyFont="1" applyFill="1" applyBorder="1" applyAlignment="1">
      <alignment horizontal="center" vertical="center" wrapText="1"/>
    </xf>
    <xf numFmtId="0" fontId="21" fillId="9" borderId="3" xfId="504" applyFont="1" applyFill="1" applyBorder="1" applyAlignment="1">
      <alignment horizontal="center" vertical="center" wrapText="1"/>
    </xf>
    <xf numFmtId="0" fontId="21" fillId="9" borderId="2" xfId="504" applyFont="1" applyFill="1" applyBorder="1" applyAlignment="1">
      <alignment horizontal="center" vertical="center" wrapText="1"/>
    </xf>
    <xf numFmtId="0" fontId="7" fillId="9" borderId="2" xfId="504" applyFont="1" applyFill="1" applyBorder="1" applyAlignment="1">
      <alignment vertical="center" wrapText="1"/>
    </xf>
    <xf numFmtId="0" fontId="7" fillId="9" borderId="8" xfId="504" applyFont="1" applyFill="1" applyBorder="1" applyAlignment="1">
      <alignment vertical="center" wrapText="1"/>
    </xf>
    <xf numFmtId="0" fontId="7" fillId="9" borderId="16" xfId="504" applyFont="1" applyFill="1" applyBorder="1" applyAlignment="1">
      <alignment vertical="center" wrapText="1"/>
    </xf>
    <xf numFmtId="0" fontId="7" fillId="9" borderId="3" xfId="0" applyFont="1" applyFill="1" applyBorder="1" applyAlignment="1">
      <alignment horizontal="left" vertical="center" wrapText="1"/>
    </xf>
    <xf numFmtId="0" fontId="21" fillId="4" borderId="3" xfId="0" applyFont="1" applyFill="1" applyBorder="1" applyAlignment="1">
      <alignment vertical="center"/>
    </xf>
    <xf numFmtId="0" fontId="21" fillId="0" borderId="3" xfId="0" applyFont="1" applyFill="1" applyBorder="1" applyAlignment="1">
      <alignment vertical="center"/>
    </xf>
    <xf numFmtId="0" fontId="0" fillId="0" borderId="0" xfId="0" applyAlignment="1">
      <alignment vertical="center"/>
    </xf>
    <xf numFmtId="15" fontId="0" fillId="0" borderId="0" xfId="0" applyNumberFormat="1" applyAlignment="1"/>
    <xf numFmtId="0" fontId="21" fillId="0" borderId="0" xfId="0" applyFont="1" applyAlignment="1">
      <alignment horizontal="center"/>
    </xf>
    <xf numFmtId="0" fontId="0" fillId="12" borderId="33" xfId="0" applyFill="1" applyBorder="1" applyAlignment="1">
      <alignment horizontal="center" vertical="center"/>
    </xf>
    <xf numFmtId="0" fontId="0" fillId="12" borderId="34" xfId="0" applyFill="1" applyBorder="1" applyAlignment="1">
      <alignment horizontal="center" vertical="center" wrapText="1"/>
    </xf>
    <xf numFmtId="0" fontId="0" fillId="9" borderId="35" xfId="0" applyFill="1" applyBorder="1" applyAlignment="1">
      <alignment horizontal="center" vertical="center" textRotation="90"/>
    </xf>
    <xf numFmtId="0" fontId="0" fillId="9" borderId="3" xfId="0" applyFill="1" applyBorder="1" applyAlignment="1">
      <alignment horizontal="center" vertical="center" textRotation="90"/>
    </xf>
    <xf numFmtId="0" fontId="0" fillId="12" borderId="6" xfId="504" applyFont="1" applyFill="1" applyBorder="1" applyAlignment="1">
      <alignment horizontal="left" vertical="center" wrapText="1"/>
    </xf>
    <xf numFmtId="0" fontId="0" fillId="12" borderId="10" xfId="0" applyFill="1" applyBorder="1" applyAlignment="1">
      <alignment horizontal="center" vertical="center"/>
    </xf>
    <xf numFmtId="0" fontId="0" fillId="12" borderId="36" xfId="0" applyFill="1" applyBorder="1" applyAlignment="1">
      <alignment horizontal="center" vertical="center"/>
    </xf>
    <xf numFmtId="0" fontId="0" fillId="12" borderId="6" xfId="0" applyFill="1" applyBorder="1" applyAlignment="1">
      <alignment horizontal="center" vertical="center"/>
    </xf>
    <xf numFmtId="0" fontId="0" fillId="12" borderId="3" xfId="504" applyFont="1" applyFill="1" applyBorder="1" applyAlignment="1">
      <alignment horizontal="left" vertical="center" wrapText="1"/>
    </xf>
    <xf numFmtId="0" fontId="0" fillId="12" borderId="3" xfId="0" applyFill="1" applyBorder="1" applyAlignment="1">
      <alignment horizontal="center" vertical="center"/>
    </xf>
    <xf numFmtId="196" fontId="0" fillId="12" borderId="3" xfId="504" applyNumberFormat="1" applyFont="1" applyFill="1" applyBorder="1" applyAlignment="1">
      <alignment horizontal="left" vertical="center"/>
    </xf>
    <xf numFmtId="0" fontId="98" fillId="12" borderId="0" xfId="504" applyFont="1" applyFill="1" applyBorder="1" applyAlignment="1">
      <alignment horizontal="center" vertical="center" wrapText="1"/>
    </xf>
    <xf numFmtId="0" fontId="98" fillId="12" borderId="0" xfId="0" applyFont="1" applyFill="1" applyAlignment="1">
      <alignment horizontal="center"/>
    </xf>
    <xf numFmtId="15" fontId="21" fillId="0" borderId="0" xfId="0" applyNumberFormat="1" applyFont="1" applyAlignment="1"/>
    <xf numFmtId="0" fontId="21" fillId="0" borderId="0" xfId="0" applyFont="1" applyAlignment="1"/>
    <xf numFmtId="0" fontId="99" fillId="0" borderId="0" xfId="0" applyFont="1" applyAlignment="1">
      <alignment horizontal="center" vertical="center"/>
    </xf>
    <xf numFmtId="0" fontId="99" fillId="0" borderId="0" xfId="0" applyFont="1" applyAlignment="1"/>
    <xf numFmtId="15" fontId="0" fillId="0" borderId="0" xfId="0" quotePrefix="1" applyNumberFormat="1" applyAlignment="1">
      <alignment horizontal="center" vertical="center"/>
    </xf>
    <xf numFmtId="268" fontId="95" fillId="12" borderId="3" xfId="18" quotePrefix="1" applyNumberFormat="1" applyFont="1" applyFill="1" applyBorder="1" applyAlignment="1">
      <alignment horizontal="left" vertical="top" wrapText="1"/>
    </xf>
    <xf numFmtId="0" fontId="0" fillId="0" borderId="0" xfId="0" quotePrefix="1" applyAlignment="1">
      <alignment wrapText="1"/>
    </xf>
    <xf numFmtId="14" fontId="7" fillId="0" borderId="3" xfId="504" quotePrefix="1" applyNumberFormat="1" applyFont="1" applyFill="1" applyBorder="1" applyAlignment="1" applyProtection="1">
      <alignment vertical="center" wrapText="1"/>
      <protection locked="0"/>
    </xf>
    <xf numFmtId="0" fontId="0" fillId="4" borderId="55" xfId="0" applyFont="1" applyFill="1" applyBorder="1" applyAlignment="1">
      <alignment horizontal="center" vertical="center" shrinkToFit="1"/>
    </xf>
    <xf numFmtId="0" fontId="55" fillId="2" borderId="55" xfId="504" applyNumberFormat="1" applyFont="1" applyFill="1" applyBorder="1" applyAlignment="1">
      <alignment horizontal="center" vertical="center" wrapText="1"/>
    </xf>
    <xf numFmtId="0" fontId="21" fillId="0" borderId="55" xfId="504" applyFont="1" applyFill="1" applyBorder="1" applyAlignment="1">
      <alignment horizontal="center" vertical="center" wrapText="1"/>
    </xf>
    <xf numFmtId="0" fontId="21" fillId="3" borderId="55" xfId="504" applyFont="1" applyFill="1" applyBorder="1" applyAlignment="1">
      <alignment horizontal="center" vertical="center" wrapText="1"/>
    </xf>
    <xf numFmtId="0" fontId="0" fillId="0" borderId="55" xfId="0" applyFill="1" applyBorder="1" applyAlignment="1">
      <alignment horizontal="center" vertical="center"/>
    </xf>
    <xf numFmtId="0" fontId="21" fillId="0" borderId="55" xfId="0" applyFont="1" applyFill="1" applyBorder="1" applyAlignment="1">
      <alignment horizontal="center" vertical="center"/>
    </xf>
    <xf numFmtId="0" fontId="58" fillId="0" borderId="55" xfId="504" applyFont="1" applyFill="1" applyBorder="1" applyAlignment="1">
      <alignment horizontal="center" vertical="center" wrapText="1"/>
    </xf>
    <xf numFmtId="0" fontId="68" fillId="0"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0" fillId="0" borderId="55" xfId="0" applyFill="1" applyBorder="1" applyAlignment="1"/>
    <xf numFmtId="0" fontId="180" fillId="4" borderId="3" xfId="0" applyFont="1" applyFill="1" applyBorder="1" applyAlignment="1">
      <alignment horizontal="center" vertical="center" shrinkToFit="1"/>
    </xf>
    <xf numFmtId="0" fontId="6" fillId="4" borderId="55" xfId="0" applyFont="1" applyFill="1" applyBorder="1" applyAlignment="1">
      <alignment horizontal="center" vertical="center" shrinkToFit="1"/>
    </xf>
    <xf numFmtId="273" fontId="19" fillId="0" borderId="55" xfId="504" applyNumberFormat="1" applyFont="1" applyFill="1" applyBorder="1" applyAlignment="1">
      <alignment horizontal="center" vertical="center"/>
    </xf>
    <xf numFmtId="0" fontId="19" fillId="0" borderId="55" xfId="504" applyFont="1" applyFill="1" applyBorder="1" applyAlignment="1">
      <alignment horizontal="center" vertical="center"/>
    </xf>
    <xf numFmtId="0" fontId="6" fillId="0" borderId="55" xfId="0" applyFont="1" applyFill="1" applyBorder="1" applyAlignment="1">
      <alignment horizontal="center" vertical="center"/>
    </xf>
    <xf numFmtId="0" fontId="19" fillId="2" borderId="55" xfId="504" applyFont="1" applyFill="1" applyBorder="1" applyAlignment="1">
      <alignment horizontal="center" vertical="center" wrapText="1"/>
    </xf>
    <xf numFmtId="0" fontId="17" fillId="0" borderId="55" xfId="504" applyFont="1" applyFill="1" applyBorder="1" applyAlignment="1">
      <alignment horizontal="center" vertical="center" wrapText="1"/>
    </xf>
    <xf numFmtId="0" fontId="17" fillId="0" borderId="55" xfId="0" applyFont="1" applyFill="1" applyBorder="1" applyAlignment="1">
      <alignment horizontal="center" vertical="center"/>
    </xf>
    <xf numFmtId="0" fontId="19" fillId="0" borderId="55" xfId="0" applyFont="1" applyFill="1" applyBorder="1" applyAlignment="1">
      <alignment horizontal="center" vertical="center"/>
    </xf>
    <xf numFmtId="0" fontId="31" fillId="0" borderId="55" xfId="0" applyFont="1" applyFill="1" applyBorder="1" applyAlignment="1">
      <alignment horizontal="center" vertical="center"/>
    </xf>
    <xf numFmtId="0" fontId="10" fillId="3" borderId="55" xfId="504" applyFont="1" applyFill="1" applyBorder="1" applyAlignment="1">
      <alignment horizontal="center" vertical="center" wrapText="1"/>
    </xf>
    <xf numFmtId="0" fontId="33" fillId="3" borderId="55" xfId="504" applyFont="1" applyFill="1" applyBorder="1" applyAlignment="1">
      <alignment horizontal="center" vertical="center" wrapText="1"/>
    </xf>
    <xf numFmtId="0" fontId="10" fillId="0" borderId="55" xfId="504" applyFont="1" applyFill="1" applyBorder="1" applyAlignment="1">
      <alignment horizontal="center" vertical="center" wrapText="1"/>
    </xf>
    <xf numFmtId="0" fontId="33" fillId="0" borderId="55" xfId="504" applyFont="1" applyFill="1" applyBorder="1" applyAlignment="1">
      <alignment horizontal="center" vertical="center" wrapText="1"/>
    </xf>
    <xf numFmtId="0" fontId="41" fillId="5" borderId="55" xfId="504" applyFont="1" applyFill="1" applyBorder="1" applyAlignment="1">
      <alignment horizontal="center" vertical="center" wrapText="1"/>
    </xf>
    <xf numFmtId="0" fontId="40" fillId="0" borderId="55" xfId="504" applyFont="1" applyFill="1" applyBorder="1" applyAlignment="1">
      <alignment horizontal="center" vertical="center" wrapText="1"/>
    </xf>
    <xf numFmtId="0" fontId="3" fillId="0" borderId="55" xfId="504" applyFont="1" applyFill="1" applyBorder="1" applyAlignment="1">
      <alignment horizontal="left" vertical="center" wrapText="1"/>
    </xf>
    <xf numFmtId="0" fontId="6" fillId="0" borderId="55" xfId="504" applyFont="1" applyFill="1" applyBorder="1" applyAlignment="1">
      <alignment horizontal="center" vertical="center" wrapText="1"/>
    </xf>
    <xf numFmtId="0" fontId="39" fillId="0" borderId="55" xfId="504" applyFont="1" applyFill="1" applyBorder="1" applyAlignment="1">
      <alignment horizontal="left" vertical="center" wrapText="1"/>
    </xf>
    <xf numFmtId="0" fontId="64" fillId="0" borderId="55" xfId="504" applyFont="1" applyFill="1" applyBorder="1" applyAlignment="1">
      <alignment horizontal="left" vertical="center" wrapText="1"/>
    </xf>
    <xf numFmtId="0" fontId="64" fillId="5" borderId="55" xfId="504" applyFont="1" applyFill="1" applyBorder="1" applyAlignment="1">
      <alignment horizontal="center" vertical="center" wrapText="1"/>
    </xf>
    <xf numFmtId="0" fontId="28" fillId="0" borderId="55" xfId="504" applyFont="1" applyFill="1" applyBorder="1" applyAlignment="1">
      <alignment horizontal="center" vertical="center" wrapText="1"/>
    </xf>
    <xf numFmtId="269" fontId="46" fillId="4" borderId="55" xfId="0" applyNumberFormat="1" applyFont="1" applyFill="1" applyBorder="1" applyAlignment="1">
      <alignment horizontal="center" vertical="center" shrinkToFit="1"/>
    </xf>
    <xf numFmtId="0" fontId="22" fillId="2" borderId="55" xfId="504" applyFont="1" applyFill="1" applyBorder="1" applyAlignment="1">
      <alignment horizontal="center" vertical="center" wrapText="1"/>
    </xf>
    <xf numFmtId="0" fontId="64" fillId="0" borderId="4" xfId="504" applyFont="1" applyFill="1" applyBorder="1" applyAlignment="1">
      <alignment horizontal="center" vertical="center" wrapText="1"/>
    </xf>
    <xf numFmtId="0" fontId="21" fillId="0" borderId="56" xfId="504" applyFont="1" applyFill="1" applyBorder="1" applyAlignment="1">
      <alignment horizontal="center" vertical="center" wrapText="1"/>
    </xf>
    <xf numFmtId="0" fontId="54" fillId="0" borderId="57" xfId="504" applyFont="1" applyFill="1" applyBorder="1" applyAlignment="1">
      <alignment horizontal="center" vertical="center" wrapText="1"/>
    </xf>
    <xf numFmtId="0" fontId="58" fillId="0" borderId="57" xfId="504" applyFont="1" applyFill="1" applyBorder="1" applyAlignment="1">
      <alignment horizontal="center" vertical="center" wrapText="1"/>
    </xf>
    <xf numFmtId="0" fontId="0" fillId="0" borderId="3" xfId="0" applyFill="1" applyBorder="1" applyAlignment="1">
      <alignment horizontal="center"/>
    </xf>
    <xf numFmtId="0" fontId="33" fillId="0" borderId="5" xfId="504" applyFont="1" applyFill="1" applyBorder="1" applyAlignment="1">
      <alignment horizontal="center" vertical="center" wrapText="1"/>
    </xf>
    <xf numFmtId="271" fontId="13" fillId="0" borderId="57" xfId="505" applyNumberFormat="1" applyFont="1" applyFill="1" applyBorder="1" applyAlignment="1">
      <alignment horizontal="center" vertical="center"/>
    </xf>
    <xf numFmtId="0" fontId="21" fillId="0" borderId="57" xfId="504" applyFont="1" applyFill="1" applyBorder="1" applyAlignment="1">
      <alignment horizontal="center" vertical="center" wrapText="1"/>
    </xf>
    <xf numFmtId="0" fontId="21" fillId="0" borderId="57" xfId="0" applyFont="1" applyFill="1" applyBorder="1" applyAlignment="1">
      <alignment horizontal="center" vertical="center"/>
    </xf>
    <xf numFmtId="0" fontId="68" fillId="0" borderId="57"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0" fillId="0" borderId="57" xfId="0" applyFill="1" applyBorder="1" applyAlignment="1"/>
    <xf numFmtId="0" fontId="17" fillId="0" borderId="57" xfId="504" applyFont="1" applyFill="1" applyBorder="1" applyAlignment="1">
      <alignment horizontal="center" vertical="center" wrapText="1"/>
    </xf>
    <xf numFmtId="0" fontId="17" fillId="0" borderId="57" xfId="0" applyFont="1" applyFill="1" applyBorder="1" applyAlignment="1">
      <alignment horizontal="center" vertical="center"/>
    </xf>
    <xf numFmtId="0" fontId="33" fillId="0" borderId="57" xfId="504" applyFont="1" applyFill="1" applyBorder="1" applyAlignment="1">
      <alignment horizontal="center" vertical="center" wrapText="1"/>
    </xf>
    <xf numFmtId="0" fontId="21" fillId="0" borderId="6" xfId="504" applyFont="1" applyFill="1" applyBorder="1" applyAlignment="1">
      <alignment horizontal="center" vertical="center" wrapText="1"/>
    </xf>
    <xf numFmtId="0" fontId="64" fillId="0" borderId="6" xfId="504" applyFont="1" applyFill="1" applyBorder="1" applyAlignment="1">
      <alignment horizontal="center" vertical="center" wrapText="1"/>
    </xf>
    <xf numFmtId="0" fontId="68" fillId="0" borderId="57" xfId="504" applyFont="1" applyFill="1" applyBorder="1" applyAlignment="1">
      <alignment horizontal="center" vertical="center"/>
    </xf>
    <xf numFmtId="0" fontId="68" fillId="5" borderId="57" xfId="504" applyFont="1" applyFill="1" applyBorder="1" applyAlignment="1">
      <alignment horizontal="center" vertical="center" wrapText="1"/>
    </xf>
    <xf numFmtId="0" fontId="64" fillId="0" borderId="15" xfId="504" applyFont="1" applyFill="1" applyBorder="1" applyAlignment="1">
      <alignment horizontal="center" vertical="center" wrapText="1"/>
    </xf>
    <xf numFmtId="0" fontId="68" fillId="0" borderId="5" xfId="504" applyFont="1" applyFill="1" applyBorder="1" applyAlignment="1">
      <alignment horizontal="center" vertical="center" wrapText="1"/>
    </xf>
    <xf numFmtId="0" fontId="64" fillId="0" borderId="6" xfId="504" applyFont="1" applyFill="1" applyBorder="1" applyAlignment="1">
      <alignment horizontal="left" vertical="center" wrapText="1"/>
    </xf>
    <xf numFmtId="0" fontId="68" fillId="0" borderId="6" xfId="504" applyFont="1" applyFill="1" applyBorder="1" applyAlignment="1">
      <alignment horizontal="center" vertical="center"/>
    </xf>
    <xf numFmtId="0" fontId="68" fillId="5" borderId="6" xfId="504" applyFont="1" applyFill="1" applyBorder="1" applyAlignment="1">
      <alignment horizontal="center" vertical="center" wrapText="1"/>
    </xf>
    <xf numFmtId="0" fontId="47" fillId="0" borderId="6" xfId="504" applyFont="1" applyFill="1" applyBorder="1" applyAlignment="1"/>
    <xf numFmtId="0" fontId="68" fillId="0" borderId="55" xfId="504" applyFont="1" applyFill="1" applyBorder="1" applyAlignment="1">
      <alignment horizontal="center" vertical="center"/>
    </xf>
    <xf numFmtId="0" fontId="68" fillId="5" borderId="5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10" fillId="0" borderId="6" xfId="504" applyFont="1" applyFill="1" applyBorder="1" applyAlignment="1">
      <alignment horizontal="center" vertical="center" wrapText="1"/>
    </xf>
    <xf numFmtId="272" fontId="58" fillId="3" borderId="55" xfId="504" applyNumberFormat="1" applyFont="1" applyFill="1" applyBorder="1" applyAlignment="1" applyProtection="1">
      <alignment horizontal="center" vertical="center" wrapText="1"/>
      <protection locked="0"/>
    </xf>
    <xf numFmtId="0" fontId="59" fillId="5" borderId="55" xfId="504" applyFont="1" applyFill="1" applyBorder="1" applyAlignment="1">
      <alignment horizontal="center" vertical="center" wrapText="1"/>
    </xf>
    <xf numFmtId="0" fontId="19" fillId="0" borderId="57" xfId="0" applyFont="1" applyFill="1" applyBorder="1" applyAlignment="1">
      <alignment horizontal="center" vertical="center"/>
    </xf>
    <xf numFmtId="0" fontId="38" fillId="0" borderId="55" xfId="504" applyFont="1" applyFill="1" applyBorder="1" applyAlignment="1">
      <alignment horizontal="center" vertical="center" wrapText="1"/>
    </xf>
    <xf numFmtId="0" fontId="41" fillId="0" borderId="55" xfId="504" applyFont="1" applyFill="1" applyBorder="1" applyAlignment="1">
      <alignment horizontal="center" vertical="center" wrapText="1"/>
    </xf>
    <xf numFmtId="0" fontId="41" fillId="0" borderId="55" xfId="504" applyFont="1" applyFill="1" applyBorder="1" applyAlignment="1">
      <alignment wrapText="1"/>
    </xf>
    <xf numFmtId="0" fontId="1" fillId="0"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49" fillId="0" borderId="56" xfId="504" applyFont="1" applyFill="1" applyBorder="1" applyAlignment="1">
      <alignment horizontal="center" vertical="center"/>
    </xf>
    <xf numFmtId="0" fontId="22" fillId="0" borderId="57" xfId="504" applyFont="1" applyFill="1" applyBorder="1" applyAlignment="1">
      <alignment horizontal="center" vertical="center" wrapText="1"/>
    </xf>
    <xf numFmtId="0" fontId="19" fillId="0" borderId="56" xfId="504" applyFont="1" applyFill="1" applyBorder="1" applyAlignment="1">
      <alignment horizontal="center" vertical="center"/>
    </xf>
    <xf numFmtId="0" fontId="19" fillId="0" borderId="57" xfId="504" applyFont="1" applyFill="1" applyBorder="1" applyAlignment="1">
      <alignment horizontal="center" vertical="center" wrapText="1"/>
    </xf>
    <xf numFmtId="0" fontId="17" fillId="3" borderId="55" xfId="504" applyFont="1" applyFill="1" applyBorder="1" applyAlignment="1">
      <alignment horizontal="center" vertical="center" wrapText="1"/>
    </xf>
    <xf numFmtId="0" fontId="6" fillId="3" borderId="55" xfId="504" applyFont="1" applyFill="1" applyBorder="1" applyAlignment="1">
      <alignment horizontal="center" vertical="center" wrapText="1"/>
    </xf>
    <xf numFmtId="0" fontId="28" fillId="3" borderId="55" xfId="504" applyFont="1" applyFill="1" applyBorder="1" applyAlignment="1">
      <alignment horizontal="center" vertical="center" wrapText="1"/>
    </xf>
    <xf numFmtId="0" fontId="41" fillId="3" borderId="55" xfId="504" applyFont="1" applyFill="1" applyBorder="1" applyAlignment="1">
      <alignment horizontal="center" vertical="center" wrapText="1"/>
    </xf>
    <xf numFmtId="0" fontId="33" fillId="0" borderId="58" xfId="504" applyFont="1" applyFill="1" applyBorder="1" applyAlignment="1">
      <alignment horizontal="center" vertical="center" wrapText="1"/>
    </xf>
    <xf numFmtId="0" fontId="59" fillId="5" borderId="57" xfId="504" applyFont="1" applyFill="1" applyBorder="1" applyAlignment="1">
      <alignment horizontal="center" vertical="center" wrapText="1"/>
    </xf>
    <xf numFmtId="0" fontId="21" fillId="0" borderId="6" xfId="504" applyFont="1" applyFill="1" applyBorder="1" applyAlignment="1">
      <alignment horizontal="center" vertical="center" wrapText="1"/>
    </xf>
    <xf numFmtId="0" fontId="10" fillId="0" borderId="6" xfId="504" applyFont="1" applyFill="1" applyBorder="1" applyAlignment="1">
      <alignment horizontal="center" vertical="center" wrapText="1"/>
    </xf>
    <xf numFmtId="0" fontId="21" fillId="0" borderId="7" xfId="504" applyFont="1" applyFill="1" applyBorder="1" applyAlignment="1">
      <alignment horizontal="center" vertical="center" wrapText="1"/>
    </xf>
    <xf numFmtId="0" fontId="62" fillId="0" borderId="55" xfId="504" applyFont="1" applyFill="1" applyBorder="1" applyAlignment="1">
      <alignment horizontal="center" wrapText="1"/>
    </xf>
    <xf numFmtId="0" fontId="10" fillId="0" borderId="57" xfId="504" applyFont="1" applyFill="1" applyBorder="1" applyAlignment="1">
      <alignment horizontal="center" vertical="center" wrapText="1"/>
    </xf>
    <xf numFmtId="0" fontId="62" fillId="0" borderId="57" xfId="504" applyFont="1" applyFill="1" applyBorder="1" applyAlignment="1">
      <alignment horizontal="center" wrapText="1"/>
    </xf>
    <xf numFmtId="0" fontId="62" fillId="0" borderId="6" xfId="504" applyFont="1" applyFill="1" applyBorder="1" applyAlignment="1">
      <alignment horizontal="center" wrapText="1"/>
    </xf>
    <xf numFmtId="0" fontId="21" fillId="0" borderId="5" xfId="504" applyFont="1" applyFill="1" applyBorder="1" applyAlignment="1">
      <alignment horizontal="center" vertical="center" wrapText="1"/>
    </xf>
    <xf numFmtId="0" fontId="63" fillId="0" borderId="6" xfId="504" applyFont="1" applyFill="1" applyBorder="1" applyAlignment="1">
      <alignment horizontal="center" vertical="center" wrapText="1"/>
    </xf>
    <xf numFmtId="0" fontId="61" fillId="0" borderId="14" xfId="504" applyFont="1" applyFill="1" applyBorder="1" applyAlignment="1">
      <alignment horizontal="center" vertical="center" wrapText="1"/>
    </xf>
    <xf numFmtId="0" fontId="61" fillId="0" borderId="5" xfId="504" applyFont="1" applyFill="1" applyBorder="1" applyAlignment="1">
      <alignment horizontal="center" vertical="center" wrapText="1"/>
    </xf>
    <xf numFmtId="0" fontId="61" fillId="0" borderId="5" xfId="504" applyFont="1" applyFill="1" applyBorder="1" applyAlignment="1">
      <alignment wrapText="1"/>
    </xf>
    <xf numFmtId="0" fontId="73" fillId="0" borderId="5" xfId="504" applyFont="1" applyFill="1" applyBorder="1" applyAlignment="1">
      <alignment horizontal="center" vertical="center" wrapText="1"/>
    </xf>
    <xf numFmtId="0" fontId="63" fillId="0" borderId="55" xfId="504" applyFont="1" applyFill="1" applyBorder="1" applyAlignment="1">
      <alignment horizontal="center" vertical="center" wrapText="1"/>
    </xf>
    <xf numFmtId="0" fontId="61" fillId="0" borderId="55" xfId="504" applyFont="1" applyFill="1" applyBorder="1" applyAlignment="1">
      <alignment horizontal="center" vertical="center" wrapText="1"/>
    </xf>
    <xf numFmtId="0" fontId="61" fillId="0" borderId="55" xfId="504" applyFont="1" applyFill="1" applyBorder="1" applyAlignment="1">
      <alignment wrapText="1"/>
    </xf>
    <xf numFmtId="0" fontId="73" fillId="0" borderId="55" xfId="504" applyFont="1" applyFill="1" applyBorder="1" applyAlignment="1">
      <alignment horizontal="center" vertical="center" wrapText="1"/>
    </xf>
    <xf numFmtId="0" fontId="1" fillId="0" borderId="4" xfId="504" applyFont="1" applyFill="1" applyBorder="1" applyAlignment="1">
      <alignment horizontal="center" vertical="center" wrapText="1"/>
    </xf>
    <xf numFmtId="0" fontId="17" fillId="0" borderId="4" xfId="504" applyFont="1" applyFill="1" applyBorder="1" applyAlignment="1">
      <alignment horizontal="center" vertical="center" wrapText="1"/>
    </xf>
    <xf numFmtId="0" fontId="38" fillId="0" borderId="4" xfId="504" applyFont="1" applyFill="1" applyBorder="1" applyAlignment="1">
      <alignment horizontal="center" vertical="center" wrapText="1"/>
    </xf>
    <xf numFmtId="0" fontId="167"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8" fillId="0" borderId="9" xfId="504" applyFont="1" applyFill="1" applyBorder="1" applyAlignment="1">
      <alignment horizontal="center" vertical="center" wrapText="1"/>
    </xf>
    <xf numFmtId="0" fontId="41" fillId="4" borderId="15" xfId="504" applyFont="1" applyFill="1" applyBorder="1" applyAlignment="1">
      <alignment horizontal="center" vertical="center" wrapText="1"/>
    </xf>
    <xf numFmtId="272" fontId="40" fillId="0" borderId="15" xfId="504" applyNumberFormat="1" applyFont="1" applyFill="1" applyBorder="1" applyAlignment="1" applyProtection="1">
      <alignment horizontal="center" vertical="center" wrapText="1"/>
      <protection locked="0"/>
    </xf>
    <xf numFmtId="0" fontId="41" fillId="4" borderId="55" xfId="504" applyFont="1" applyFill="1" applyBorder="1" applyAlignment="1">
      <alignment horizontal="center" vertical="center" wrapText="1"/>
    </xf>
    <xf numFmtId="272" fontId="40" fillId="0" borderId="55" xfId="504" applyNumberFormat="1" applyFont="1" applyFill="1" applyBorder="1" applyAlignment="1" applyProtection="1">
      <alignment horizontal="center" vertical="center" wrapText="1"/>
      <protection locked="0"/>
    </xf>
    <xf numFmtId="0" fontId="33" fillId="0" borderId="55" xfId="504" applyFont="1" applyFill="1" applyBorder="1" applyAlignment="1">
      <alignment wrapText="1"/>
    </xf>
    <xf numFmtId="0" fontId="30" fillId="4" borderId="55" xfId="504" applyFont="1" applyFill="1" applyBorder="1" applyAlignment="1">
      <alignment horizontal="center" vertical="center" wrapText="1"/>
    </xf>
    <xf numFmtId="0" fontId="0" fillId="0" borderId="6" xfId="0" applyBorder="1" applyAlignment="1"/>
    <xf numFmtId="0" fontId="64" fillId="0" borderId="55" xfId="504" applyFont="1" applyFill="1" applyBorder="1" applyAlignment="1">
      <alignment horizontal="center" vertical="center" wrapText="1"/>
    </xf>
    <xf numFmtId="0" fontId="64" fillId="0" borderId="6" xfId="504" applyFont="1" applyFill="1" applyBorder="1" applyAlignment="1">
      <alignment horizontal="center" vertical="center" wrapText="1"/>
    </xf>
    <xf numFmtId="0" fontId="0" fillId="0" borderId="55" xfId="0" applyBorder="1" applyAlignment="1"/>
    <xf numFmtId="0" fontId="54" fillId="0" borderId="55" xfId="0" applyFont="1" applyBorder="1" applyAlignment="1">
      <alignment horizontal="center" vertical="center" wrapText="1"/>
    </xf>
    <xf numFmtId="0" fontId="0" fillId="0" borderId="55" xfId="0" applyFill="1" applyBorder="1" applyAlignment="1">
      <alignment horizontal="center"/>
    </xf>
    <xf numFmtId="0" fontId="54" fillId="0" borderId="6" xfId="0" applyFont="1" applyBorder="1" applyAlignment="1">
      <alignment horizontal="center"/>
    </xf>
    <xf numFmtId="0" fontId="21" fillId="0" borderId="6" xfId="0" applyFont="1" applyFill="1" applyBorder="1" applyAlignment="1">
      <alignment horizontal="center" vertical="center"/>
    </xf>
    <xf numFmtId="0" fontId="54" fillId="0" borderId="55" xfId="0" applyFont="1" applyBorder="1" applyAlignment="1">
      <alignment vertical="center"/>
    </xf>
    <xf numFmtId="0" fontId="10" fillId="0" borderId="55" xfId="0" applyFont="1" applyBorder="1" applyAlignment="1">
      <alignment vertical="center"/>
    </xf>
    <xf numFmtId="0" fontId="10" fillId="0" borderId="55" xfId="0" applyFont="1" applyBorder="1" applyAlignment="1"/>
    <xf numFmtId="0" fontId="21" fillId="0" borderId="55" xfId="0" applyFont="1" applyBorder="1" applyAlignment="1"/>
    <xf numFmtId="0" fontId="71" fillId="5" borderId="55" xfId="0" applyFont="1" applyFill="1" applyBorder="1" applyAlignment="1">
      <alignment horizontal="center" vertical="center"/>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49" fillId="0" borderId="55" xfId="0" applyFont="1" applyFill="1" applyBorder="1" applyAlignment="1">
      <alignment horizontal="center" vertical="center"/>
    </xf>
    <xf numFmtId="0" fontId="58" fillId="0" borderId="55" xfId="0" applyFont="1" applyFill="1" applyBorder="1" applyAlignment="1">
      <alignment horizontal="center" vertical="center"/>
    </xf>
    <xf numFmtId="0" fontId="61" fillId="0" borderId="58" xfId="504" applyFont="1" applyFill="1" applyBorder="1" applyAlignment="1">
      <alignment horizontal="left" vertical="center" wrapText="1"/>
    </xf>
    <xf numFmtId="0" fontId="49" fillId="0" borderId="57" xfId="0" applyFont="1" applyFill="1" applyBorder="1" applyAlignment="1">
      <alignment horizontal="center" vertical="center"/>
    </xf>
    <xf numFmtId="0" fontId="33" fillId="0" borderId="58" xfId="504" applyFont="1" applyFill="1" applyBorder="1" applyAlignment="1">
      <alignment vertical="center" wrapText="1"/>
    </xf>
    <xf numFmtId="0" fontId="33" fillId="0" borderId="55" xfId="504" applyFont="1" applyFill="1" applyBorder="1" applyAlignment="1">
      <alignment vertical="center" wrapText="1"/>
    </xf>
    <xf numFmtId="0" fontId="33" fillId="5" borderId="55" xfId="504" applyFont="1" applyFill="1" applyBorder="1" applyAlignment="1">
      <alignment horizontal="center" vertical="center" wrapText="1"/>
    </xf>
    <xf numFmtId="0" fontId="61" fillId="0" borderId="55" xfId="504" applyFont="1" applyFill="1" applyBorder="1" applyAlignment="1">
      <alignment horizontal="left" vertical="center" wrapText="1"/>
    </xf>
    <xf numFmtId="272" fontId="54" fillId="0" borderId="55" xfId="504" applyNumberFormat="1" applyFont="1" applyFill="1" applyBorder="1" applyAlignment="1" applyProtection="1">
      <alignment horizontal="center" vertical="center" wrapText="1"/>
      <protection locked="0"/>
    </xf>
    <xf numFmtId="0" fontId="49" fillId="0" borderId="6" xfId="0" applyFont="1" applyFill="1" applyBorder="1" applyAlignment="1">
      <alignment horizontal="center" vertical="center"/>
    </xf>
    <xf numFmtId="0" fontId="10" fillId="0" borderId="6" xfId="504" applyFont="1" applyFill="1" applyBorder="1" applyAlignment="1">
      <alignment horizontal="center" vertical="center" wrapText="1"/>
    </xf>
    <xf numFmtId="0" fontId="54" fillId="0" borderId="57" xfId="504" applyFont="1" applyFill="1" applyBorder="1" applyAlignment="1">
      <alignment horizontal="center" vertical="center" wrapText="1"/>
    </xf>
    <xf numFmtId="0" fontId="33" fillId="0" borderId="57" xfId="504" applyFont="1" applyFill="1" applyBorder="1" applyAlignment="1">
      <alignment vertical="center" wrapText="1"/>
    </xf>
    <xf numFmtId="0" fontId="33" fillId="0" borderId="57" xfId="504" applyFont="1" applyFill="1" applyBorder="1" applyAlignment="1">
      <alignment wrapText="1"/>
    </xf>
    <xf numFmtId="0" fontId="33" fillId="5" borderId="57"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180" fillId="0" borderId="3" xfId="0" applyFont="1" applyFill="1" applyBorder="1" applyAlignment="1">
      <alignment horizontal="center" vertical="center"/>
    </xf>
    <xf numFmtId="0" fontId="33" fillId="0" borderId="13" xfId="504" applyFont="1" applyFill="1" applyBorder="1" applyAlignment="1">
      <alignment vertical="center" wrapText="1"/>
    </xf>
    <xf numFmtId="0" fontId="33" fillId="0" borderId="5" xfId="504" applyFont="1" applyFill="1" applyBorder="1" applyAlignment="1">
      <alignment vertical="center" wrapText="1"/>
    </xf>
    <xf numFmtId="0" fontId="54" fillId="5" borderId="55" xfId="504" applyFont="1" applyFill="1" applyBorder="1" applyAlignment="1">
      <alignment horizontal="center" vertical="center" wrapText="1"/>
    </xf>
    <xf numFmtId="0" fontId="27" fillId="0" borderId="14" xfId="504" applyFont="1" applyFill="1" applyBorder="1" applyAlignment="1">
      <alignment horizontal="left" wrapText="1"/>
    </xf>
    <xf numFmtId="0" fontId="54" fillId="0" borderId="5" xfId="504" applyFont="1" applyFill="1" applyBorder="1" applyAlignment="1">
      <alignment horizontal="center" vertical="center" wrapText="1"/>
    </xf>
    <xf numFmtId="271" fontId="0" fillId="0" borderId="57" xfId="0" applyNumberFormat="1" applyFill="1" applyBorder="1" applyAlignment="1">
      <alignment horizontal="center" vertical="center" shrinkToFit="1"/>
    </xf>
    <xf numFmtId="271" fontId="0" fillId="0" borderId="55" xfId="0" applyNumberFormat="1" applyFill="1" applyBorder="1" applyAlignment="1">
      <alignment horizontal="center" vertical="center" shrinkToFit="1"/>
    </xf>
    <xf numFmtId="0" fontId="4" fillId="2" borderId="55" xfId="504" applyFont="1" applyFill="1" applyBorder="1" applyAlignment="1">
      <alignment horizontal="center" vertical="center" wrapText="1"/>
    </xf>
    <xf numFmtId="0" fontId="58" fillId="0" borderId="57" xfId="0" applyFont="1" applyFill="1" applyBorder="1" applyAlignment="1">
      <alignment horizontal="center" vertical="center"/>
    </xf>
    <xf numFmtId="0" fontId="60" fillId="0" borderId="55" xfId="504" applyFont="1" applyFill="1" applyBorder="1" applyAlignment="1">
      <alignment horizontal="center" vertical="center" wrapText="1"/>
    </xf>
    <xf numFmtId="0" fontId="33" fillId="0" borderId="58" xfId="504" applyFont="1" applyFill="1" applyBorder="1" applyAlignment="1">
      <alignment horizontal="left" vertical="center" wrapText="1"/>
    </xf>
    <xf numFmtId="272" fontId="10" fillId="0" borderId="58" xfId="504" applyNumberFormat="1" applyFont="1" applyFill="1" applyBorder="1" applyAlignment="1" applyProtection="1">
      <alignment horizontal="center" vertical="center" wrapText="1"/>
      <protection locked="0"/>
    </xf>
    <xf numFmtId="0" fontId="10" fillId="0" borderId="55" xfId="504" applyFont="1" applyFill="1" applyBorder="1" applyAlignment="1">
      <alignment horizontal="center" vertical="center"/>
    </xf>
    <xf numFmtId="0" fontId="66" fillId="0" borderId="55" xfId="504" applyFont="1" applyFill="1" applyBorder="1" applyAlignment="1">
      <alignment horizontal="center" vertical="center"/>
    </xf>
    <xf numFmtId="0" fontId="27" fillId="0" borderId="14" xfId="504" applyFont="1" applyFill="1" applyBorder="1" applyAlignment="1">
      <alignment horizontal="left" wrapText="1"/>
    </xf>
    <xf numFmtId="0" fontId="54" fillId="0" borderId="57" xfId="504" applyFont="1" applyFill="1" applyBorder="1" applyAlignment="1">
      <alignment horizontal="center" vertical="center" wrapText="1"/>
    </xf>
    <xf numFmtId="0" fontId="27" fillId="0" borderId="14" xfId="504" applyFont="1" applyFill="1" applyBorder="1" applyAlignment="1">
      <alignment horizontal="left" wrapText="1"/>
    </xf>
    <xf numFmtId="0" fontId="33" fillId="0" borderId="59" xfId="504" applyFont="1" applyFill="1" applyBorder="1" applyAlignment="1">
      <alignment horizontal="center" vertical="center"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17" fillId="0" borderId="6" xfId="504" applyFont="1" applyFill="1" applyBorder="1" applyAlignment="1">
      <alignment horizontal="center" vertical="center" wrapText="1"/>
    </xf>
    <xf numFmtId="0" fontId="40" fillId="0" borderId="55" xfId="504" applyFont="1" applyFill="1" applyBorder="1" applyAlignment="1"/>
    <xf numFmtId="0" fontId="28" fillId="0" borderId="6" xfId="504" applyFont="1" applyFill="1" applyBorder="1" applyAlignment="1">
      <alignment horizontal="center" vertical="center" wrapText="1"/>
    </xf>
    <xf numFmtId="0" fontId="41" fillId="0" borderId="6" xfId="504" applyFont="1" applyFill="1" applyBorder="1" applyAlignment="1">
      <alignment wrapText="1"/>
    </xf>
    <xf numFmtId="0" fontId="40" fillId="0" borderId="6" xfId="504" applyFont="1" applyFill="1" applyBorder="1" applyAlignment="1"/>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6" fillId="0" borderId="57" xfId="504" applyFont="1" applyFill="1" applyBorder="1" applyAlignment="1">
      <alignment horizontal="center" vertical="center" wrapText="1"/>
    </xf>
    <xf numFmtId="0" fontId="41" fillId="5" borderId="57" xfId="504" applyFont="1" applyFill="1" applyBorder="1" applyAlignment="1">
      <alignment horizontal="center" vertical="center"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38" fillId="0" borderId="57" xfId="504" applyFont="1" applyFill="1" applyBorder="1" applyAlignment="1">
      <alignment horizontal="center" vertical="center" wrapText="1"/>
    </xf>
    <xf numFmtId="0" fontId="41" fillId="0" borderId="57" xfId="504" applyFont="1" applyFill="1" applyBorder="1" applyAlignment="1">
      <alignment horizontal="center" vertical="center" wrapText="1"/>
    </xf>
    <xf numFmtId="0" fontId="41" fillId="0" borderId="57" xfId="504" applyFont="1" applyFill="1" applyBorder="1" applyAlignment="1">
      <alignment wrapText="1"/>
    </xf>
    <xf numFmtId="0" fontId="1" fillId="0" borderId="57" xfId="504" applyFont="1" applyFill="1" applyBorder="1" applyAlignment="1">
      <alignment horizontal="center" vertical="center" wrapText="1"/>
    </xf>
    <xf numFmtId="0" fontId="21" fillId="0" borderId="7" xfId="504" applyFont="1" applyFill="1" applyBorder="1" applyAlignment="1">
      <alignment horizontal="center" vertical="center" wrapText="1"/>
    </xf>
    <xf numFmtId="0" fontId="39" fillId="0" borderId="56" xfId="504" applyFont="1" applyFill="1" applyBorder="1" applyAlignment="1">
      <alignment horizontal="center" vertical="center" wrapText="1"/>
    </xf>
    <xf numFmtId="0" fontId="28" fillId="0" borderId="56" xfId="504" applyFont="1" applyFill="1" applyBorder="1" applyAlignment="1">
      <alignment horizontal="center" vertical="center"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33" fillId="0" borderId="55" xfId="504" applyFont="1" applyFill="1" applyBorder="1" applyAlignment="1">
      <alignment horizontal="left" vertical="center" wrapText="1"/>
    </xf>
    <xf numFmtId="0" fontId="21" fillId="0" borderId="6" xfId="504" applyFont="1" applyFill="1" applyBorder="1" applyAlignment="1">
      <alignment horizontal="center" vertical="center" wrapText="1"/>
    </xf>
    <xf numFmtId="0" fontId="10" fillId="0" borderId="6" xfId="504" applyFont="1" applyFill="1" applyBorder="1" applyAlignment="1">
      <alignment horizontal="center" vertical="center" wrapText="1"/>
    </xf>
    <xf numFmtId="0" fontId="10" fillId="5" borderId="55" xfId="504" applyFont="1" applyFill="1" applyBorder="1" applyAlignment="1">
      <alignment horizontal="center" vertical="center"/>
    </xf>
    <xf numFmtId="0" fontId="33" fillId="0" borderId="55" xfId="504" applyFont="1" applyFill="1" applyBorder="1" applyAlignment="1">
      <alignment horizontal="center" vertical="center"/>
    </xf>
    <xf numFmtId="0" fontId="10" fillId="3" borderId="55" xfId="504" applyFont="1" applyFill="1" applyBorder="1" applyAlignment="1">
      <alignment horizontal="center" vertical="center"/>
    </xf>
    <xf numFmtId="0" fontId="33" fillId="5" borderId="6" xfId="504" applyFont="1" applyFill="1" applyBorder="1" applyAlignment="1">
      <alignment horizontal="center" vertical="center"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54" fillId="0" borderId="57" xfId="504" applyFont="1" applyFill="1" applyBorder="1" applyAlignment="1">
      <alignment horizontal="center" vertical="center" wrapText="1"/>
    </xf>
    <xf numFmtId="0" fontId="27" fillId="0" borderId="14" xfId="504" applyFont="1" applyFill="1" applyBorder="1" applyAlignment="1">
      <alignment horizontal="left"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21" fillId="0" borderId="6"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10" fillId="0" borderId="4"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21" fillId="3" borderId="0" xfId="504" applyFont="1" applyFill="1" applyBorder="1" applyAlignment="1">
      <alignment horizontal="center" vertical="center" wrapText="1"/>
    </xf>
    <xf numFmtId="0" fontId="1" fillId="3" borderId="60" xfId="504" applyFont="1" applyFill="1" applyBorder="1" applyAlignment="1">
      <alignment horizontal="center" vertical="center" wrapText="1"/>
    </xf>
    <xf numFmtId="0" fontId="21" fillId="3" borderId="60" xfId="504" applyFont="1" applyFill="1" applyBorder="1" applyAlignment="1">
      <alignment horizontal="center" vertical="center" wrapText="1"/>
    </xf>
    <xf numFmtId="0" fontId="21" fillId="3" borderId="56" xfId="504" applyFont="1" applyFill="1" applyBorder="1" applyAlignment="1">
      <alignment horizontal="center" vertical="center" wrapText="1"/>
    </xf>
    <xf numFmtId="0" fontId="41" fillId="0" borderId="55" xfId="504" applyFont="1" applyFill="1" applyBorder="1" applyAlignment="1">
      <alignment horizontal="left" vertical="center" wrapText="1"/>
    </xf>
    <xf numFmtId="0" fontId="1" fillId="0" borderId="55" xfId="504" applyFont="1" applyFill="1" applyBorder="1" applyAlignment="1">
      <alignment horizontal="center" vertical="center"/>
    </xf>
    <xf numFmtId="0" fontId="41" fillId="0" borderId="55" xfId="504" applyFont="1" applyFill="1" applyBorder="1" applyAlignment="1">
      <alignment vertical="center" wrapText="1"/>
    </xf>
    <xf numFmtId="0" fontId="45" fillId="5" borderId="5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4"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64" fillId="0" borderId="3" xfId="504" applyFont="1" applyFill="1" applyBorder="1" applyAlignment="1">
      <alignment horizontal="center" vertical="center" wrapText="1"/>
    </xf>
    <xf numFmtId="0" fontId="17" fillId="0" borderId="4"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64" fillId="0" borderId="3" xfId="504" applyFont="1" applyFill="1" applyBorder="1" applyAlignment="1">
      <alignment horizontal="center" vertical="center" wrapText="1"/>
    </xf>
    <xf numFmtId="0" fontId="82" fillId="0" borderId="59" xfId="0" applyFont="1" applyFill="1" applyBorder="1" applyAlignment="1">
      <alignment horizontal="left" textRotation="90"/>
    </xf>
    <xf numFmtId="0" fontId="79" fillId="0" borderId="59" xfId="0" applyFont="1" applyFill="1" applyBorder="1" applyAlignment="1">
      <alignment horizontal="left" textRotation="90"/>
    </xf>
    <xf numFmtId="0" fontId="58" fillId="0" borderId="59" xfId="504" applyFont="1" applyFill="1" applyBorder="1" applyAlignment="1">
      <alignment horizontal="center" vertical="center" wrapText="1"/>
    </xf>
    <xf numFmtId="0" fontId="21" fillId="0" borderId="59" xfId="504" applyFont="1" applyFill="1" applyBorder="1" applyAlignment="1">
      <alignment horizontal="center" vertical="center" wrapText="1"/>
    </xf>
    <xf numFmtId="0" fontId="26" fillId="0" borderId="59" xfId="0" applyFont="1" applyFill="1" applyBorder="1" applyAlignment="1">
      <alignment horizontal="left" textRotation="90"/>
    </xf>
    <xf numFmtId="0" fontId="32" fillId="0" borderId="59" xfId="0" applyFont="1" applyFill="1" applyBorder="1" applyAlignment="1">
      <alignment horizontal="left" textRotation="90"/>
    </xf>
    <xf numFmtId="0" fontId="21" fillId="0" borderId="59" xfId="0" applyFont="1" applyFill="1" applyBorder="1" applyAlignment="1">
      <alignment horizontal="center" vertical="center"/>
    </xf>
    <xf numFmtId="0" fontId="29" fillId="0" borderId="59" xfId="0" applyFont="1" applyFill="1" applyBorder="1" applyAlignment="1">
      <alignment horizontal="left" textRotation="90"/>
    </xf>
    <xf numFmtId="0" fontId="34" fillId="0" borderId="59" xfId="0" applyFont="1" applyFill="1" applyBorder="1" applyAlignment="1">
      <alignment horizontal="left" textRotation="90"/>
    </xf>
    <xf numFmtId="0" fontId="17" fillId="0" borderId="59" xfId="0" applyFont="1" applyFill="1" applyBorder="1" applyAlignment="1">
      <alignment horizontal="center" vertical="center"/>
    </xf>
    <xf numFmtId="0" fontId="17" fillId="0" borderId="59"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35" fillId="4" borderId="55" xfId="504" applyFont="1" applyFill="1" applyBorder="1" applyAlignment="1">
      <alignment horizontal="center" vertical="center" wrapText="1"/>
    </xf>
    <xf numFmtId="271" fontId="0" fillId="0" borderId="55" xfId="0" applyNumberFormat="1" applyFont="1" applyFill="1" applyBorder="1" applyAlignment="1">
      <alignment horizontal="center" vertical="center" shrinkToFit="1"/>
    </xf>
    <xf numFmtId="0" fontId="55" fillId="4" borderId="55" xfId="504" applyFont="1" applyFill="1" applyBorder="1" applyAlignment="1">
      <alignment horizontal="center" vertical="center" wrapText="1"/>
    </xf>
    <xf numFmtId="272" fontId="10" fillId="0" borderId="55" xfId="504" applyNumberFormat="1" applyFont="1" applyFill="1" applyBorder="1" applyAlignment="1" applyProtection="1">
      <alignment horizontal="center" vertical="center" wrapText="1"/>
      <protection locked="0"/>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5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271" fontId="6" fillId="0" borderId="55" xfId="0" applyNumberFormat="1" applyFont="1" applyFill="1" applyBorder="1" applyAlignment="1">
      <alignment horizontal="center" vertical="center" shrinkToFi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54" fillId="0" borderId="57"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80" fillId="0" borderId="0" xfId="0" applyFont="1" applyAlignment="1"/>
    <xf numFmtId="0" fontId="10" fillId="0" borderId="59" xfId="504" applyFont="1" applyFill="1" applyBorder="1" applyAlignment="1">
      <alignment horizontal="center" vertical="center" wrapText="1"/>
    </xf>
    <xf numFmtId="0" fontId="49" fillId="0" borderId="59" xfId="0" applyFont="1" applyFill="1" applyBorder="1" applyAlignment="1">
      <alignment horizontal="center" vertical="center"/>
    </xf>
    <xf numFmtId="0" fontId="33" fillId="0" borderId="59" xfId="504" applyFont="1" applyFill="1" applyBorder="1" applyAlignment="1">
      <alignment vertical="center" wrapText="1"/>
    </xf>
    <xf numFmtId="0" fontId="33" fillId="3" borderId="59" xfId="504" applyFont="1" applyFill="1" applyBorder="1" applyAlignment="1">
      <alignment horizontal="center" vertical="center" wrapText="1"/>
    </xf>
    <xf numFmtId="0" fontId="10" fillId="0" borderId="5" xfId="504" applyFont="1" applyFill="1" applyBorder="1" applyAlignment="1">
      <alignment horizontal="center" vertical="center"/>
    </xf>
    <xf numFmtId="0" fontId="60" fillId="0" borderId="55" xfId="504" applyFont="1" applyFill="1" applyBorder="1" applyAlignment="1">
      <alignment vertical="center" wrapText="1"/>
    </xf>
    <xf numFmtId="0" fontId="10" fillId="0" borderId="55" xfId="504" applyFont="1" applyFill="1" applyBorder="1" applyAlignment="1"/>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33" fillId="0" borderId="57" xfId="504" applyFont="1" applyFill="1" applyBorder="1" applyAlignment="1">
      <alignment horizontal="left" vertical="center" wrapText="1"/>
    </xf>
    <xf numFmtId="272" fontId="10" fillId="0" borderId="57" xfId="504" applyNumberFormat="1" applyFont="1" applyFill="1" applyBorder="1" applyAlignment="1" applyProtection="1">
      <alignment horizontal="center" vertical="center" wrapText="1"/>
      <protection locked="0"/>
    </xf>
    <xf numFmtId="272" fontId="10" fillId="5" borderId="57" xfId="504" applyNumberFormat="1" applyFont="1" applyFill="1" applyBorder="1" applyAlignment="1" applyProtection="1">
      <alignment horizontal="center" vertical="center" wrapText="1"/>
      <protection locked="0"/>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3" borderId="5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61" fillId="3" borderId="55" xfId="504" applyFont="1" applyFill="1" applyBorder="1" applyAlignment="1">
      <alignment horizontal="center" vertical="center" wrapText="1"/>
    </xf>
    <xf numFmtId="0" fontId="58" fillId="3" borderId="55" xfId="504" applyFont="1" applyFill="1" applyBorder="1" applyAlignment="1">
      <alignment horizontal="center" vertical="center" wrapText="1"/>
    </xf>
    <xf numFmtId="0" fontId="61" fillId="3" borderId="55" xfId="504" applyFont="1" applyFill="1" applyBorder="1" applyAlignment="1">
      <alignment vertical="center" wrapText="1"/>
    </xf>
    <xf numFmtId="0" fontId="33" fillId="3" borderId="55" xfId="504" applyFont="1" applyFill="1" applyBorder="1" applyAlignment="1">
      <alignment wrapText="1"/>
    </xf>
    <xf numFmtId="0" fontId="33" fillId="3" borderId="55" xfId="504" applyFont="1" applyFill="1" applyBorder="1" applyAlignment="1">
      <alignment vertical="center" wrapText="1"/>
    </xf>
    <xf numFmtId="0" fontId="33" fillId="0" borderId="61"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3"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64" fillId="3" borderId="55" xfId="504" applyFont="1" applyFill="1" applyBorder="1" applyAlignment="1">
      <alignment vertical="center" wrapText="1"/>
    </xf>
    <xf numFmtId="0" fontId="64" fillId="3" borderId="55" xfId="504" applyFont="1" applyFill="1" applyBorder="1" applyAlignment="1">
      <alignment horizontal="center" vertical="center"/>
    </xf>
    <xf numFmtId="0" fontId="33" fillId="0" borderId="59" xfId="504" applyFont="1" applyFill="1" applyBorder="1" applyAlignment="1">
      <alignment horizontal="left" vertical="center" wrapText="1"/>
    </xf>
    <xf numFmtId="0" fontId="10" fillId="0" borderId="59" xfId="504" applyFont="1" applyFill="1" applyBorder="1" applyAlignment="1">
      <alignment horizontal="center" vertical="center"/>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4"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4"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33" fillId="3" borderId="15" xfId="504" applyFont="1" applyFill="1" applyBorder="1" applyAlignment="1">
      <alignment vertical="center" wrapText="1"/>
    </xf>
    <xf numFmtId="0" fontId="33" fillId="3" borderId="59" xfId="504" applyFont="1" applyFill="1" applyBorder="1" applyAlignment="1">
      <alignment vertical="center" wrapText="1"/>
    </xf>
    <xf numFmtId="0" fontId="27" fillId="0" borderId="14" xfId="504" applyFont="1" applyFill="1" applyBorder="1" applyAlignment="1">
      <alignment horizontal="left" wrapText="1"/>
    </xf>
    <xf numFmtId="197" fontId="49" fillId="0" borderId="61" xfId="504" applyNumberFormat="1" applyFont="1" applyFill="1" applyBorder="1" applyAlignment="1">
      <alignment horizontal="center" vertical="center"/>
    </xf>
    <xf numFmtId="271" fontId="58" fillId="0" borderId="57" xfId="505" applyNumberFormat="1" applyFont="1" applyFill="1" applyBorder="1" applyAlignment="1">
      <alignment horizontal="center" vertical="center"/>
    </xf>
    <xf numFmtId="271" fontId="58" fillId="0" borderId="55" xfId="505" applyNumberFormat="1" applyFont="1" applyFill="1" applyBorder="1" applyAlignment="1">
      <alignment horizontal="center" vertical="center"/>
    </xf>
    <xf numFmtId="273" fontId="19" fillId="0" borderId="61" xfId="504" applyNumberFormat="1" applyFont="1" applyFill="1" applyBorder="1" applyAlignment="1">
      <alignment horizontal="center" vertical="center"/>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54" fillId="0" borderId="55" xfId="504" applyFont="1" applyFill="1" applyBorder="1" applyAlignment="1">
      <alignment horizontal="center" vertical="center" wrapText="1"/>
    </xf>
    <xf numFmtId="0" fontId="54" fillId="3"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4"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4"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0"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54" fillId="3" borderId="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5" borderId="57" xfId="504" applyFont="1" applyFill="1" applyBorder="1" applyAlignment="1">
      <alignment horizontal="center" vertical="center" wrapText="1"/>
    </xf>
    <xf numFmtId="0" fontId="33" fillId="3" borderId="57" xfId="504" applyFont="1" applyFill="1" applyBorder="1" applyAlignment="1">
      <alignment horizontal="center" vertical="center" wrapText="1"/>
    </xf>
    <xf numFmtId="0" fontId="33" fillId="3" borderId="10" xfId="504" applyFont="1" applyFill="1" applyBorder="1" applyAlignment="1">
      <alignment horizontal="center" vertical="center" wrapText="1"/>
    </xf>
    <xf numFmtId="0" fontId="62" fillId="0" borderId="5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3" borderId="55" xfId="504" applyFont="1" applyFill="1" applyBorder="1" applyAlignment="1">
      <alignment horizontal="left"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0" borderId="57" xfId="504" applyFont="1" applyFill="1" applyBorder="1" applyAlignment="1">
      <alignment horizontal="center" vertical="center" wrapText="1"/>
    </xf>
    <xf numFmtId="0" fontId="54" fillId="0" borderId="59"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0" fillId="0" borderId="5" xfId="504" applyFont="1" applyFill="1" applyBorder="1" applyAlignment="1">
      <alignment horizontal="center" vertical="center" wrapText="1"/>
    </xf>
    <xf numFmtId="0" fontId="54" fillId="0" borderId="57"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54" fillId="3" borderId="59" xfId="504" applyFont="1" applyFill="1" applyBorder="1" applyAlignment="1">
      <alignment horizontal="center" vertical="center" wrapText="1"/>
    </xf>
    <xf numFmtId="0" fontId="33" fillId="6" borderId="57" xfId="504" applyFont="1" applyFill="1" applyBorder="1" applyAlignment="1">
      <alignment horizontal="center" vertical="center" wrapText="1"/>
    </xf>
    <xf numFmtId="0" fontId="58" fillId="3" borderId="59" xfId="504" applyFont="1" applyFill="1" applyBorder="1" applyAlignment="1">
      <alignment horizontal="center" vertical="center" wrapText="1"/>
    </xf>
    <xf numFmtId="0" fontId="170" fillId="3" borderId="3" xfId="504" applyFont="1" applyFill="1" applyBorder="1" applyAlignment="1">
      <alignment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66" fillId="0" borderId="5" xfId="504" applyFont="1" applyFill="1" applyBorder="1" applyAlignment="1">
      <alignment horizontal="center" vertical="center"/>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0"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60" fillId="3" borderId="55" xfId="504" applyFont="1" applyFill="1" applyBorder="1" applyAlignment="1">
      <alignment vertical="center" wrapText="1"/>
    </xf>
    <xf numFmtId="0" fontId="169" fillId="0" borderId="5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0" fillId="0" borderId="5" xfId="504" applyFont="1" applyFill="1" applyBorder="1" applyAlignment="1">
      <alignment horizontal="center" vertical="center" wrapText="1"/>
    </xf>
    <xf numFmtId="0" fontId="54" fillId="3"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6" fillId="0" borderId="57" xfId="504" applyFont="1" applyFill="1" applyBorder="1" applyAlignment="1">
      <alignment horizontal="center" vertical="center" textRotation="90" wrapText="1"/>
    </xf>
    <xf numFmtId="0" fontId="58" fillId="0" borderId="5" xfId="0" applyFont="1" applyFill="1" applyBorder="1" applyAlignment="1">
      <alignment horizontal="center" vertical="center"/>
    </xf>
    <xf numFmtId="0" fontId="71" fillId="0" borderId="55" xfId="0" applyFont="1" applyBorder="1" applyAlignment="1">
      <alignment horizontal="center" vertical="center"/>
    </xf>
    <xf numFmtId="0" fontId="33" fillId="0" borderId="5" xfId="504" applyFont="1" applyFill="1" applyBorder="1" applyAlignment="1">
      <alignment horizontal="left"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54" fillId="0" borderId="57"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71" fillId="0" borderId="57" xfId="0" applyFont="1" applyBorder="1" applyAlignment="1">
      <alignment horizontal="center" vertical="center"/>
    </xf>
    <xf numFmtId="0" fontId="49" fillId="0" borderId="12" xfId="0" applyFont="1" applyFill="1" applyBorder="1" applyAlignment="1">
      <alignment horizontal="center" vertical="center"/>
    </xf>
    <xf numFmtId="0" fontId="58" fillId="0" borderId="58" xfId="0" applyFont="1" applyFill="1" applyBorder="1" applyAlignment="1">
      <alignment horizontal="center" vertical="center"/>
    </xf>
    <xf numFmtId="0" fontId="61" fillId="0" borderId="57" xfId="504" applyFont="1" applyFill="1" applyBorder="1" applyAlignment="1">
      <alignment horizontal="left" vertical="center" wrapText="1"/>
    </xf>
    <xf numFmtId="0" fontId="61" fillId="0" borderId="15" xfId="504" applyFont="1" applyFill="1" applyBorder="1" applyAlignment="1">
      <alignment horizontal="left" vertical="center" wrapText="1"/>
    </xf>
    <xf numFmtId="0" fontId="33" fillId="0" borderId="15" xfId="504" applyFont="1" applyFill="1" applyBorder="1" applyAlignment="1">
      <alignment horizontal="center" vertical="center" wrapText="1"/>
    </xf>
    <xf numFmtId="272" fontId="54" fillId="0" borderId="15" xfId="504" applyNumberFormat="1" applyFont="1" applyFill="1" applyBorder="1" applyAlignment="1" applyProtection="1">
      <alignment horizontal="center" vertical="center" wrapText="1"/>
      <protection locked="0"/>
    </xf>
    <xf numFmtId="272" fontId="54" fillId="0" borderId="13" xfId="504" applyNumberFormat="1" applyFont="1" applyFill="1" applyBorder="1" applyAlignment="1" applyProtection="1">
      <alignment horizontal="center" vertical="center" wrapText="1"/>
      <protection locked="0"/>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272" fontId="10" fillId="3" borderId="55" xfId="504" applyNumberFormat="1" applyFont="1" applyFill="1" applyBorder="1" applyAlignment="1" applyProtection="1">
      <alignment horizontal="center" vertical="center" wrapText="1"/>
      <protection locked="0"/>
    </xf>
    <xf numFmtId="0" fontId="49" fillId="0" borderId="61" xfId="0" applyFont="1" applyFill="1" applyBorder="1" applyAlignment="1">
      <alignment horizontal="center" vertical="center"/>
    </xf>
    <xf numFmtId="0" fontId="58" fillId="0" borderId="56" xfId="0" applyFont="1" applyFill="1" applyBorder="1" applyAlignment="1">
      <alignment horizontal="center" vertical="center"/>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33" fillId="0" borderId="13" xfId="504" applyFont="1" applyFill="1" applyBorder="1" applyAlignment="1">
      <alignment horizontal="left" vertical="center" wrapText="1"/>
    </xf>
    <xf numFmtId="0" fontId="10" fillId="0" borderId="57" xfId="504" applyFont="1" applyFill="1" applyBorder="1" applyAlignment="1">
      <alignment horizontal="center" vertical="center"/>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54" fillId="0"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4"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17" fillId="0" borderId="4"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0" fillId="0" borderId="5" xfId="504" applyFont="1" applyFill="1" applyBorder="1" applyAlignment="1">
      <alignment horizontal="center" vertical="center" wrapText="1"/>
    </xf>
    <xf numFmtId="0" fontId="54" fillId="3"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41" fillId="4" borderId="55" xfId="504" applyFont="1" applyFill="1" applyBorder="1" applyAlignment="1">
      <alignment horizontal="left" vertical="center" wrapText="1"/>
    </xf>
    <xf numFmtId="14" fontId="40" fillId="0" borderId="55" xfId="504" applyNumberFormat="1" applyFont="1" applyFill="1" applyBorder="1" applyAlignment="1" applyProtection="1">
      <alignment horizontal="center" vertical="center" wrapText="1"/>
      <protection locked="0"/>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62" fillId="3" borderId="5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54" fillId="3" borderId="5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33" fillId="0" borderId="6" xfId="504" applyFont="1" applyFill="1" applyBorder="1" applyAlignment="1">
      <alignment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66" fillId="0" borderId="59" xfId="504" applyFont="1" applyFill="1" applyBorder="1" applyAlignment="1">
      <alignment horizontal="center" vertical="center"/>
    </xf>
    <xf numFmtId="0" fontId="33" fillId="5" borderId="59"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80" fillId="0" borderId="55" xfId="0" applyFont="1" applyFill="1" applyBorder="1" applyAlignment="1">
      <alignment horizontal="center" vertical="center"/>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54" fillId="3"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54" fillId="0" borderId="59"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272" fontId="10" fillId="5" borderId="55" xfId="504" applyNumberFormat="1" applyFont="1" applyFill="1" applyBorder="1" applyAlignment="1" applyProtection="1">
      <alignment horizontal="center" vertical="center" wrapText="1"/>
      <protection locked="0"/>
    </xf>
    <xf numFmtId="0" fontId="10"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54" fillId="3" borderId="57" xfId="504" applyFont="1" applyFill="1" applyBorder="1" applyAlignment="1">
      <alignment horizontal="center" vertical="center" wrapText="1"/>
    </xf>
    <xf numFmtId="0" fontId="58" fillId="3" borderId="57"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54" fillId="0" borderId="55"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54" fillId="0" borderId="59"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4"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7" fillId="0" borderId="4"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33" fillId="3" borderId="55" xfId="504" applyFont="1" applyFill="1" applyBorder="1" applyAlignment="1">
      <alignment horizontal="left"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0" fillId="0" borderId="0"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54" fillId="0" borderId="59"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33" fillId="6" borderId="5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58" fillId="0" borderId="59" xfId="0" applyFont="1" applyFill="1" applyBorder="1" applyAlignment="1">
      <alignment horizontal="center" vertical="center"/>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4"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4"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33" fillId="3"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54" fillId="0" borderId="57"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54" fillId="5" borderId="59" xfId="504" applyFont="1" applyFill="1" applyBorder="1" applyAlignment="1">
      <alignment horizontal="center" vertical="center" wrapText="1"/>
    </xf>
    <xf numFmtId="0" fontId="54" fillId="0" borderId="59" xfId="504" applyFont="1" applyFill="1" applyBorder="1" applyAlignment="1">
      <alignment horizontal="center" vertical="center" wrapText="1"/>
    </xf>
    <xf numFmtId="0" fontId="54" fillId="3" borderId="55"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27" fillId="0" borderId="14" xfId="504" applyFont="1" applyFill="1" applyBorder="1" applyAlignment="1">
      <alignment horizontal="left" wrapText="1"/>
    </xf>
    <xf numFmtId="0" fontId="21" fillId="0" borderId="5"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0" fillId="0" borderId="0" xfId="0" applyAlignment="1">
      <alignment horizontal="left"/>
    </xf>
    <xf numFmtId="15" fontId="0" fillId="0" borderId="0" xfId="0" applyNumberFormat="1" applyAlignment="1">
      <alignment horizontal="left" wrapText="1"/>
    </xf>
    <xf numFmtId="0" fontId="13" fillId="0" borderId="18" xfId="505" applyFont="1" applyFill="1" applyBorder="1" applyAlignment="1">
      <alignment horizontal="center" vertical="center"/>
    </xf>
    <xf numFmtId="0" fontId="13" fillId="0" borderId="19" xfId="505" applyFont="1" applyFill="1" applyBorder="1" applyAlignment="1">
      <alignment horizontal="center" vertical="center"/>
    </xf>
    <xf numFmtId="0" fontId="27" fillId="0" borderId="14" xfId="504" applyFont="1" applyFill="1" applyBorder="1" applyAlignment="1">
      <alignment horizontal="left" wrapText="1"/>
    </xf>
    <xf numFmtId="268" fontId="24" fillId="0" borderId="2" xfId="504" applyNumberFormat="1" applyFont="1" applyFill="1" applyBorder="1" applyAlignment="1">
      <alignment horizontal="center" vertical="center"/>
    </xf>
    <xf numFmtId="268" fontId="24" fillId="0" borderId="8" xfId="504" applyNumberFormat="1" applyFont="1" applyFill="1" applyBorder="1" applyAlignment="1">
      <alignment horizontal="center" vertical="center"/>
    </xf>
    <xf numFmtId="268" fontId="24" fillId="0" borderId="8" xfId="504" applyNumberFormat="1" applyFont="1" applyFill="1" applyBorder="1" applyAlignment="1">
      <alignment vertical="center"/>
    </xf>
    <xf numFmtId="268" fontId="24" fillId="0" borderId="16" xfId="504" applyNumberFormat="1" applyFont="1" applyFill="1" applyBorder="1" applyAlignment="1">
      <alignment vertical="center"/>
    </xf>
    <xf numFmtId="268" fontId="24" fillId="0" borderId="16" xfId="504" applyNumberFormat="1" applyFont="1" applyFill="1" applyBorder="1" applyAlignment="1">
      <alignment horizontal="center" vertical="center"/>
    </xf>
    <xf numFmtId="0" fontId="7" fillId="0" borderId="2" xfId="504" applyFont="1" applyFill="1" applyBorder="1" applyAlignment="1">
      <alignment horizontal="left" vertical="center" wrapText="1"/>
    </xf>
    <xf numFmtId="0" fontId="7" fillId="0" borderId="8" xfId="504" applyFont="1" applyFill="1" applyBorder="1" applyAlignment="1">
      <alignment horizontal="left" vertical="center" wrapText="1"/>
    </xf>
    <xf numFmtId="0" fontId="7" fillId="0" borderId="16" xfId="504" applyFont="1" applyFill="1" applyBorder="1" applyAlignment="1">
      <alignment horizontal="left" vertical="center" wrapText="1"/>
    </xf>
    <xf numFmtId="1" fontId="24" fillId="0" borderId="4" xfId="504" applyNumberFormat="1" applyFont="1" applyFill="1" applyBorder="1" applyAlignment="1">
      <alignment horizontal="center" vertical="center" wrapText="1"/>
    </xf>
    <xf numFmtId="1" fontId="21" fillId="0" borderId="5" xfId="0" applyNumberFormat="1" applyFont="1" applyFill="1" applyBorder="1" applyAlignment="1">
      <alignment horizontal="center" vertical="center"/>
    </xf>
    <xf numFmtId="0" fontId="24" fillId="0" borderId="4" xfId="504" applyFont="1" applyBorder="1" applyAlignment="1">
      <alignment horizontal="center" vertical="center" wrapText="1"/>
    </xf>
    <xf numFmtId="0" fontId="21" fillId="0" borderId="6" xfId="0" applyFont="1" applyBorder="1" applyAlignment="1">
      <alignment horizontal="center" vertical="center"/>
    </xf>
    <xf numFmtId="0" fontId="23" fillId="0" borderId="4" xfId="504" applyFont="1" applyBorder="1" applyAlignment="1">
      <alignment horizontal="center" vertical="center" wrapText="1"/>
    </xf>
    <xf numFmtId="0" fontId="91" fillId="0" borderId="6" xfId="0" applyFont="1" applyBorder="1" applyAlignment="1">
      <alignment horizontal="center" vertical="center"/>
    </xf>
    <xf numFmtId="0" fontId="24" fillId="0" borderId="6" xfId="504" applyFont="1" applyBorder="1" applyAlignment="1">
      <alignment horizontal="center" vertical="center" wrapText="1"/>
    </xf>
    <xf numFmtId="0" fontId="23" fillId="0" borderId="4" xfId="504" applyFont="1" applyFill="1" applyBorder="1" applyAlignment="1">
      <alignment vertical="center" wrapText="1"/>
    </xf>
    <xf numFmtId="0" fontId="23" fillId="0" borderId="6" xfId="504" applyFont="1" applyFill="1" applyBorder="1" applyAlignment="1">
      <alignment vertical="center" wrapText="1"/>
    </xf>
    <xf numFmtId="0" fontId="24" fillId="12" borderId="4" xfId="504" applyFont="1" applyFill="1" applyBorder="1" applyAlignment="1">
      <alignment horizontal="center" vertical="center" wrapText="1"/>
    </xf>
    <xf numFmtId="0" fontId="24" fillId="12" borderId="6" xfId="504" applyFont="1" applyFill="1" applyBorder="1" applyAlignment="1">
      <alignment horizontal="center" vertical="center" wrapText="1"/>
    </xf>
    <xf numFmtId="0" fontId="24" fillId="0" borderId="7" xfId="504" applyFont="1" applyFill="1" applyBorder="1" applyAlignment="1">
      <alignment horizontal="center" vertical="center" wrapText="1"/>
    </xf>
    <xf numFmtId="0" fontId="24" fillId="0" borderId="9" xfId="504" applyFont="1" applyFill="1" applyBorder="1" applyAlignment="1">
      <alignment horizontal="center" vertical="center" wrapText="1"/>
    </xf>
    <xf numFmtId="0" fontId="24" fillId="0" borderId="10" xfId="504" applyFont="1" applyFill="1" applyBorder="1" applyAlignment="1">
      <alignment horizontal="center" vertical="center" wrapText="1"/>
    </xf>
    <xf numFmtId="0" fontId="13" fillId="0" borderId="4" xfId="504" applyFont="1" applyBorder="1" applyAlignment="1">
      <alignment horizontal="center" vertical="center" textRotation="90" wrapText="1"/>
    </xf>
    <xf numFmtId="0" fontId="13" fillId="0" borderId="5" xfId="504" applyFont="1" applyBorder="1" applyAlignment="1">
      <alignment horizontal="center" vertical="center" textRotation="90" wrapText="1"/>
    </xf>
    <xf numFmtId="0" fontId="13" fillId="0" borderId="6" xfId="504" applyFont="1" applyBorder="1" applyAlignment="1">
      <alignment horizontal="center" vertical="center" textRotation="90" wrapText="1"/>
    </xf>
    <xf numFmtId="0" fontId="7" fillId="0" borderId="4" xfId="0" applyFont="1" applyFill="1" applyBorder="1" applyAlignment="1">
      <alignment horizontal="center" textRotation="90"/>
    </xf>
    <xf numFmtId="0" fontId="7" fillId="0" borderId="6" xfId="0" applyFont="1" applyFill="1" applyBorder="1" applyAlignment="1">
      <alignment horizontal="center" textRotation="90"/>
    </xf>
    <xf numFmtId="0" fontId="7" fillId="10" borderId="2" xfId="504" applyFont="1" applyFill="1" applyBorder="1" applyAlignment="1">
      <alignment horizontal="left" vertical="center" wrapText="1"/>
    </xf>
    <xf numFmtId="0" fontId="7" fillId="10" borderId="8" xfId="504" applyFont="1" applyFill="1" applyBorder="1" applyAlignment="1">
      <alignment horizontal="left" vertical="center" wrapText="1"/>
    </xf>
    <xf numFmtId="0" fontId="7" fillId="10" borderId="16" xfId="504" applyFont="1" applyFill="1" applyBorder="1" applyAlignment="1">
      <alignment horizontal="left" vertical="center" wrapText="1"/>
    </xf>
    <xf numFmtId="1" fontId="13" fillId="0" borderId="30" xfId="505" applyNumberFormat="1" applyFont="1" applyFill="1" applyBorder="1" applyAlignment="1">
      <alignment horizontal="center" vertical="center"/>
    </xf>
    <xf numFmtId="1" fontId="13" fillId="0" borderId="31" xfId="505" applyNumberFormat="1" applyFont="1" applyFill="1" applyBorder="1" applyAlignment="1">
      <alignment horizontal="center" vertical="center"/>
    </xf>
    <xf numFmtId="0" fontId="7" fillId="0" borderId="3" xfId="0" applyFont="1" applyFill="1" applyBorder="1" applyAlignment="1">
      <alignment horizontal="center" textRotation="90"/>
    </xf>
    <xf numFmtId="0" fontId="21" fillId="0" borderId="4" xfId="504" applyFont="1" applyBorder="1" applyAlignment="1">
      <alignment horizontal="center" vertical="center" textRotation="90" wrapText="1"/>
    </xf>
    <xf numFmtId="0" fontId="21" fillId="0" borderId="5" xfId="504" applyFont="1" applyBorder="1" applyAlignment="1">
      <alignment horizontal="center" vertical="center" textRotation="90" wrapText="1"/>
    </xf>
    <xf numFmtId="0" fontId="21" fillId="0" borderId="6" xfId="504" applyFont="1" applyBorder="1" applyAlignment="1">
      <alignment horizontal="center" vertical="center" textRotation="90" wrapText="1"/>
    </xf>
    <xf numFmtId="0" fontId="21" fillId="0" borderId="4" xfId="504" applyFont="1" applyFill="1" applyBorder="1" applyAlignment="1">
      <alignment horizontal="center" vertical="center" wrapText="1"/>
    </xf>
    <xf numFmtId="0" fontId="21" fillId="0" borderId="5" xfId="504" applyFont="1" applyFill="1" applyBorder="1" applyAlignment="1">
      <alignment horizontal="center" vertical="center" wrapText="1"/>
    </xf>
    <xf numFmtId="0" fontId="21" fillId="0" borderId="6" xfId="504" applyFont="1" applyFill="1" applyBorder="1" applyAlignment="1">
      <alignment horizontal="center" vertical="center" wrapText="1"/>
    </xf>
    <xf numFmtId="0" fontId="24" fillId="7" borderId="4" xfId="504"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196" fontId="13" fillId="0" borderId="4" xfId="504" applyNumberFormat="1" applyFont="1" applyBorder="1" applyAlignment="1">
      <alignment horizontal="center" vertical="center" textRotation="90" wrapText="1"/>
    </xf>
    <xf numFmtId="196" fontId="13" fillId="0" borderId="5" xfId="504" applyNumberFormat="1" applyFont="1" applyBorder="1" applyAlignment="1">
      <alignment horizontal="center" vertical="center" textRotation="90" wrapText="1"/>
    </xf>
    <xf numFmtId="196" fontId="13" fillId="0" borderId="6" xfId="504" applyNumberFormat="1" applyFont="1" applyBorder="1" applyAlignment="1">
      <alignment horizontal="center" vertical="center" textRotation="90" wrapText="1"/>
    </xf>
    <xf numFmtId="0" fontId="13" fillId="0" borderId="4" xfId="0" applyFont="1" applyBorder="1" applyAlignment="1">
      <alignment horizontal="center" vertical="center" textRotation="90"/>
    </xf>
    <xf numFmtId="0" fontId="13" fillId="0" borderId="5" xfId="0" applyFont="1" applyBorder="1" applyAlignment="1">
      <alignment horizontal="center" vertical="center" textRotation="90"/>
    </xf>
    <xf numFmtId="0" fontId="13" fillId="0" borderId="6" xfId="0" applyFont="1" applyBorder="1" applyAlignment="1">
      <alignment horizontal="center" vertical="center" textRotation="90"/>
    </xf>
    <xf numFmtId="1" fontId="13" fillId="0" borderId="22" xfId="505" applyNumberFormat="1" applyFont="1" applyFill="1" applyBorder="1" applyAlignment="1">
      <alignment horizontal="center" vertical="center"/>
    </xf>
    <xf numFmtId="1" fontId="13" fillId="0" borderId="23" xfId="505" applyNumberFormat="1" applyFont="1" applyFill="1" applyBorder="1" applyAlignment="1">
      <alignment horizontal="center" vertical="center"/>
    </xf>
    <xf numFmtId="1" fontId="13" fillId="0" borderId="24" xfId="505" applyNumberFormat="1" applyFont="1" applyFill="1" applyBorder="1" applyAlignment="1">
      <alignment horizontal="center" vertical="center"/>
    </xf>
    <xf numFmtId="1" fontId="13" fillId="0" borderId="25" xfId="505" applyNumberFormat="1" applyFont="1" applyFill="1" applyBorder="1" applyAlignment="1">
      <alignment horizontal="center" vertical="center"/>
    </xf>
    <xf numFmtId="0" fontId="13" fillId="0" borderId="7" xfId="504" applyFont="1" applyBorder="1" applyAlignment="1">
      <alignment horizontal="center" vertical="center" wrapText="1"/>
    </xf>
    <xf numFmtId="0" fontId="13" fillId="0" borderId="11" xfId="504" applyFont="1" applyBorder="1" applyAlignment="1">
      <alignment horizontal="center" vertical="center" wrapText="1"/>
    </xf>
    <xf numFmtId="0" fontId="13" fillId="0" borderId="12" xfId="504" applyFont="1" applyBorder="1" applyAlignment="1">
      <alignment horizontal="center" vertical="center" wrapText="1"/>
    </xf>
    <xf numFmtId="0" fontId="13" fillId="0" borderId="9" xfId="504" applyFont="1" applyBorder="1" applyAlignment="1">
      <alignment horizontal="center" vertical="center" wrapText="1"/>
    </xf>
    <xf numFmtId="0" fontId="13" fillId="0" borderId="0" xfId="504" applyFont="1" applyBorder="1" applyAlignment="1">
      <alignment horizontal="center" vertical="center" wrapText="1"/>
    </xf>
    <xf numFmtId="0" fontId="13" fillId="0" borderId="13" xfId="504" applyFont="1" applyBorder="1" applyAlignment="1">
      <alignment horizontal="center" vertical="center" wrapText="1"/>
    </xf>
    <xf numFmtId="0" fontId="13" fillId="0" borderId="10" xfId="504" applyFont="1" applyBorder="1" applyAlignment="1">
      <alignment horizontal="center" vertical="center" wrapText="1"/>
    </xf>
    <xf numFmtId="0" fontId="13" fillId="0" borderId="14" xfId="504" applyFont="1" applyBorder="1" applyAlignment="1">
      <alignment horizontal="center" vertical="center" wrapText="1"/>
    </xf>
    <xf numFmtId="0" fontId="13" fillId="0" borderId="15" xfId="504" applyFont="1" applyBorder="1" applyAlignment="1">
      <alignment horizontal="center" vertical="center" wrapText="1"/>
    </xf>
    <xf numFmtId="0" fontId="10" fillId="0" borderId="4" xfId="504" applyFont="1" applyFill="1" applyBorder="1" applyAlignment="1">
      <alignment horizontal="center" vertical="center" wrapText="1"/>
    </xf>
    <xf numFmtId="0" fontId="10" fillId="0" borderId="5" xfId="504" applyFont="1" applyFill="1" applyBorder="1" applyAlignment="1">
      <alignment horizontal="center" vertical="center" wrapText="1"/>
    </xf>
    <xf numFmtId="0" fontId="10" fillId="0" borderId="6" xfId="504" applyFont="1" applyFill="1" applyBorder="1" applyAlignment="1">
      <alignment horizontal="center" vertical="center" wrapText="1"/>
    </xf>
    <xf numFmtId="0" fontId="24" fillId="0" borderId="4" xfId="504" applyFont="1" applyFill="1" applyBorder="1" applyAlignment="1">
      <alignment horizontal="center" vertical="center" wrapText="1"/>
    </xf>
    <xf numFmtId="0" fontId="24" fillId="0" borderId="5" xfId="504" applyFont="1" applyFill="1" applyBorder="1" applyAlignment="1">
      <alignment horizontal="center" vertical="center" wrapText="1"/>
    </xf>
    <xf numFmtId="0" fontId="24" fillId="0" borderId="6" xfId="504" applyFont="1" applyFill="1" applyBorder="1" applyAlignment="1">
      <alignment horizontal="center" vertical="center" wrapText="1"/>
    </xf>
    <xf numFmtId="0" fontId="10" fillId="0" borderId="7" xfId="504" applyFont="1" applyBorder="1" applyAlignment="1">
      <alignment horizontal="center" vertical="center" wrapText="1"/>
    </xf>
    <xf numFmtId="0" fontId="10" fillId="0" borderId="9" xfId="504" applyFont="1" applyBorder="1" applyAlignment="1">
      <alignment horizontal="center" vertical="center" wrapText="1"/>
    </xf>
    <xf numFmtId="0" fontId="10" fillId="0" borderId="10" xfId="504" applyFont="1" applyBorder="1" applyAlignment="1">
      <alignment horizontal="center" vertical="center" wrapText="1"/>
    </xf>
    <xf numFmtId="0" fontId="17" fillId="0" borderId="57" xfId="505" applyFont="1" applyFill="1" applyBorder="1" applyAlignment="1">
      <alignment horizontal="center" vertical="center"/>
    </xf>
    <xf numFmtId="0" fontId="17" fillId="0" borderId="5" xfId="505" applyFont="1" applyFill="1" applyBorder="1" applyAlignment="1">
      <alignment horizontal="center" vertical="center"/>
    </xf>
    <xf numFmtId="0" fontId="17" fillId="0" borderId="6" xfId="505" applyFont="1" applyFill="1" applyBorder="1" applyAlignment="1">
      <alignment horizontal="center" vertical="center"/>
    </xf>
    <xf numFmtId="0" fontId="54" fillId="0" borderId="3" xfId="504" applyFont="1" applyFill="1" applyBorder="1" applyAlignment="1">
      <alignment horizontal="center" vertical="center" wrapText="1"/>
    </xf>
    <xf numFmtId="0" fontId="54" fillId="0" borderId="55" xfId="504" applyFont="1" applyFill="1" applyBorder="1" applyAlignment="1">
      <alignment horizontal="center" vertical="center" wrapText="1"/>
    </xf>
    <xf numFmtId="0" fontId="54" fillId="0" borderId="5" xfId="504" applyFont="1" applyFill="1" applyBorder="1" applyAlignment="1">
      <alignment horizontal="center" vertical="center" wrapText="1"/>
    </xf>
    <xf numFmtId="0" fontId="10" fillId="0" borderId="4" xfId="504" applyFont="1" applyBorder="1" applyAlignment="1">
      <alignment horizontal="center" vertical="center" wrapText="1"/>
    </xf>
    <xf numFmtId="0" fontId="10" fillId="0" borderId="6" xfId="504" applyFont="1" applyBorder="1" applyAlignment="1">
      <alignment horizontal="center" vertical="center" wrapText="1"/>
    </xf>
    <xf numFmtId="0" fontId="10" fillId="0" borderId="7" xfId="504" applyFont="1" applyFill="1" applyBorder="1" applyAlignment="1">
      <alignment horizontal="center" vertical="center" wrapText="1"/>
    </xf>
    <xf numFmtId="0" fontId="10" fillId="0" borderId="10" xfId="504" applyFont="1" applyFill="1" applyBorder="1" applyAlignment="1">
      <alignment horizontal="center" vertical="center" wrapText="1"/>
    </xf>
    <xf numFmtId="0" fontId="19" fillId="0" borderId="4" xfId="504" applyFont="1" applyFill="1" applyBorder="1" applyAlignment="1">
      <alignment horizontal="center" vertical="center" textRotation="90" wrapText="1"/>
    </xf>
    <xf numFmtId="0" fontId="19" fillId="0" borderId="5" xfId="504" applyFont="1" applyFill="1" applyBorder="1" applyAlignment="1">
      <alignment horizontal="center" vertical="center" textRotation="90" wrapText="1"/>
    </xf>
    <xf numFmtId="0" fontId="19" fillId="0" borderId="6" xfId="504" applyFont="1" applyFill="1" applyBorder="1" applyAlignment="1">
      <alignment horizontal="center" vertical="center" textRotation="90" wrapText="1"/>
    </xf>
    <xf numFmtId="0" fontId="54" fillId="0" borderId="59" xfId="504" applyFont="1" applyFill="1" applyBorder="1" applyAlignment="1">
      <alignment horizontal="center" vertical="center" wrapText="1"/>
    </xf>
    <xf numFmtId="0" fontId="54" fillId="0" borderId="57" xfId="504" applyFont="1" applyFill="1" applyBorder="1" applyAlignment="1">
      <alignment horizontal="center" vertical="center" wrapText="1"/>
    </xf>
    <xf numFmtId="0" fontId="54" fillId="0" borderId="4" xfId="504" applyFont="1" applyFill="1" applyBorder="1" applyAlignment="1">
      <alignment horizontal="center" vertical="center" wrapText="1"/>
    </xf>
    <xf numFmtId="0" fontId="54" fillId="0" borderId="6" xfId="504" applyFont="1" applyFill="1" applyBorder="1" applyAlignment="1">
      <alignment horizontal="center" vertical="center" wrapText="1"/>
    </xf>
    <xf numFmtId="0" fontId="86" fillId="0" borderId="4" xfId="504" applyFont="1" applyFill="1" applyBorder="1" applyAlignment="1">
      <alignment horizontal="center" vertical="center"/>
    </xf>
    <xf numFmtId="0" fontId="85" fillId="0" borderId="6" xfId="504" applyFont="1" applyFill="1" applyBorder="1" applyAlignment="1">
      <alignment horizontal="center" vertical="center"/>
    </xf>
    <xf numFmtId="0" fontId="54" fillId="0" borderId="4" xfId="504" applyFont="1" applyBorder="1" applyAlignment="1">
      <alignment horizontal="center" vertical="center" wrapText="1"/>
    </xf>
    <xf numFmtId="0" fontId="54" fillId="0" borderId="6" xfId="504" applyFont="1" applyBorder="1" applyAlignment="1">
      <alignment horizontal="center" vertical="center" wrapText="1"/>
    </xf>
    <xf numFmtId="0" fontId="0" fillId="0" borderId="5" xfId="0" applyBorder="1" applyAlignment="1"/>
    <xf numFmtId="0" fontId="0" fillId="0" borderId="55" xfId="0" applyBorder="1" applyAlignment="1"/>
    <xf numFmtId="0" fontId="0" fillId="0" borderId="59" xfId="0" applyBorder="1" applyAlignment="1"/>
    <xf numFmtId="0" fontId="54" fillId="0" borderId="55" xfId="0" applyFont="1" applyBorder="1" applyAlignment="1">
      <alignment horizontal="center" vertical="center" wrapText="1"/>
    </xf>
    <xf numFmtId="0" fontId="54" fillId="0" borderId="6" xfId="0" applyFont="1" applyBorder="1" applyAlignment="1">
      <alignment horizontal="center" vertical="center" wrapText="1"/>
    </xf>
    <xf numFmtId="0" fontId="21" fillId="0" borderId="7" xfId="504" applyFont="1" applyFill="1" applyBorder="1" applyAlignment="1">
      <alignment horizontal="center" vertical="center" wrapText="1"/>
    </xf>
    <xf numFmtId="0" fontId="0" fillId="0" borderId="9" xfId="0" applyBorder="1" applyAlignment="1"/>
    <xf numFmtId="0" fontId="0" fillId="0" borderId="10" xfId="0" applyBorder="1" applyAlignment="1"/>
    <xf numFmtId="0" fontId="24" fillId="0" borderId="3" xfId="504" applyFont="1" applyFill="1" applyBorder="1" applyAlignment="1">
      <alignment horizontal="center" vertical="center"/>
    </xf>
    <xf numFmtId="0" fontId="7" fillId="0" borderId="4" xfId="504" applyFont="1" applyFill="1" applyBorder="1" applyAlignment="1">
      <alignment horizontal="center" vertical="center"/>
    </xf>
    <xf numFmtId="0" fontId="7" fillId="0" borderId="6" xfId="504" applyFont="1" applyFill="1" applyBorder="1" applyAlignment="1">
      <alignment horizontal="center" vertical="center"/>
    </xf>
    <xf numFmtId="0" fontId="13" fillId="0" borderId="3" xfId="504" applyFont="1" applyBorder="1" applyAlignment="1">
      <alignment horizontal="center" vertical="center" wrapText="1"/>
    </xf>
    <xf numFmtId="0" fontId="54" fillId="3" borderId="55" xfId="504" applyFont="1" applyFill="1" applyBorder="1" applyAlignment="1">
      <alignment horizontal="center" vertical="center" wrapText="1"/>
    </xf>
    <xf numFmtId="0" fontId="64" fillId="0" borderId="3" xfId="504" applyFont="1" applyFill="1" applyBorder="1" applyAlignment="1">
      <alignment horizontal="center" vertical="center" wrapText="1"/>
    </xf>
    <xf numFmtId="0" fontId="64" fillId="0" borderId="55" xfId="504" applyFont="1" applyFill="1" applyBorder="1" applyAlignment="1">
      <alignment horizontal="center" vertical="center" wrapText="1"/>
    </xf>
    <xf numFmtId="0" fontId="64" fillId="3" borderId="5" xfId="504" applyFont="1" applyFill="1" applyBorder="1" applyAlignment="1">
      <alignment horizontal="center" vertical="center" wrapText="1"/>
    </xf>
    <xf numFmtId="0" fontId="64" fillId="3" borderId="6" xfId="504" applyFont="1" applyFill="1" applyBorder="1" applyAlignment="1">
      <alignment horizontal="center" vertical="center" wrapText="1"/>
    </xf>
    <xf numFmtId="0" fontId="54" fillId="3" borderId="3" xfId="504" applyFont="1" applyFill="1" applyBorder="1" applyAlignment="1">
      <alignment horizontal="center" vertical="center" wrapText="1"/>
    </xf>
    <xf numFmtId="0" fontId="64" fillId="0" borderId="5" xfId="504" applyFont="1" applyFill="1" applyBorder="1" applyAlignment="1">
      <alignment horizontal="center" vertical="center" wrapText="1"/>
    </xf>
    <xf numFmtId="0" fontId="64" fillId="0" borderId="57" xfId="504" applyFont="1" applyFill="1" applyBorder="1" applyAlignment="1">
      <alignment horizontal="center" vertical="center" wrapText="1"/>
    </xf>
    <xf numFmtId="0" fontId="0" fillId="3" borderId="6" xfId="0" applyFill="1" applyBorder="1" applyAlignment="1"/>
    <xf numFmtId="0" fontId="0" fillId="0" borderId="15" xfId="0" applyBorder="1" applyAlignment="1"/>
    <xf numFmtId="0" fontId="0" fillId="0" borderId="6" xfId="0" applyBorder="1" applyAlignment="1"/>
    <xf numFmtId="0" fontId="6" fillId="0" borderId="5" xfId="0" applyFont="1" applyBorder="1" applyAlignment="1"/>
    <xf numFmtId="0" fontId="6" fillId="0" borderId="6" xfId="0" applyFont="1" applyBorder="1" applyAlignment="1"/>
    <xf numFmtId="0" fontId="19" fillId="0" borderId="57" xfId="504" applyFont="1" applyFill="1" applyBorder="1" applyAlignment="1">
      <alignment horizontal="center" vertical="center" textRotation="90" wrapText="1"/>
    </xf>
    <xf numFmtId="0" fontId="54" fillId="0" borderId="5" xfId="504" applyFont="1" applyBorder="1" applyAlignment="1">
      <alignment horizontal="center" vertical="center" wrapText="1"/>
    </xf>
    <xf numFmtId="0" fontId="17" fillId="0" borderId="4" xfId="504" applyFont="1" applyFill="1" applyBorder="1" applyAlignment="1">
      <alignment horizontal="center" vertical="center" wrapText="1"/>
    </xf>
    <xf numFmtId="0" fontId="17" fillId="0" borderId="5" xfId="504" applyFont="1" applyFill="1" applyBorder="1" applyAlignment="1">
      <alignment horizontal="center" vertical="center" wrapText="1"/>
    </xf>
    <xf numFmtId="0" fontId="17" fillId="0" borderId="6" xfId="504" applyFont="1" applyFill="1" applyBorder="1" applyAlignment="1">
      <alignment horizontal="center" vertical="center" wrapText="1"/>
    </xf>
    <xf numFmtId="0" fontId="17" fillId="0" borderId="4" xfId="504" applyFont="1" applyFill="1" applyBorder="1" applyAlignment="1">
      <alignment horizontal="center" vertical="center"/>
    </xf>
    <xf numFmtId="0" fontId="17" fillId="0" borderId="5" xfId="504" applyFont="1" applyFill="1" applyBorder="1" applyAlignment="1">
      <alignment horizontal="center" vertical="center"/>
    </xf>
    <xf numFmtId="0" fontId="17" fillId="0" borderId="6" xfId="504" applyFont="1" applyFill="1" applyBorder="1" applyAlignment="1">
      <alignment horizontal="center" vertical="center"/>
    </xf>
    <xf numFmtId="0" fontId="17" fillId="0" borderId="7" xfId="504" applyFont="1" applyBorder="1" applyAlignment="1">
      <alignment horizontal="center" vertical="center" wrapText="1"/>
    </xf>
    <xf numFmtId="0" fontId="17" fillId="0" borderId="9" xfId="504" applyFont="1" applyBorder="1" applyAlignment="1">
      <alignment horizontal="center" vertical="center" wrapText="1"/>
    </xf>
    <xf numFmtId="0" fontId="17" fillId="0" borderId="10" xfId="504" applyFont="1" applyBorder="1" applyAlignment="1">
      <alignment horizontal="center" vertical="center" wrapText="1"/>
    </xf>
    <xf numFmtId="0" fontId="28" fillId="0" borderId="4" xfId="0" applyFont="1" applyFill="1" applyBorder="1" applyAlignment="1">
      <alignment horizontal="center" vertical="center" wrapText="1"/>
    </xf>
    <xf numFmtId="0" fontId="28" fillId="0" borderId="55" xfId="0" applyFont="1" applyFill="1" applyBorder="1" applyAlignment="1">
      <alignment horizontal="center" vertical="center" wrapText="1"/>
    </xf>
    <xf numFmtId="0" fontId="28" fillId="0" borderId="57" xfId="0" applyFont="1" applyFill="1" applyBorder="1" applyAlignment="1">
      <alignment horizontal="center" vertical="center" wrapText="1"/>
    </xf>
    <xf numFmtId="0" fontId="28" fillId="0" borderId="3" xfId="0" applyFont="1" applyFill="1" applyBorder="1" applyAlignment="1">
      <alignment horizontal="center" vertical="center" wrapText="1"/>
    </xf>
    <xf numFmtId="0" fontId="28" fillId="0" borderId="6" xfId="0" applyFont="1" applyFill="1" applyBorder="1" applyAlignment="1">
      <alignment horizontal="center" vertical="center" wrapText="1"/>
    </xf>
    <xf numFmtId="0" fontId="39" fillId="0" borderId="4" xfId="504" applyFont="1" applyFill="1" applyBorder="1" applyAlignment="1">
      <alignment horizontal="center" vertical="center" wrapText="1"/>
    </xf>
    <xf numFmtId="0" fontId="39" fillId="0" borderId="5" xfId="504" applyFont="1" applyFill="1" applyBorder="1" applyAlignment="1">
      <alignment horizontal="center" vertical="center" wrapText="1"/>
    </xf>
    <xf numFmtId="0" fontId="39" fillId="0" borderId="3" xfId="504" applyFont="1" applyFill="1" applyBorder="1" applyAlignment="1">
      <alignment horizontal="center" vertical="center" wrapText="1"/>
    </xf>
    <xf numFmtId="0" fontId="39" fillId="0" borderId="6" xfId="504" applyFont="1" applyFill="1" applyBorder="1" applyAlignment="1">
      <alignment horizontal="center" vertical="center" wrapText="1"/>
    </xf>
    <xf numFmtId="0" fontId="39" fillId="0" borderId="57" xfId="504" applyFont="1" applyFill="1" applyBorder="1" applyAlignment="1">
      <alignment horizontal="center" vertical="center" wrapText="1"/>
    </xf>
    <xf numFmtId="0" fontId="39" fillId="0" borderId="55" xfId="504" applyFont="1" applyFill="1" applyBorder="1" applyAlignment="1">
      <alignment horizontal="center" vertical="center" wrapText="1"/>
    </xf>
    <xf numFmtId="0" fontId="3" fillId="0" borderId="55" xfId="504" applyFont="1" applyFill="1" applyBorder="1" applyAlignment="1">
      <alignment horizontal="center" vertical="center" wrapText="1"/>
    </xf>
    <xf numFmtId="0" fontId="17" fillId="0" borderId="4" xfId="504" applyFont="1" applyBorder="1" applyAlignment="1">
      <alignment horizontal="center" vertical="center" wrapText="1"/>
    </xf>
    <xf numFmtId="0" fontId="17" fillId="0" borderId="6" xfId="504" applyFont="1" applyBorder="1" applyAlignment="1">
      <alignment horizontal="center" vertical="center" wrapText="1"/>
    </xf>
    <xf numFmtId="0" fontId="17" fillId="0" borderId="7" xfId="504" applyFont="1" applyFill="1" applyBorder="1" applyAlignment="1">
      <alignment horizontal="center" vertical="center" wrapText="1"/>
    </xf>
    <xf numFmtId="0" fontId="17" fillId="0" borderId="10" xfId="504" applyFont="1" applyFill="1" applyBorder="1" applyAlignment="1">
      <alignment horizontal="center" vertical="center" wrapText="1"/>
    </xf>
    <xf numFmtId="0" fontId="1" fillId="0" borderId="4" xfId="504" applyFont="1" applyFill="1" applyBorder="1" applyAlignment="1">
      <alignment horizontal="center" vertical="center" wrapText="1"/>
    </xf>
    <xf numFmtId="0" fontId="1" fillId="0" borderId="5" xfId="504" applyFont="1" applyFill="1" applyBorder="1" applyAlignment="1">
      <alignment horizontal="center" vertical="center" wrapText="1"/>
    </xf>
    <xf numFmtId="0" fontId="1" fillId="0" borderId="6" xfId="504" applyFont="1" applyFill="1" applyBorder="1" applyAlignment="1">
      <alignment horizontal="center" vertical="center" wrapText="1"/>
    </xf>
    <xf numFmtId="0" fontId="2" fillId="0" borderId="4" xfId="504" applyFont="1" applyBorder="1" applyAlignment="1">
      <alignment horizontal="center" vertical="center" wrapText="1"/>
    </xf>
    <xf numFmtId="0" fontId="1" fillId="0" borderId="6" xfId="504" applyFont="1" applyBorder="1" applyAlignment="1">
      <alignment horizontal="center" vertical="center" wrapText="1"/>
    </xf>
  </cellXfs>
  <cellStyles count="658">
    <cellStyle name="$" xfId="1"/>
    <cellStyle name="$ 2" xfId="36"/>
    <cellStyle name="$ 2 2" xfId="73"/>
    <cellStyle name="$ 3" xfId="23"/>
    <cellStyle name="$ 3 2" xfId="78"/>
    <cellStyle name="$ 4" xfId="17"/>
    <cellStyle name="$ w/o $" xfId="81"/>
    <cellStyle name="$_#624" xfId="10"/>
    <cellStyle name="$_#624_NEWEST" xfId="30"/>
    <cellStyle name="$_#624_U204" xfId="5"/>
    <cellStyle name="$_#624_V126HOOD" xfId="84"/>
    <cellStyle name="$_Calculations" xfId="85"/>
    <cellStyle name="$_Calculations 2" xfId="22"/>
    <cellStyle name="$_Calculations 2 2" xfId="74"/>
    <cellStyle name="$_Calculations 3" xfId="16"/>
    <cellStyle name="$_Calculations 3 2" xfId="88"/>
    <cellStyle name="$_Calculations 4" xfId="92"/>
    <cellStyle name="$_Revenue Updated" xfId="95"/>
    <cellStyle name="$_Revenue Updated 2" xfId="97"/>
    <cellStyle name="$_Revenue Updated 2 2" xfId="99"/>
    <cellStyle name="$_Revenue Updated 3" xfId="101"/>
    <cellStyle name="$_Revenue Updated 3 2" xfId="103"/>
    <cellStyle name="$_Revenue Updated 4" xfId="105"/>
    <cellStyle name="$_U204_01M" xfId="107"/>
    <cellStyle name="$0" xfId="4"/>
    <cellStyle name="$0 2" xfId="40"/>
    <cellStyle name="$0.0" xfId="67"/>
    <cellStyle name="$0.0 2" xfId="110"/>
    <cellStyle name="$0.0 3" xfId="111"/>
    <cellStyle name="$0.00" xfId="112"/>
    <cellStyle name="$0.00 2" xfId="114"/>
    <cellStyle name="$0.00 3" xfId="116"/>
    <cellStyle name="$0.00 4" xfId="118"/>
    <cellStyle name="$0_!!!GO" xfId="119"/>
    <cellStyle name="$one" xfId="122"/>
    <cellStyle name="$one 2" xfId="15"/>
    <cellStyle name="$one 2 2" xfId="87"/>
    <cellStyle name="$one 3" xfId="91"/>
    <cellStyle name="$one 3 2" xfId="124"/>
    <cellStyle name="$one 4" xfId="126"/>
    <cellStyle name="$two" xfId="127"/>
    <cellStyle name="$two 2" xfId="128"/>
    <cellStyle name="$two 2 2" xfId="132"/>
    <cellStyle name="$two 3" xfId="134"/>
    <cellStyle name="$two 3 2" xfId="135"/>
    <cellStyle name="$two 4" xfId="136"/>
    <cellStyle name="%" xfId="137"/>
    <cellStyle name="％" xfId="61"/>
    <cellStyle name="%0" xfId="138"/>
    <cellStyle name="%0 2" xfId="141"/>
    <cellStyle name="%0.0" xfId="143"/>
    <cellStyle name="%0.0 2" xfId="145"/>
    <cellStyle name="%0.0 3" xfId="146"/>
    <cellStyle name="%0.0 4" xfId="147"/>
    <cellStyle name="%0_02-All-In-Cy-Facer 1f #2" xfId="148"/>
    <cellStyle name="%one" xfId="31"/>
    <cellStyle name="%one 2" xfId="150"/>
    <cellStyle name="%two" xfId="151"/>
    <cellStyle name="％小数点1桁" xfId="152"/>
    <cellStyle name="％小数点2桁" xfId="155"/>
    <cellStyle name="?? [0.00]_PRODUCT DETAIL Q1" xfId="157"/>
    <cellStyle name="?? [0]_1202" xfId="159"/>
    <cellStyle name="???? [0.00]_PRODUCT DETAIL Q1" xfId="161"/>
    <cellStyle name="????_PRODUCT DETAIL Q1" xfId="162"/>
    <cellStyle name="???_HOBONG" xfId="165"/>
    <cellStyle name="??_(????)??????" xfId="167"/>
    <cellStyle name="’Ê‰Ý [0.00]_!!!GO" xfId="49"/>
    <cellStyle name="’Ê‰Ý_!!!GO" xfId="168"/>
    <cellStyle name="¤@¯EVa. Vol and seg" xfId="169"/>
    <cellStyle name="¤@¯EVa. Vol and seg 2" xfId="109"/>
    <cellStyle name="¤@¯ë_Va. Vol and seg" xfId="170"/>
    <cellStyle name="•\Ž¦Ï‚Ý‚ÌƒnƒCƒp[ƒŠƒ“ƒN" xfId="171"/>
    <cellStyle name="•\Ž¦Ï‚Ý‚ÌƒnƒCƒp[ƒŠƒ“ƒN 2" xfId="173"/>
    <cellStyle name="•\Ž¦Ï‚Ý‚ÌƒnƒCƒp[ƒŠƒ“ƒN 3" xfId="174"/>
    <cellStyle name="•W?_!!!GO" xfId="175"/>
    <cellStyle name="•W€_!!!GO" xfId="177"/>
    <cellStyle name="\¦ÏÝÌnCp[N" xfId="179"/>
    <cellStyle name="nCp[N" xfId="181"/>
    <cellStyle name="W_ÊÞÝÆÝ¸Þvæ\" xfId="184"/>
    <cellStyle name="0" xfId="65"/>
    <cellStyle name="0 2" xfId="185"/>
    <cellStyle name="0 3" xfId="187"/>
    <cellStyle name="0 4" xfId="189"/>
    <cellStyle name="0.0" xfId="180"/>
    <cellStyle name="0.0 2" xfId="191"/>
    <cellStyle name="0.0 3" xfId="192"/>
    <cellStyle name="0.00" xfId="193"/>
    <cellStyle name="0.00 2" xfId="194"/>
    <cellStyle name="0_!!!GO" xfId="196"/>
    <cellStyle name="0_02-All-In-Cy-Facer 1f #2" xfId="197"/>
    <cellStyle name="0_2.3L DISI vs. 2.0L DISI TC v3" xfId="198"/>
    <cellStyle name="0_2.3L DISI vs. 2.0L DISI TC v5" xfId="201"/>
    <cellStyle name="0_2_6BIW_CPall_1908" xfId="204"/>
    <cellStyle name="0_2000 Business Plan (93)" xfId="206"/>
    <cellStyle name="0_2000 Business Plan (93) 2" xfId="207"/>
    <cellStyle name="0_2000 Business Plan (93) 3" xfId="209"/>
    <cellStyle name="0_2001A PCB Facer 300701" xfId="212"/>
    <cellStyle name="0_2001A PCB Facer EXTERNAL 010801" xfId="213"/>
    <cellStyle name="0_2001Forecast" xfId="214"/>
    <cellStyle name="0_2001Forecast 2" xfId="215"/>
    <cellStyle name="0_2001Forecast 3" xfId="216"/>
    <cellStyle name="0_2001PCPa10_TS" xfId="56"/>
    <cellStyle name="0_2006 F236 SI Submission SBU" xfId="217"/>
    <cellStyle name="0_2006 F236 SI Submission SBU 2" xfId="210"/>
    <cellStyle name="0_2006 F236 SI Submission SBU 3" xfId="41"/>
    <cellStyle name="0_21F" xfId="219"/>
    <cellStyle name="0_Atlanta Launch Plan 08072003" xfId="13"/>
    <cellStyle name="0_Atlanta Launch Plan 08072003 2" xfId="222"/>
    <cellStyle name="0_Atlanta Launch Plan 08072003 3" xfId="79"/>
    <cellStyle name="0_CD340 1PPFEUIB TD Draft 2005 04 08" xfId="224"/>
    <cellStyle name="0_CD340 PVBR Issue#000 updated 2005 04 141" xfId="225"/>
    <cellStyle name="0_CD340 PVBR Issue#005a" xfId="226"/>
    <cellStyle name="0_commodity_190701" xfId="227"/>
    <cellStyle name="0_CY2001_Absolute Pagel" xfId="77"/>
    <cellStyle name="0_CY2001_Absolute Pagel 2" xfId="228"/>
    <cellStyle name="0_CY2001_Absolute Pagel 3" xfId="42"/>
    <cellStyle name="0_DEF_FACT (2)" xfId="231"/>
    <cellStyle name="0_DieselStV for MT Review Mar 14" xfId="232"/>
    <cellStyle name="0_download" xfId="233"/>
    <cellStyle name="0_download cd345 pdl feature 31012005" xfId="230"/>
    <cellStyle name="0_EOC Paper 230701_final_4" xfId="234"/>
    <cellStyle name="0_EOC Paper 230701_final_41" xfId="203"/>
    <cellStyle name="0_F236 _SC_ VO Management Review 1-17-03" xfId="236"/>
    <cellStyle name="0_F236 _SC_ VO Management Review 1-17-03 2" xfId="238"/>
    <cellStyle name="0_F236 _SC_ VO Management Review 1-17-03 3" xfId="239"/>
    <cellStyle name="0_F236 SC 1-15-03 Matrix " xfId="241"/>
    <cellStyle name="0_F236 SC 1-15-03 Matrix  2" xfId="244"/>
    <cellStyle name="0_F236 SC 1-15-03 Matrix  3" xfId="247"/>
    <cellStyle name="0_F236(7) VO Management Review" xfId="66"/>
    <cellStyle name="0_F236(7) VO Management Review 2" xfId="186"/>
    <cellStyle name="0_F236(7) VO Management Review 3" xfId="188"/>
    <cellStyle name="0_Fairlane Atlanta Launch Plan2" xfId="248"/>
    <cellStyle name="0_Fairlane Atlanta Launch Plan2 2" xfId="249"/>
    <cellStyle name="0_Fairlane Atlanta Launch Plan2 3" xfId="250"/>
    <cellStyle name="0_Fairlane Atlanta Launch Plan21" xfId="252"/>
    <cellStyle name="0_Fairlane Atlanta Launch Plan21 2" xfId="254"/>
    <cellStyle name="0_Fairlane Atlanta Launch Plan21 3" xfId="257"/>
    <cellStyle name="0_Features" xfId="256"/>
    <cellStyle name="0_FP2000" xfId="258"/>
    <cellStyle name="0_FP2000 2" xfId="259"/>
    <cellStyle name="0_FP2000 3" xfId="260"/>
    <cellStyle name="0_I6 in CD3xx_v6" xfId="263"/>
    <cellStyle name="0_Investment Summary" xfId="38"/>
    <cellStyle name="0_Investment Summary 2" xfId="265"/>
    <cellStyle name="0_Investment Summary 3" xfId="267"/>
    <cellStyle name="0_June Freeze Status launch Index" xfId="268"/>
    <cellStyle name="0_LaunchBusPlan w 020501cycleplanchanges" xfId="269"/>
    <cellStyle name="0_LaunchBusPlan w 020501cycleplanchanges 2" xfId="176"/>
    <cellStyle name="0_LaunchBusPlan w 020501cycleplanchanges 3" xfId="271"/>
    <cellStyle name="0_Oakville_mop" xfId="272"/>
    <cellStyle name="0_Oakville_mop 2" xfId="274"/>
    <cellStyle name="0_P2f" xfId="276"/>
    <cellStyle name="0_PJD review" xfId="277"/>
    <cellStyle name="0_PJD review 2" xfId="279"/>
    <cellStyle name="0_PJD review 3" xfId="281"/>
    <cellStyle name="0_Prelim BP" xfId="285"/>
    <cellStyle name="0_Prelim BP 2" xfId="7"/>
    <cellStyle name="0_Prelim BP 3" xfId="286"/>
    <cellStyle name="0_Program metrics 251102" xfId="289"/>
    <cellStyle name="0_RJK Review 1.5" xfId="129"/>
    <cellStyle name="0_RJK Review 1.5 2" xfId="133"/>
    <cellStyle name="0_RJK Review 1.5 3" xfId="108"/>
    <cellStyle name="0_Sheet2" xfId="293"/>
    <cellStyle name="0_Stage V Ph 1 Dsl Tracking Charts" xfId="296"/>
    <cellStyle name="0_Stage V Ph 1 Dsl Tracking Charts v2" xfId="243"/>
    <cellStyle name="0_Sub B  B Car Cycle Plan Facer" xfId="297"/>
    <cellStyle name="0_Submission1" xfId="264"/>
    <cellStyle name="0_Submission1 2" xfId="299"/>
    <cellStyle name="0_summary1" xfId="300"/>
    <cellStyle name="0_summary1 2" xfId="301"/>
    <cellStyle name="0_summary1 3" xfId="302"/>
    <cellStyle name="0_VO Management Review Template - F236" xfId="303"/>
    <cellStyle name="0_VO Management Review Template - F236 2" xfId="160"/>
    <cellStyle name="0_VO Management Review Template - F236 3" xfId="305"/>
    <cellStyle name="0_WLI Cycle Plan Graph A" xfId="307"/>
    <cellStyle name="0_XX98CALB" xfId="310"/>
    <cellStyle name="0_XX98CALB 2" xfId="312"/>
    <cellStyle name="0_XX98CALB 3" xfId="156"/>
    <cellStyle name="1" xfId="71"/>
    <cellStyle name="1 2" xfId="315"/>
    <cellStyle name="1 3" xfId="318"/>
    <cellStyle name="1 4" xfId="322"/>
    <cellStyle name="1_1" xfId="323"/>
    <cellStyle name="1_1 2" xfId="153"/>
    <cellStyle name="1_1 3" xfId="325"/>
    <cellStyle name="1_1 4" xfId="326"/>
    <cellStyle name="1_1_1" xfId="90"/>
    <cellStyle name="1_1_1 2" xfId="123"/>
    <cellStyle name="1_1_1 3" xfId="328"/>
    <cellStyle name="1_1_1 4" xfId="332"/>
    <cellStyle name="1_1_1_D&amp;A" xfId="334"/>
    <cellStyle name="1_1_1_Master_StatusCharts_39adj" xfId="335"/>
    <cellStyle name="1_1_D&amp;A" xfId="240"/>
    <cellStyle name="1_1_Master_StatusCharts_39adj" xfId="337"/>
    <cellStyle name="1_D&amp;A" xfId="338"/>
    <cellStyle name="1_Master_StatusCharts_39adj" xfId="340"/>
    <cellStyle name="1_Summary L" xfId="341"/>
    <cellStyle name="1_Summary L 2" xfId="304"/>
    <cellStyle name="1_Summary L 3" xfId="342"/>
    <cellStyle name="1_Summary L 4" xfId="86"/>
    <cellStyle name="1_Summary L_D&amp;A" xfId="130"/>
    <cellStyle name="1_Summary L_Master_StatusCharts_39adj" xfId="333"/>
    <cellStyle name="20% - Accent1 2" xfId="331"/>
    <cellStyle name="20% - Accent2 2" xfId="343"/>
    <cellStyle name="20% - Accent3 2" xfId="47"/>
    <cellStyle name="20% - Accent4 2" xfId="345"/>
    <cellStyle name="20% - Accent5 2" xfId="164"/>
    <cellStyle name="20% - Accent6 2" xfId="346"/>
    <cellStyle name="40% - Accent1 2" xfId="142"/>
    <cellStyle name="40% - Accent2 2" xfId="348"/>
    <cellStyle name="40% - Accent3 2" xfId="349"/>
    <cellStyle name="40% - Accent4 2" xfId="290"/>
    <cellStyle name="40% - Accent5 2" xfId="350"/>
    <cellStyle name="40% - Accent6 2" xfId="351"/>
    <cellStyle name="60% - Accent1 2" xfId="295"/>
    <cellStyle name="60% - Accent2 2" xfId="353"/>
    <cellStyle name="60% - Accent3 2" xfId="356"/>
    <cellStyle name="60% - Accent4 2" xfId="358"/>
    <cellStyle name="60% - Accent5 2" xfId="360"/>
    <cellStyle name="60% - Accent6 2" xfId="336"/>
    <cellStyle name="ac" xfId="104"/>
    <cellStyle name="ac 2" xfId="361"/>
    <cellStyle name="ac 3" xfId="355"/>
    <cellStyle name="Accent1 2" xfId="89"/>
    <cellStyle name="Accent2 2" xfId="113"/>
    <cellStyle name="Accent3 2" xfId="362"/>
    <cellStyle name="Accent4 2" xfId="363"/>
    <cellStyle name="Accent5 2" xfId="365"/>
    <cellStyle name="Accent6 2" xfId="37"/>
    <cellStyle name="AeE­ [0]_INQUIRY ¿?¾÷AßAø " xfId="211"/>
    <cellStyle name="AeE­_INQUIRY ¿?¾÷AßAø " xfId="366"/>
    <cellStyle name="args.style" xfId="6"/>
    <cellStyle name="args.style 2" xfId="369"/>
    <cellStyle name="args.style 3" xfId="371"/>
    <cellStyle name="Array-Entered" xfId="372"/>
    <cellStyle name="Array-Entered 2" xfId="374"/>
    <cellStyle name="AÞ¸¶ [0]_INQUIRY ¿?¾÷AßAø " xfId="375"/>
    <cellStyle name="AÞ¸¶_INQUIRY ¿?¾÷AßAø " xfId="25"/>
    <cellStyle name="AutoFormat-Optionen" xfId="100"/>
    <cellStyle name="AutoFormat-Optionen 2" xfId="102"/>
    <cellStyle name="AutoFormat-Optionen 2 2" xfId="376"/>
    <cellStyle name="Bad 2" xfId="270"/>
    <cellStyle name="Bolivars" xfId="377"/>
    <cellStyle name="Bolivars 2" xfId="166"/>
    <cellStyle name="Bottom Row" xfId="55"/>
    <cellStyle name="BoxedTotal" xfId="378"/>
    <cellStyle name="BuiltOption_Content" xfId="379"/>
    <cellStyle name="C?AØ_¿?¾÷CoE² " xfId="381"/>
    <cellStyle name="C￥AØ_¿μ¾÷CoE² " xfId="384"/>
    <cellStyle name="Calc Currency (0)" xfId="385"/>
    <cellStyle name="Calc Currency (0) 2" xfId="386"/>
    <cellStyle name="Calc Currency (0) 3" xfId="367"/>
    <cellStyle name="Calc Currency (0) 4" xfId="370"/>
    <cellStyle name="Calc Currency (2)" xfId="387"/>
    <cellStyle name="Calc Currency (2) 2" xfId="388"/>
    <cellStyle name="Calc Currency (2) 3" xfId="389"/>
    <cellStyle name="Calc Percent (0)" xfId="390"/>
    <cellStyle name="Calc Percent (1)" xfId="12"/>
    <cellStyle name="Calc Percent (1) 2" xfId="221"/>
    <cellStyle name="Calc Percent (1) 3" xfId="76"/>
    <cellStyle name="Calc Percent (2)" xfId="28"/>
    <cellStyle name="Calc Percent (2) 2" xfId="391"/>
    <cellStyle name="Calc Percent (2) 3" xfId="392"/>
    <cellStyle name="Calc Units (0)" xfId="26"/>
    <cellStyle name="Calc Units (0) 2" xfId="34"/>
    <cellStyle name="Calc Units (0) 3" xfId="39"/>
    <cellStyle name="Calc Units (1)" xfId="393"/>
    <cellStyle name="Calc Units (1) 2" xfId="308"/>
    <cellStyle name="Calc Units (1) 2 2" xfId="311"/>
    <cellStyle name="Calc Units (1) 3" xfId="140"/>
    <cellStyle name="Calc Units (1) 3 2" xfId="54"/>
    <cellStyle name="Calc Units (1) 4" xfId="93"/>
    <cellStyle name="Calc Units (2)" xfId="394"/>
    <cellStyle name="Calc Units (2) 2" xfId="395"/>
    <cellStyle name="Calculation 2" xfId="383"/>
    <cellStyle name="category" xfId="396"/>
    <cellStyle name="category 2" xfId="397"/>
    <cellStyle name="category 3" xfId="253"/>
    <cellStyle name="category 4" xfId="255"/>
    <cellStyle name="Check Cell 2" xfId="399"/>
    <cellStyle name="col head" xfId="183"/>
    <cellStyle name="col headu" xfId="359"/>
    <cellStyle name="CombinedVol_Data" xfId="400"/>
    <cellStyle name="Comma [00]" xfId="401"/>
    <cellStyle name="Comma [00] 2" xfId="44"/>
    <cellStyle name="Comma [00] 3" xfId="58"/>
    <cellStyle name="Comma [00] 4" xfId="60"/>
    <cellStyle name="comma zerodec" xfId="402"/>
    <cellStyle name="Comma, 0" xfId="117"/>
    <cellStyle name="Comma, 0 2" xfId="403"/>
    <cellStyle name="Comma, 0 3" xfId="19"/>
    <cellStyle name="Comma, 0 4" xfId="404"/>
    <cellStyle name="Comma[2]" xfId="139"/>
    <cellStyle name="Comma[2] 2" xfId="53"/>
    <cellStyle name="Comma0" xfId="405"/>
    <cellStyle name="Currency $" xfId="407"/>
    <cellStyle name="Currency $ 2" xfId="273"/>
    <cellStyle name="Currency $ 2 2" xfId="275"/>
    <cellStyle name="Currency $ 3" xfId="9"/>
    <cellStyle name="Currency $ 4" xfId="408"/>
    <cellStyle name="Currency [00]" xfId="106"/>
    <cellStyle name="Currency [00] 2" xfId="411"/>
    <cellStyle name="Currency[2]" xfId="329"/>
    <cellStyle name="Currency[2] 2" xfId="412"/>
    <cellStyle name="Currency[2] 3" xfId="220"/>
    <cellStyle name="Currency[2] 4" xfId="75"/>
    <cellStyle name="Currency0" xfId="413"/>
    <cellStyle name="Currency1" xfId="195"/>
    <cellStyle name="custom" xfId="48"/>
    <cellStyle name="custom 2" xfId="70"/>
    <cellStyle name="custom 3" xfId="416"/>
    <cellStyle name="custom 4" xfId="29"/>
    <cellStyle name="date" xfId="121"/>
    <cellStyle name="Date 2" xfId="14"/>
    <cellStyle name="Date Short" xfId="35"/>
    <cellStyle name="Date Short 2" xfId="72"/>
    <cellStyle name="date_01.75m205b" xfId="8"/>
    <cellStyle name="Decimal (0)" xfId="417"/>
    <cellStyle name="Decimal (1)" xfId="144"/>
    <cellStyle name="Decimal (2)" xfId="418"/>
    <cellStyle name="DELTA" xfId="419"/>
    <cellStyle name="DELTA 2" xfId="420"/>
    <cellStyle name="DELTA 3" xfId="422"/>
    <cellStyle name="Dialog / Menu / Toolbar" xfId="262"/>
    <cellStyle name="Dialog / Menu / Toolbar 2" xfId="424"/>
    <cellStyle name="dlrs_no_decimal" xfId="426"/>
    <cellStyle name="Dollar (zero dec)" xfId="427"/>
    <cellStyle name="Dollars" xfId="149"/>
    <cellStyle name="Dollars 2" xfId="24"/>
    <cellStyle name="Dollars 3" xfId="428"/>
    <cellStyle name="Dollars 4" xfId="410"/>
    <cellStyle name="Edited_Data" xfId="429"/>
    <cellStyle name="End of Section" xfId="200"/>
    <cellStyle name="End of Section 2" xfId="431"/>
    <cellStyle name="Enter Currency (0)" xfId="432"/>
    <cellStyle name="Enter Currency (0) 2" xfId="433"/>
    <cellStyle name="Enter Currency (0) 3" xfId="434"/>
    <cellStyle name="Enter Currency (0) 4" xfId="435"/>
    <cellStyle name="Enter Currency (2)" xfId="94"/>
    <cellStyle name="Enter Currency (2) 2" xfId="96"/>
    <cellStyle name="Enter Units (0)" xfId="46"/>
    <cellStyle name="Enter Units (0) 2" xfId="436"/>
    <cellStyle name="Enter Units (0) 3" xfId="199"/>
    <cellStyle name="Enter Units (0) 4" xfId="437"/>
    <cellStyle name="Enter Units (1)" xfId="425"/>
    <cellStyle name="Enter Units (1) 2" xfId="438"/>
    <cellStyle name="Enter Units (2)" xfId="98"/>
    <cellStyle name="Enter Units (2) 2" xfId="83"/>
    <cellStyle name="Estimated_Data" xfId="441"/>
    <cellStyle name="Euro" xfId="251"/>
    <cellStyle name="Explanatory Text 2" xfId="442"/>
    <cellStyle name="Fill" xfId="444"/>
    <cellStyle name="Fixed" xfId="445"/>
    <cellStyle name="ƒnƒCƒp[ƒŠƒ“ƒN" xfId="446"/>
    <cellStyle name="ƒnƒCƒp[ƒŠƒ“ƒN 2" xfId="447"/>
    <cellStyle name="ƒnƒCƒp[ƒŠƒ“ƒN 3" xfId="448"/>
    <cellStyle name="Forecast_Data" xfId="449"/>
    <cellStyle name="gap9" xfId="52"/>
    <cellStyle name="General" xfId="125"/>
    <cellStyle name="General 2" xfId="450"/>
    <cellStyle name="Good 2" xfId="451"/>
    <cellStyle name="Grand Total" xfId="347"/>
    <cellStyle name="Grey" xfId="452"/>
    <cellStyle name="Grey 2" xfId="288"/>
    <cellStyle name="Grey 3" xfId="284"/>
    <cellStyle name="HEADER" xfId="294"/>
    <cellStyle name="HEADER 2" xfId="406"/>
    <cellStyle name="HEADER 3" xfId="352"/>
    <cellStyle name="HEADER 4" xfId="205"/>
    <cellStyle name="Header1" xfId="280"/>
    <cellStyle name="Header1 2" xfId="208"/>
    <cellStyle name="Header1 3" xfId="453"/>
    <cellStyle name="Header2" xfId="454"/>
    <cellStyle name="Header2 2" xfId="440"/>
    <cellStyle name="Header2 3" xfId="455"/>
    <cellStyle name="Heading 1 2" xfId="457"/>
    <cellStyle name="Heading 2 2" xfId="423"/>
    <cellStyle name="Heading 3 2" xfId="69"/>
    <cellStyle name="Heading 4 2" xfId="298"/>
    <cellStyle name="HEADING1" xfId="223"/>
    <cellStyle name="HEADING2" xfId="235"/>
    <cellStyle name="Hyperlink 2" xfId="57"/>
    <cellStyle name="Hyperlink 3" xfId="59"/>
    <cellStyle name="Hyperlink 4" xfId="63"/>
    <cellStyle name="Input [yellow]" xfId="458"/>
    <cellStyle name="Input [yellow] 2" xfId="460"/>
    <cellStyle name="Input [yellow] 3" xfId="443"/>
    <cellStyle name="Input 10" xfId="306"/>
    <cellStyle name="Input 11" xfId="158"/>
    <cellStyle name="Input 12" xfId="461"/>
    <cellStyle name="Input 13" xfId="32"/>
    <cellStyle name="Input 14" xfId="33"/>
    <cellStyle name="Input 2" xfId="11"/>
    <cellStyle name="Input 3" xfId="62"/>
    <cellStyle name="Input 4" xfId="64"/>
    <cellStyle name="Input 5" xfId="68"/>
    <cellStyle name="Input 6" xfId="414"/>
    <cellStyle name="Input 7" xfId="27"/>
    <cellStyle name="Input 8" xfId="463"/>
    <cellStyle name="Input 9" xfId="373"/>
    <cellStyle name="Item_Current" xfId="465"/>
    <cellStyle name="Link Currency (0)" xfId="131"/>
    <cellStyle name="Link Currency (0) 2" xfId="466"/>
    <cellStyle name="Link Currency (0) 3" xfId="467"/>
    <cellStyle name="Link Currency (0) 4" xfId="51"/>
    <cellStyle name="Link Currency (2)" xfId="468"/>
    <cellStyle name="Link Currency (2) 2" xfId="469"/>
    <cellStyle name="Link Units (0)" xfId="50"/>
    <cellStyle name="Link Units (0) 2" xfId="327"/>
    <cellStyle name="Link Units (0) 3" xfId="330"/>
    <cellStyle name="Link Units (0) 4" xfId="380"/>
    <cellStyle name="Link Units (1)" xfId="43"/>
    <cellStyle name="Link Units (1) 2" xfId="470"/>
    <cellStyle name="Link Units (2)" xfId="471"/>
    <cellStyle name="Link Units (2) 2" xfId="472"/>
    <cellStyle name="Linked Cell 2" xfId="163"/>
    <cellStyle name="Macro Header" xfId="456"/>
    <cellStyle name="Macro Header 2" xfId="474"/>
    <cellStyle name="Macro Routine" xfId="475"/>
    <cellStyle name="Macro Routine 2" xfId="477"/>
    <cellStyle name="mart Two-Step Locking" xfId="459"/>
    <cellStyle name="mart Two-Step Locking 2" xfId="478"/>
    <cellStyle name="mdspezi" xfId="154"/>
    <cellStyle name="Millares [0]_!!!GO" xfId="473"/>
    <cellStyle name="Millares_!!!GO" xfId="439"/>
    <cellStyle name="Milliers [0]_!!!GO" xfId="278"/>
    <cellStyle name="Milliers_!!!GO" xfId="364"/>
    <cellStyle name="Model" xfId="172"/>
    <cellStyle name="Model 2" xfId="479"/>
    <cellStyle name="Model 3" xfId="202"/>
    <cellStyle name="Model 4" xfId="480"/>
    <cellStyle name="Moeda [0]_laroux" xfId="481"/>
    <cellStyle name="Moeda_laroux" xfId="324"/>
    <cellStyle name="Mon?aire [0]_!!!GO" xfId="245"/>
    <cellStyle name="Mon?aire_!!!GO" xfId="120"/>
    <cellStyle name="Moneda [0]_!!!GO" xfId="482"/>
    <cellStyle name="Moneda_!!!GO" xfId="178"/>
    <cellStyle name="Monétaire [0]_!!!GO" xfId="344"/>
    <cellStyle name="Monétaire_!!!GO" xfId="476"/>
    <cellStyle name="Mon騁aire [0]_!!!GO" xfId="182"/>
    <cellStyle name="Mon騁aire_!!!GO" xfId="237"/>
    <cellStyle name="Neutral 2" xfId="321"/>
    <cellStyle name="Neutral 2 2" xfId="20"/>
    <cellStyle name="Neutral 3" xfId="45"/>
    <cellStyle name="New Times Roman" xfId="242"/>
    <cellStyle name="no dec" xfId="382"/>
    <cellStyle name="Normal - Style1" xfId="218"/>
    <cellStyle name="Normal - Style1 2" xfId="291"/>
    <cellStyle name="Normal - Style1 2 2" xfId="3"/>
    <cellStyle name="Normal - Style1 3" xfId="483"/>
    <cellStyle name="Normal - Style1 4" xfId="2"/>
    <cellStyle name="Normal 10" xfId="484"/>
    <cellStyle name="Normal 11" xfId="485"/>
    <cellStyle name="Normal 12" xfId="398"/>
    <cellStyle name="Normal 13" xfId="287"/>
    <cellStyle name="Normal 14" xfId="283"/>
    <cellStyle name="Normal 142" xfId="464"/>
    <cellStyle name="Normal 142 2" xfId="486"/>
    <cellStyle name="Normal 144" xfId="261"/>
    <cellStyle name="Normal 15" xfId="314"/>
    <cellStyle name="Normal 152" xfId="266"/>
    <cellStyle name="Normal 153" xfId="82"/>
    <cellStyle name="Normal 16" xfId="317"/>
    <cellStyle name="Normal 17" xfId="320"/>
    <cellStyle name="Normal 18" xfId="488"/>
    <cellStyle name="Normal 19" xfId="490"/>
    <cellStyle name="Normal 2" xfId="492"/>
    <cellStyle name="Normal 2 2" xfId="493"/>
    <cellStyle name="Normal 2 3" xfId="494"/>
    <cellStyle name="Normal 20" xfId="313"/>
    <cellStyle name="Normal 21" xfId="316"/>
    <cellStyle name="Normal 22" xfId="319"/>
    <cellStyle name="Normal 23" xfId="487"/>
    <cellStyle name="Normal 24" xfId="489"/>
    <cellStyle name="Normal 25" xfId="495"/>
    <cellStyle name="Normal 26" xfId="496"/>
    <cellStyle name="Normal 27" xfId="339"/>
    <cellStyle name="Normal 3" xfId="497"/>
    <cellStyle name="Normal 3 2" xfId="229"/>
    <cellStyle name="Normal 4" xfId="498"/>
    <cellStyle name="Normal 5" xfId="499"/>
    <cellStyle name="Normal 5 2" xfId="462"/>
    <cellStyle name="Normal 6" xfId="500"/>
    <cellStyle name="Normal 7" xfId="501"/>
    <cellStyle name="Normal 8" xfId="502"/>
    <cellStyle name="Normal 9" xfId="503"/>
    <cellStyle name="Normal Summary" xfId="430"/>
    <cellStyle name="Normal_CP Concern Chart" xfId="504"/>
    <cellStyle name="Normal_NML Charts" xfId="505"/>
    <cellStyle name="Normal1" xfId="506"/>
    <cellStyle name="Note 2" xfId="507"/>
    <cellStyle name="Notiz 2" xfId="508"/>
    <cellStyle name="Notiz 2 2" xfId="509"/>
    <cellStyle name="Œ…‹æØ‚è [0.00]_!!!GO" xfId="510"/>
    <cellStyle name="Œ…‹æØ‚è_!!!GO" xfId="511"/>
    <cellStyle name="one" xfId="512"/>
    <cellStyle name="one 2" xfId="513"/>
    <cellStyle name="one 2 2" xfId="514"/>
    <cellStyle name="one 3" xfId="515"/>
    <cellStyle name="one 3 2" xfId="517"/>
    <cellStyle name="one 4" xfId="518"/>
    <cellStyle name="Option_Added_Cont_Desc" xfId="519"/>
    <cellStyle name="Output 2" xfId="520"/>
    <cellStyle name="Pct w/ Pts" xfId="521"/>
    <cellStyle name="Pct w/ Pts 2" xfId="415"/>
    <cellStyle name="Pct w/o Pts" xfId="522"/>
    <cellStyle name="Pct w/o Pts 2" xfId="523"/>
    <cellStyle name="Pct w/o Pts 2 2" xfId="524"/>
    <cellStyle name="Pct w/o Pts 3" xfId="525"/>
    <cellStyle name="per.style" xfId="526"/>
    <cellStyle name="per.style 2" xfId="357"/>
    <cellStyle name="Percent [0]" xfId="527"/>
    <cellStyle name="Percent [0] 2" xfId="528"/>
    <cellStyle name="Percent [00]" xfId="529"/>
    <cellStyle name="Percent [00] 2" xfId="530"/>
    <cellStyle name="Percent [00] 3" xfId="531"/>
    <cellStyle name="Percent [00] 4" xfId="532"/>
    <cellStyle name="Percent [2]" xfId="533"/>
    <cellStyle name="Percent [2] 2" xfId="534"/>
    <cellStyle name="Percent [2] 2 2" xfId="535"/>
    <cellStyle name="Percent [2] 3" xfId="536"/>
    <cellStyle name="Percent [2] 4" xfId="537"/>
    <cellStyle name="Percent w/o%" xfId="516"/>
    <cellStyle name="Percent w/o% 2" xfId="538"/>
    <cellStyle name="Percent%" xfId="539"/>
    <cellStyle name="Percent% 2" xfId="540"/>
    <cellStyle name="Percent[0]" xfId="541"/>
    <cellStyle name="Percent[0] 2" xfId="542"/>
    <cellStyle name="Percent[2]" xfId="543"/>
    <cellStyle name="Percent[2] 2" xfId="421"/>
    <cellStyle name="PERCENTAGE" xfId="544"/>
    <cellStyle name="Pounds" xfId="115"/>
    <cellStyle name="Preliminary_Data" xfId="545"/>
    <cellStyle name="PrePop Currency (0)" xfId="547"/>
    <cellStyle name="PrePop Currency (0) 2" xfId="548"/>
    <cellStyle name="PrePop Currency (0) 3" xfId="549"/>
    <cellStyle name="PrePop Currency (0) 4" xfId="309"/>
    <cellStyle name="PrePop Currency (2)" xfId="550"/>
    <cellStyle name="PrePop Currency (2) 2" xfId="551"/>
    <cellStyle name="PrePop Units (0)" xfId="552"/>
    <cellStyle name="PrePop Units (0) 2" xfId="553"/>
    <cellStyle name="PrePop Units (0) 3" xfId="554"/>
    <cellStyle name="PrePop Units (0) 4" xfId="555"/>
    <cellStyle name="PrePop Units (1)" xfId="556"/>
    <cellStyle name="PrePop Units (1) 2" xfId="557"/>
    <cellStyle name="PrePop Units (2)" xfId="558"/>
    <cellStyle name="PrePop Units (2) 2" xfId="559"/>
    <cellStyle name="Prices_Data" xfId="560"/>
    <cellStyle name="PSChar" xfId="561"/>
    <cellStyle name="PSChar 2" xfId="562"/>
    <cellStyle name="PSChar 3" xfId="563"/>
    <cellStyle name="PSDate" xfId="564"/>
    <cellStyle name="PSDate 2" xfId="565"/>
    <cellStyle name="PSDec" xfId="566"/>
    <cellStyle name="PSDec 2" xfId="567"/>
    <cellStyle name="PSHeading" xfId="568"/>
    <cellStyle name="PSHeading 2" xfId="569"/>
    <cellStyle name="PSHeading 3" xfId="570"/>
    <cellStyle name="PSInt" xfId="571"/>
    <cellStyle name="PSInt 2" xfId="572"/>
    <cellStyle name="PSSpacer" xfId="573"/>
    <cellStyle name="PSSpacer 2" xfId="574"/>
    <cellStyle name="PSSpacer 3" xfId="575"/>
    <cellStyle name="reg_no_decimal" xfId="576"/>
    <cellStyle name="RQDcells" xfId="577"/>
    <cellStyle name="RQDheading" xfId="578"/>
    <cellStyle name="RQDserial" xfId="579"/>
    <cellStyle name="RQDtop" xfId="580"/>
    <cellStyle name="Section Border" xfId="581"/>
    <cellStyle name="Section Border 2" xfId="582"/>
    <cellStyle name="Separador de milhares [0]_laroux" xfId="583"/>
    <cellStyle name="Separador de milhares_laroux" xfId="584"/>
    <cellStyle name="sht title" xfId="585"/>
    <cellStyle name="STANDARD 2" xfId="586"/>
    <cellStyle name="Standard 3" xfId="587"/>
    <cellStyle name="Standard 3 2" xfId="588"/>
    <cellStyle name="Standard 3 2 2" xfId="589"/>
    <cellStyle name="Standard 3 3" xfId="590"/>
    <cellStyle name="Standard 4" xfId="591"/>
    <cellStyle name="Standard 4 2" xfId="592"/>
    <cellStyle name="Standard 5" xfId="593"/>
    <cellStyle name="Standard 5 2" xfId="594"/>
    <cellStyle name="Standard 6" xfId="595"/>
    <cellStyle name="Standard 6 2" xfId="596"/>
    <cellStyle name="Standard 7" xfId="597"/>
    <cellStyle name="Standard 7 2" xfId="282"/>
    <cellStyle name="Standard_C344 Body Buck draft #5 TD" xfId="598"/>
    <cellStyle name="subhead" xfId="599"/>
    <cellStyle name="subhead 2" xfId="246"/>
    <cellStyle name="subhead 3" xfId="21"/>
    <cellStyle name="subhead 4" xfId="190"/>
    <cellStyle name="subtotal" xfId="600"/>
    <cellStyle name="Table Definition" xfId="601"/>
    <cellStyle name="Table Definition 2" xfId="602"/>
    <cellStyle name="Template 8" xfId="603"/>
    <cellStyle name="Template 8 2" xfId="604"/>
    <cellStyle name="Text Indent A" xfId="605"/>
    <cellStyle name="Text Indent A 2" xfId="606"/>
    <cellStyle name="Text Indent B" xfId="607"/>
    <cellStyle name="Text Indent B 2" xfId="608"/>
    <cellStyle name="Text Indent C" xfId="609"/>
    <cellStyle name="Text Indent C 2" xfId="610"/>
    <cellStyle name="Text Indent C 3" xfId="611"/>
    <cellStyle name="Text Indent C 4" xfId="612"/>
    <cellStyle name="title" xfId="368"/>
    <cellStyle name="title 2" xfId="613"/>
    <cellStyle name="Title 3" xfId="614"/>
    <cellStyle name="Title 4" xfId="615"/>
    <cellStyle name="Title 5" xfId="616"/>
    <cellStyle name="Title 6" xfId="617"/>
    <cellStyle name="Top Row" xfId="618"/>
    <cellStyle name="Total 2" xfId="619"/>
    <cellStyle name="two" xfId="620"/>
    <cellStyle name="two 2" xfId="621"/>
    <cellStyle name="two 2 2" xfId="622"/>
    <cellStyle name="two 3" xfId="80"/>
    <cellStyle name="two 3 2" xfId="623"/>
    <cellStyle name="two 4" xfId="624"/>
    <cellStyle name="Underline" xfId="625"/>
    <cellStyle name="Underline 2" xfId="626"/>
    <cellStyle name="Vehicle_Benchmark" xfId="292"/>
    <cellStyle name="Version_Header" xfId="627"/>
    <cellStyle name="Volumes_Data" xfId="628"/>
    <cellStyle name="W?rung [0]_pldt" xfId="630"/>
    <cellStyle name="W?rung_pldt" xfId="632"/>
    <cellStyle name="Warning Text 2" xfId="633"/>
    <cellStyle name="weekly" xfId="634"/>
    <cellStyle name="weekly 2" xfId="635"/>
    <cellStyle name="weekly 3" xfId="636"/>
    <cellStyle name="Wingding" xfId="637"/>
    <cellStyle name="W臧rung [0]_pldt" xfId="409"/>
    <cellStyle name="W臧rung_pldt" xfId="638"/>
    <cellStyle name="標準_C1PT14Nov" xfId="639"/>
    <cellStyle name="常规" xfId="0" builtinId="0"/>
    <cellStyle name="常规 2" xfId="640"/>
    <cellStyle name="常规 2 2" xfId="641"/>
    <cellStyle name="常规 2 3" xfId="642"/>
    <cellStyle name="常规 2 3 2" xfId="354"/>
    <cellStyle name="常规 3" xfId="643"/>
    <cellStyle name="常规 3 2" xfId="644"/>
    <cellStyle name="常规 4" xfId="645"/>
    <cellStyle name="常规 5" xfId="629"/>
    <cellStyle name="常规 6" xfId="646"/>
    <cellStyle name="超链接" xfId="18" builtinId="8"/>
    <cellStyle name="똿뗦먛귟 [0.00]_PRODUCT DETAIL Q1" xfId="546"/>
    <cellStyle name="똿뗦먛귟_PRODUCT DETAIL Q1" xfId="647"/>
    <cellStyle name="小数点1桁" xfId="648"/>
    <cellStyle name="一般_PLDT" xfId="491"/>
    <cellStyle name="믅됞 [0.00]_PRODUCT DETAIL Q1" xfId="649"/>
    <cellStyle name="믅됞_PRODUCT DETAIL Q1" xfId="650"/>
    <cellStyle name="백분율_HOBONG" xfId="651"/>
    <cellStyle name="整数" xfId="652"/>
    <cellStyle name="뷭?_BOOKSHIP" xfId="653"/>
    <cellStyle name="콤마 [0]_1202" xfId="654"/>
    <cellStyle name="콤마_1202" xfId="655"/>
    <cellStyle name="통화 [0]_1202" xfId="631"/>
    <cellStyle name="통화_1202" xfId="656"/>
    <cellStyle name="표준_(정보부문)월별인원계획" xfId="657"/>
  </cellStyles>
  <dxfs count="51">
    <dxf>
      <fill>
        <patternFill patternType="solid">
          <fgColor indexed="10"/>
          <bgColor indexed="10"/>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10"/>
        </patternFill>
      </fill>
    </dxf>
    <dxf>
      <fill>
        <patternFill patternType="solid">
          <fgColor indexed="10"/>
          <bgColor indexed="10"/>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22"/>
        </patternFill>
      </fill>
    </dxf>
    <dxf>
      <fill>
        <patternFill patternType="solid">
          <fgColor indexed="10"/>
          <bgColor indexed="11"/>
        </patternFill>
      </fill>
    </dxf>
    <dxf>
      <fill>
        <patternFill patternType="solid"/>
      </fill>
    </dxf>
    <dxf>
      <fill>
        <patternFill patternType="solid">
          <fgColor indexed="10"/>
          <bgColor indexed="22"/>
        </patternFill>
      </fill>
    </dxf>
    <dxf>
      <fill>
        <patternFill patternType="solid"/>
      </fill>
    </dxf>
    <dxf>
      <fill>
        <patternFill patternType="solid">
          <fgColor indexed="10"/>
          <bgColor indexed="22"/>
        </patternFill>
      </fill>
    </dxf>
    <dxf>
      <fill>
        <patternFill patternType="solid"/>
      </fill>
    </dxf>
    <dxf>
      <fill>
        <patternFill patternType="solid">
          <fgColor indexed="10"/>
          <bgColor indexed="22"/>
        </patternFill>
      </fill>
    </dxf>
    <dxf>
      <fill>
        <patternFill patternType="solid">
          <fgColor indexed="10"/>
          <bgColor indexed="10"/>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22"/>
        </patternFill>
      </fill>
    </dxf>
    <dxf>
      <fill>
        <patternFill patternType="solid">
          <fgColor indexed="10"/>
          <bgColor indexed="11"/>
        </patternFill>
      </fill>
    </dxf>
    <dxf>
      <fill>
        <patternFill patternType="solid">
          <fgColor indexed="10"/>
          <bgColor indexed="10"/>
        </patternFill>
      </fill>
    </dxf>
    <dxf>
      <fill>
        <patternFill patternType="solid">
          <fgColor indexed="10"/>
          <bgColor indexed="22"/>
        </patternFill>
      </fill>
    </dxf>
    <dxf>
      <fill>
        <patternFill patternType="solid">
          <fgColor indexed="10"/>
          <bgColor indexed="11"/>
        </patternFill>
      </fill>
    </dxf>
    <dxf>
      <fill>
        <patternFill patternType="solid"/>
      </fill>
    </dxf>
    <dxf>
      <fill>
        <patternFill patternType="solid">
          <fgColor indexed="10"/>
          <bgColor indexed="22"/>
        </patternFill>
      </fill>
    </dxf>
    <dxf>
      <fill>
        <patternFill patternType="solid"/>
      </fill>
    </dxf>
    <dxf>
      <fill>
        <patternFill patternType="solid">
          <fgColor indexed="10"/>
          <bgColor indexed="22"/>
        </patternFill>
      </fill>
    </dxf>
    <dxf>
      <fill>
        <patternFill patternType="solid"/>
      </fill>
    </dxf>
    <dxf>
      <fill>
        <patternFill patternType="solid">
          <fgColor indexed="10"/>
          <bgColor indexed="22"/>
        </patternFill>
      </fill>
    </dxf>
    <dxf>
      <fill>
        <patternFill patternType="solid"/>
      </fill>
    </dxf>
    <dxf>
      <fill>
        <patternFill patternType="solid">
          <fgColor indexed="10"/>
          <bgColor indexed="22"/>
        </patternFill>
      </fill>
    </dxf>
    <dxf>
      <fill>
        <patternFill patternType="solid"/>
      </fill>
    </dxf>
    <dxf>
      <fill>
        <patternFill patternType="solid">
          <fgColor indexed="10"/>
          <bgColor indexed="22"/>
        </patternFill>
      </fill>
    </dxf>
    <dxf>
      <fill>
        <patternFill patternType="solid"/>
      </fill>
    </dxf>
    <dxf>
      <fill>
        <patternFill patternType="solid">
          <fgColor indexed="10"/>
          <bgColor indexed="22"/>
        </patternFill>
      </fill>
    </dxf>
    <dxf>
      <fill>
        <patternFill patternType="solid">
          <fgColor indexed="10"/>
          <bgColor indexed="10"/>
        </patternFill>
      </fill>
    </dxf>
    <dxf>
      <fill>
        <patternFill patternType="solid">
          <fgColor indexed="10"/>
          <bgColor indexed="22"/>
        </patternFill>
      </fill>
    </dxf>
    <dxf>
      <fill>
        <patternFill patternType="solid">
          <fgColor indexed="10"/>
          <bgColor indexed="11"/>
        </patternFill>
      </fill>
    </dxf>
    <dxf>
      <fill>
        <patternFill patternType="solid"/>
      </fill>
    </dxf>
    <dxf>
      <fill>
        <patternFill patternType="solid">
          <fgColor indexed="10"/>
          <bgColor indexed="22"/>
        </patternFill>
      </fill>
    </dxf>
    <dxf>
      <fill>
        <patternFill patternType="solid">
          <fgColor indexed="10"/>
          <bgColor indexed="10"/>
        </patternFill>
      </fill>
    </dxf>
    <dxf>
      <fill>
        <patternFill patternType="solid">
          <fgColor indexed="10"/>
          <bgColor indexed="10"/>
        </patternFill>
      </fill>
    </dxf>
    <dxf>
      <fill>
        <patternFill patternType="solid">
          <fgColor indexed="10"/>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externalLink" Target="externalLinks/externalLink15.xml"/><Relationship Id="rId3" Type="http://schemas.openxmlformats.org/officeDocument/2006/relationships/worksheet" Target="worksheets/sheet3.xml"/><Relationship Id="rId21" Type="http://schemas.openxmlformats.org/officeDocument/2006/relationships/externalLink" Target="externalLinks/externalLink10.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externalLink" Target="externalLinks/externalLink14.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externalLink" Target="externalLinks/externalLink9.xml"/><Relationship Id="rId29" Type="http://schemas.openxmlformats.org/officeDocument/2006/relationships/externalLink" Target="externalLinks/externalLink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3.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externalLink" Target="externalLinks/externalLink12.xml"/><Relationship Id="rId28" Type="http://schemas.openxmlformats.org/officeDocument/2006/relationships/externalLink" Target="externalLinks/externalLink17.xml"/><Relationship Id="rId10" Type="http://schemas.openxmlformats.org/officeDocument/2006/relationships/worksheet" Target="worksheets/sheet10.xml"/><Relationship Id="rId19" Type="http://schemas.openxmlformats.org/officeDocument/2006/relationships/externalLink" Target="externalLinks/externalLink8.xml"/><Relationship Id="rId31" Type="http://schemas.openxmlformats.org/officeDocument/2006/relationships/externalLink" Target="externalLinks/externalLink2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openxmlformats.org/officeDocument/2006/relationships/externalLink" Target="externalLinks/externalLink16.xml"/><Relationship Id="rId30" Type="http://schemas.openxmlformats.org/officeDocument/2006/relationships/externalLink" Target="externalLinks/externalLink19.xml"/><Relationship Id="rId35" Type="http://schemas.openxmlformats.org/officeDocument/2006/relationships/calcChain" Target="calcChain.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lang val="zh-CN"/>
  <c:chart>
    <c:autoTitleDeleted val="1"/>
    <c:plotArea>
      <c:layout>
        <c:manualLayout>
          <c:layoutTarget val="inner"/>
          <c:xMode val="edge"/>
          <c:yMode val="edge"/>
          <c:x val="8.8698264119311226E-2"/>
          <c:y val="7.3964497041450514E-2"/>
          <c:w val="0.7682414166467717"/>
          <c:h val="0.53550295857988262"/>
        </c:manualLayout>
      </c:layout>
      <c:lineChart>
        <c:grouping val="standard"/>
        <c:ser>
          <c:idx val="4"/>
          <c:order val="0"/>
          <c:spPr>
            <a:ln w="25400" cap="rnd" cmpd="sng" algn="ctr">
              <a:solidFill>
                <a:srgbClr val="4BACC6"/>
              </a:solidFill>
              <a:prstDash val="solid"/>
              <a:round/>
            </a:ln>
          </c:spPr>
          <c:marker>
            <c:symbol val="star"/>
            <c:size val="7"/>
            <c:spPr>
              <a:solidFill>
                <a:srgbClr val="000000"/>
              </a:solidFill>
              <a:ln w="9525" cap="flat" cmpd="sng" algn="ctr">
                <a:solidFill>
                  <a:srgbClr val="4BACC6"/>
                </a:solidFill>
                <a:prstDash val="solid"/>
                <a:round/>
              </a:ln>
            </c:spPr>
          </c:marker>
          <c:val>
            <c:numLit>
              <c:formatCode>General</c:formatCode>
              <c:ptCount val="1"/>
              <c:pt idx="0">
                <c:v>0</c:v>
              </c:pt>
            </c:numLit>
          </c:val>
        </c:ser>
        <c:ser>
          <c:idx val="0"/>
          <c:order val="1"/>
          <c:spPr>
            <a:ln w="12700" cap="rnd" cmpd="sng" algn="ctr">
              <a:solidFill>
                <a:srgbClr val="4F81BD"/>
              </a:solidFill>
              <a:prstDash val="solid"/>
              <a:round/>
            </a:ln>
          </c:spPr>
          <c:marker>
            <c:symbol val="diamond"/>
            <c:size val="7"/>
            <c:spPr>
              <a:solidFill>
                <a:srgbClr val="4F81BD"/>
              </a:solidFill>
              <a:ln w="9525" cap="flat" cmpd="sng" algn="ctr">
                <a:solidFill>
                  <a:srgbClr val="4F81BD"/>
                </a:solidFill>
                <a:prstDash val="solid"/>
                <a:round/>
              </a:ln>
            </c:spPr>
          </c:marker>
          <c:val>
            <c:numLit>
              <c:formatCode>General</c:formatCode>
              <c:ptCount val="1"/>
              <c:pt idx="0">
                <c:v>0</c:v>
              </c:pt>
            </c:numLit>
          </c:val>
        </c:ser>
        <c:ser>
          <c:idx val="1"/>
          <c:order val="2"/>
          <c:spPr>
            <a:ln w="12700" cap="rnd" cmpd="sng" algn="ctr">
              <a:solidFill>
                <a:srgbClr val="C0504D"/>
              </a:solidFill>
              <a:prstDash val="solid"/>
              <a:round/>
            </a:ln>
          </c:spPr>
          <c:marker>
            <c:symbol val="square"/>
            <c:size val="7"/>
            <c:spPr>
              <a:solidFill>
                <a:srgbClr val="C0504D"/>
              </a:solidFill>
              <a:ln w="9525" cap="flat" cmpd="sng" algn="ctr">
                <a:solidFill>
                  <a:srgbClr val="C0504D"/>
                </a:solidFill>
                <a:prstDash val="solid"/>
                <a:round/>
              </a:ln>
            </c:spPr>
          </c:marker>
          <c:val>
            <c:numLit>
              <c:formatCode>General</c:formatCode>
              <c:ptCount val="1"/>
              <c:pt idx="0">
                <c:v>0</c:v>
              </c:pt>
            </c:numLit>
          </c:val>
        </c:ser>
        <c:ser>
          <c:idx val="2"/>
          <c:order val="3"/>
          <c:spPr>
            <a:ln w="12700" cap="rnd" cmpd="sng" algn="ctr">
              <a:solidFill>
                <a:srgbClr val="9BBB59"/>
              </a:solidFill>
              <a:prstDash val="solid"/>
              <a:round/>
            </a:ln>
          </c:spPr>
          <c:marker>
            <c:symbol val="triangle"/>
            <c:size val="7"/>
            <c:spPr>
              <a:solidFill>
                <a:srgbClr val="9BBB59"/>
              </a:solidFill>
              <a:ln w="9525" cap="flat" cmpd="sng" algn="ctr">
                <a:solidFill>
                  <a:srgbClr val="9BBB59"/>
                </a:solidFill>
                <a:prstDash val="solid"/>
                <a:round/>
              </a:ln>
            </c:spPr>
          </c:marker>
          <c:val>
            <c:numLit>
              <c:formatCode>General</c:formatCode>
              <c:ptCount val="1"/>
              <c:pt idx="0">
                <c:v>0</c:v>
              </c:pt>
            </c:numLit>
          </c:val>
        </c:ser>
        <c:ser>
          <c:idx val="3"/>
          <c:order val="4"/>
          <c:spPr>
            <a:ln w="25400" cap="rnd" cmpd="sng" algn="ctr">
              <a:solidFill>
                <a:srgbClr val="8064A2"/>
              </a:solidFill>
              <a:prstDash val="solid"/>
              <a:round/>
            </a:ln>
          </c:spPr>
          <c:marker>
            <c:symbol val="x"/>
            <c:size val="7"/>
            <c:spPr>
              <a:solidFill>
                <a:srgbClr val="000000"/>
              </a:solidFill>
              <a:ln w="9525" cap="flat" cmpd="sng" algn="ctr">
                <a:solidFill>
                  <a:srgbClr val="8064A2"/>
                </a:solidFill>
                <a:prstDash val="solid"/>
                <a:round/>
              </a:ln>
            </c:spPr>
          </c:marker>
          <c:val>
            <c:numLit>
              <c:formatCode>General</c:formatCode>
              <c:ptCount val="1"/>
              <c:pt idx="0">
                <c:v>0</c:v>
              </c:pt>
            </c:numLit>
          </c:val>
        </c:ser>
        <c:ser>
          <c:idx val="5"/>
          <c:order val="5"/>
          <c:spPr>
            <a:ln w="25400" cap="rnd" cmpd="sng" algn="ctr">
              <a:solidFill>
                <a:srgbClr val="F79646"/>
              </a:solidFill>
              <a:prstDash val="solid"/>
              <a:round/>
            </a:ln>
          </c:spPr>
          <c:marker>
            <c:symbol val="circle"/>
            <c:size val="7"/>
            <c:spPr>
              <a:solidFill>
                <a:srgbClr val="F79646"/>
              </a:solidFill>
              <a:ln w="9525" cap="flat" cmpd="sng" algn="ctr">
                <a:solidFill>
                  <a:srgbClr val="F79646"/>
                </a:solidFill>
                <a:prstDash val="solid"/>
                <a:round/>
              </a:ln>
            </c:spPr>
          </c:marker>
          <c:val>
            <c:numLit>
              <c:formatCode>General</c:formatCode>
              <c:ptCount val="1"/>
              <c:pt idx="0">
                <c:v>0</c:v>
              </c:pt>
            </c:numLit>
          </c:val>
        </c:ser>
        <c:marker val="1"/>
        <c:axId val="124543360"/>
        <c:axId val="124545280"/>
      </c:lineChart>
      <c:catAx>
        <c:axId val="124543360"/>
        <c:scaling>
          <c:orientation val="minMax"/>
        </c:scaling>
        <c:axPos val="b"/>
        <c:numFmt formatCode="[$-407]d/\ mmm/;@" sourceLinked="0"/>
        <c:tickLblPos val="nextTo"/>
        <c:spPr>
          <a:ln w="3175" cap="flat" cmpd="sng" algn="ctr">
            <a:solidFill>
              <a:srgbClr val="000000"/>
            </a:solidFill>
            <a:prstDash val="solid"/>
            <a:round/>
          </a:ln>
        </c:spPr>
        <c:txPr>
          <a:bodyPr rot="-540000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124545280"/>
        <c:crossesAt val="0"/>
        <c:lblAlgn val="ctr"/>
        <c:lblOffset val="100"/>
        <c:tickLblSkip val="1"/>
      </c:catAx>
      <c:valAx>
        <c:axId val="124545280"/>
        <c:scaling>
          <c:orientation val="minMax"/>
          <c:max val="75"/>
          <c:min val="0"/>
        </c:scaling>
        <c:axPos val="l"/>
        <c:majorGridlines>
          <c:spPr>
            <a:ln w="3175" cap="flat" cmpd="sng" algn="ctr">
              <a:solidFill>
                <a:srgbClr val="000000"/>
              </a:solidFill>
              <a:prstDash val="solid"/>
              <a:round/>
            </a:ln>
          </c:spPr>
        </c:majorGridlines>
        <c:numFmt formatCode="0" sourceLinked="0"/>
        <c:tickLblPos val="nextTo"/>
        <c:spPr>
          <a:ln w="3175" cap="flat" cmpd="sng" algn="ctr">
            <a:solidFill>
              <a:srgbClr val="000000"/>
            </a:solidFill>
            <a:prstDash val="solid"/>
            <a:round/>
          </a:ln>
        </c:spPr>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124543360"/>
        <c:crosses val="autoZero"/>
        <c:crossBetween val="between"/>
        <c:majorUnit val="5"/>
        <c:minorUnit val="3"/>
      </c:valAx>
      <c:spPr>
        <a:solidFill>
          <a:srgbClr val="FFFFFF"/>
        </a:solidFill>
        <a:ln>
          <a:noFill/>
        </a:ln>
      </c:spPr>
    </c:plotArea>
    <c:legend>
      <c:legendPos val="r"/>
      <c:legendEntry>
        <c:idx val="0"/>
        <c:txPr>
          <a:bodyPr rot="0" spcFirstLastPara="0" vertOverflow="ellipsis" vert="horz" wrap="square" anchor="ctr" anchorCtr="1"/>
          <a:lstStyle/>
          <a:p>
            <a:pPr>
              <a:defRPr lang="zh-CN" sz="92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Entry>
      <c:legendEntry>
        <c:idx val="1"/>
        <c:txPr>
          <a:bodyPr rot="0" spcFirstLastPara="0" vertOverflow="ellipsis" vert="horz" wrap="square" anchor="ctr" anchorCtr="1"/>
          <a:lstStyle/>
          <a:p>
            <a:pPr>
              <a:defRPr lang="zh-CN" sz="92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Entry>
      <c:legendEntry>
        <c:idx val="2"/>
        <c:txPr>
          <a:bodyPr rot="0" spcFirstLastPara="0" vertOverflow="ellipsis" vert="horz" wrap="square" anchor="ctr" anchorCtr="1"/>
          <a:lstStyle/>
          <a:p>
            <a:pPr>
              <a:defRPr lang="zh-CN" sz="92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Entry>
      <c:legendEntry>
        <c:idx val="3"/>
        <c:txPr>
          <a:bodyPr rot="0" spcFirstLastPara="0" vertOverflow="ellipsis" vert="horz" wrap="square" anchor="ctr" anchorCtr="1"/>
          <a:lstStyle/>
          <a:p>
            <a:pPr>
              <a:defRPr lang="zh-CN" sz="92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Entry>
      <c:legendEntry>
        <c:idx val="4"/>
        <c:txPr>
          <a:bodyPr rot="0" spcFirstLastPara="0" vertOverflow="ellipsis" vert="horz" wrap="square" anchor="ctr" anchorCtr="1"/>
          <a:lstStyle/>
          <a:p>
            <a:pPr>
              <a:defRPr lang="zh-CN" sz="92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Entry>
      <c:legendEntry>
        <c:idx val="5"/>
        <c:txPr>
          <a:bodyPr rot="0" spcFirstLastPara="0" vertOverflow="ellipsis" vert="horz" wrap="square" anchor="ctr" anchorCtr="1"/>
          <a:lstStyle/>
          <a:p>
            <a:pPr>
              <a:defRPr lang="zh-CN" sz="92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Entry>
      <c:spPr>
        <a:noFill/>
        <a:ln>
          <a:noFill/>
        </a:ln>
      </c:spPr>
      <c:txPr>
        <a:bodyPr rot="0" spcFirstLastPara="0" vertOverflow="ellipsis" vert="horz" wrap="square" anchor="ctr" anchorCtr="1"/>
        <a:lstStyle/>
        <a:p>
          <a:pPr>
            <a:defRPr lang="zh-CN" sz="92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
    <c:plotVisOnly val="1"/>
    <c:dispBlanksAs val="gap"/>
  </c:chart>
  <c:spPr>
    <a:solidFill>
      <a:srgbClr val="FFFFFF"/>
    </a:solidFill>
    <a:ln w="3175" cap="flat" cmpd="sng" algn="ctr">
      <a:solidFill>
        <a:srgbClr val="000000"/>
      </a:solidFill>
      <a:prstDash val="solid"/>
      <a:round/>
    </a:ln>
  </c:spPr>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CN"/>
  <c:chart>
    <c:autoTitleDeleted val="1"/>
    <c:plotArea>
      <c:layout>
        <c:manualLayout>
          <c:layoutTarget val="inner"/>
          <c:xMode val="edge"/>
          <c:yMode val="edge"/>
          <c:x val="0.12077313678346629"/>
          <c:y val="7.906985722867152E-2"/>
          <c:w val="0.85346349993629556"/>
          <c:h val="0.69069845873281965"/>
        </c:manualLayout>
      </c:layout>
      <c:lineChart>
        <c:grouping val="standard"/>
        <c:ser>
          <c:idx val="2"/>
          <c:order val="0"/>
          <c:spPr>
            <a:ln w="25400" cap="rnd" cmpd="sng" algn="ctr">
              <a:solidFill>
                <a:srgbClr val="000080"/>
              </a:solidFill>
              <a:prstDash val="solid"/>
              <a:round/>
            </a:ln>
          </c:spPr>
          <c:marker>
            <c:symbol val="triangle"/>
            <c:size val="7"/>
            <c:spPr>
              <a:solidFill>
                <a:srgbClr val="9BBB59"/>
              </a:solidFill>
              <a:ln w="9525" cap="flat" cmpd="sng" algn="ctr">
                <a:solidFill>
                  <a:srgbClr val="9BBB59"/>
                </a:solidFill>
                <a:prstDash val="solid"/>
                <a:round/>
              </a:ln>
            </c:spPr>
          </c:marker>
          <c:cat>
            <c:numRef>
              <c:f>'TT PAYNTER CHART_1a (2)'!$AK$40:$AX$40</c:f>
              <c:numCache>
                <c:formatCode>General</c:formatCode>
                <c:ptCount val="14"/>
                <c:pt idx="0">
                  <c:v>71076</c:v>
                </c:pt>
                <c:pt idx="1">
                  <c:v>71060</c:v>
                </c:pt>
                <c:pt idx="2">
                  <c:v>71098</c:v>
                </c:pt>
                <c:pt idx="3">
                  <c:v>71035</c:v>
                </c:pt>
                <c:pt idx="4">
                  <c:v>71077</c:v>
                </c:pt>
                <c:pt idx="5">
                  <c:v>71090</c:v>
                </c:pt>
                <c:pt idx="6">
                  <c:v>71083</c:v>
                </c:pt>
                <c:pt idx="7">
                  <c:v>71099</c:v>
                </c:pt>
                <c:pt idx="8">
                  <c:v>71029</c:v>
                </c:pt>
                <c:pt idx="9">
                  <c:v>71030</c:v>
                </c:pt>
                <c:pt idx="10">
                  <c:v>82565</c:v>
                </c:pt>
                <c:pt idx="11">
                  <c:v>71062</c:v>
                </c:pt>
                <c:pt idx="12">
                  <c:v>71083</c:v>
                </c:pt>
              </c:numCache>
            </c:numRef>
          </c:cat>
          <c:val>
            <c:numRef>
              <c:f>'TT PAYNTER CHART_1a (2)'!$AK$41:$AX$41</c:f>
              <c:numCache>
                <c:formatCode>0</c:formatCode>
                <c:ptCount val="14"/>
                <c:pt idx="0">
                  <c:v>16</c:v>
                </c:pt>
                <c:pt idx="1">
                  <c:v>17</c:v>
                </c:pt>
                <c:pt idx="2">
                  <c:v>17</c:v>
                </c:pt>
                <c:pt idx="3">
                  <c:v>19</c:v>
                </c:pt>
                <c:pt idx="4">
                  <c:v>20</c:v>
                </c:pt>
                <c:pt idx="5">
                  <c:v>14</c:v>
                </c:pt>
                <c:pt idx="6">
                  <c:v>19</c:v>
                </c:pt>
                <c:pt idx="7">
                  <c:v>13</c:v>
                </c:pt>
                <c:pt idx="8">
                  <c:v>13</c:v>
                </c:pt>
                <c:pt idx="9">
                  <c:v>13</c:v>
                </c:pt>
                <c:pt idx="10">
                  <c:v>7</c:v>
                </c:pt>
                <c:pt idx="11">
                  <c:v>7</c:v>
                </c:pt>
                <c:pt idx="12">
                  <c:v>8</c:v>
                </c:pt>
              </c:numCache>
            </c:numRef>
          </c:val>
        </c:ser>
        <c:ser>
          <c:idx val="3"/>
          <c:order val="1"/>
          <c:spPr>
            <a:ln w="38100" cap="rnd" cmpd="sng" algn="ctr">
              <a:solidFill>
                <a:srgbClr val="FF0000"/>
              </a:solidFill>
              <a:prstDash val="lgDash"/>
              <a:round/>
            </a:ln>
          </c:spPr>
          <c:marker>
            <c:symbol val="x"/>
            <c:size val="7"/>
            <c:spPr>
              <a:solidFill>
                <a:srgbClr val="000000"/>
              </a:solidFill>
              <a:ln w="9525" cap="flat" cmpd="sng" algn="ctr">
                <a:solidFill>
                  <a:srgbClr val="8064A2"/>
                </a:solidFill>
                <a:prstDash val="solid"/>
                <a:round/>
              </a:ln>
            </c:spPr>
          </c:marker>
          <c:cat>
            <c:numRef>
              <c:f>'TT PAYNTER CHART_1a (2)'!$AK$40:$AX$40</c:f>
              <c:numCache>
                <c:formatCode>General</c:formatCode>
                <c:ptCount val="14"/>
                <c:pt idx="0">
                  <c:v>71076</c:v>
                </c:pt>
                <c:pt idx="1">
                  <c:v>71060</c:v>
                </c:pt>
                <c:pt idx="2">
                  <c:v>71098</c:v>
                </c:pt>
                <c:pt idx="3">
                  <c:v>71035</c:v>
                </c:pt>
                <c:pt idx="4">
                  <c:v>71077</c:v>
                </c:pt>
                <c:pt idx="5">
                  <c:v>71090</c:v>
                </c:pt>
                <c:pt idx="6">
                  <c:v>71083</c:v>
                </c:pt>
                <c:pt idx="7">
                  <c:v>71099</c:v>
                </c:pt>
                <c:pt idx="8">
                  <c:v>71029</c:v>
                </c:pt>
                <c:pt idx="9">
                  <c:v>71030</c:v>
                </c:pt>
                <c:pt idx="10">
                  <c:v>82565</c:v>
                </c:pt>
                <c:pt idx="11">
                  <c:v>71062</c:v>
                </c:pt>
                <c:pt idx="12">
                  <c:v>71083</c:v>
                </c:pt>
              </c:numCache>
            </c:numRef>
          </c:cat>
          <c:val>
            <c:numRef>
              <c:f>'TT PAYNTER CHART_1a (2)'!$AK$42:$AX$42</c:f>
              <c:numCache>
                <c:formatCode>0</c:formatCode>
                <c:ptCount val="14"/>
                <c:pt idx="0">
                  <c:v>7</c:v>
                </c:pt>
                <c:pt idx="1">
                  <c:v>7</c:v>
                </c:pt>
                <c:pt idx="2">
                  <c:v>7</c:v>
                </c:pt>
                <c:pt idx="3">
                  <c:v>7</c:v>
                </c:pt>
                <c:pt idx="4">
                  <c:v>7</c:v>
                </c:pt>
                <c:pt idx="5">
                  <c:v>7</c:v>
                </c:pt>
                <c:pt idx="6">
                  <c:v>7</c:v>
                </c:pt>
                <c:pt idx="7">
                  <c:v>7</c:v>
                </c:pt>
                <c:pt idx="8">
                  <c:v>7</c:v>
                </c:pt>
                <c:pt idx="9">
                  <c:v>7</c:v>
                </c:pt>
                <c:pt idx="10">
                  <c:v>7</c:v>
                </c:pt>
                <c:pt idx="11">
                  <c:v>7</c:v>
                </c:pt>
                <c:pt idx="12">
                  <c:v>7</c:v>
                </c:pt>
                <c:pt idx="13">
                  <c:v>7</c:v>
                </c:pt>
              </c:numCache>
            </c:numRef>
          </c:val>
        </c:ser>
        <c:ser>
          <c:idx val="0"/>
          <c:order val="2"/>
          <c:spPr>
            <a:ln w="25400" cap="rnd" cmpd="sng" algn="ctr">
              <a:solidFill>
                <a:srgbClr val="000080"/>
              </a:solidFill>
              <a:prstDash val="solid"/>
              <a:round/>
            </a:ln>
          </c:spPr>
          <c:marker>
            <c:symbol val="diamond"/>
            <c:size val="7"/>
            <c:spPr>
              <a:solidFill>
                <a:srgbClr val="000080"/>
              </a:solidFill>
              <a:ln w="9525" cap="flat" cmpd="sng" algn="ctr">
                <a:solidFill>
                  <a:srgbClr val="000080"/>
                </a:solidFill>
                <a:prstDash val="solid"/>
                <a:round/>
              </a:ln>
            </c:spPr>
          </c:marker>
          <c:cat>
            <c:numRef>
              <c:f>'TT PAYNTER CHART_1a (2)'!$AK$40:$AX$40</c:f>
              <c:numCache>
                <c:formatCode>General</c:formatCode>
                <c:ptCount val="14"/>
                <c:pt idx="0">
                  <c:v>71076</c:v>
                </c:pt>
                <c:pt idx="1">
                  <c:v>71060</c:v>
                </c:pt>
                <c:pt idx="2">
                  <c:v>71098</c:v>
                </c:pt>
                <c:pt idx="3">
                  <c:v>71035</c:v>
                </c:pt>
                <c:pt idx="4">
                  <c:v>71077</c:v>
                </c:pt>
                <c:pt idx="5">
                  <c:v>71090</c:v>
                </c:pt>
                <c:pt idx="6">
                  <c:v>71083</c:v>
                </c:pt>
                <c:pt idx="7">
                  <c:v>71099</c:v>
                </c:pt>
                <c:pt idx="8">
                  <c:v>71029</c:v>
                </c:pt>
                <c:pt idx="9">
                  <c:v>71030</c:v>
                </c:pt>
                <c:pt idx="10">
                  <c:v>82565</c:v>
                </c:pt>
                <c:pt idx="11">
                  <c:v>71062</c:v>
                </c:pt>
                <c:pt idx="12">
                  <c:v>71083</c:v>
                </c:pt>
              </c:numCache>
            </c:numRef>
          </c:cat>
          <c:val>
            <c:numRef>
              <c:f>'TT PAYNTER CHART_1a (2)'!$AK$41:$AX$41</c:f>
              <c:numCache>
                <c:formatCode>0</c:formatCode>
                <c:ptCount val="14"/>
                <c:pt idx="0">
                  <c:v>16</c:v>
                </c:pt>
                <c:pt idx="1">
                  <c:v>17</c:v>
                </c:pt>
                <c:pt idx="2">
                  <c:v>17</c:v>
                </c:pt>
                <c:pt idx="3">
                  <c:v>19</c:v>
                </c:pt>
                <c:pt idx="4">
                  <c:v>20</c:v>
                </c:pt>
                <c:pt idx="5">
                  <c:v>14</c:v>
                </c:pt>
                <c:pt idx="6">
                  <c:v>19</c:v>
                </c:pt>
                <c:pt idx="7">
                  <c:v>13</c:v>
                </c:pt>
                <c:pt idx="8">
                  <c:v>13</c:v>
                </c:pt>
                <c:pt idx="9">
                  <c:v>13</c:v>
                </c:pt>
                <c:pt idx="10">
                  <c:v>7</c:v>
                </c:pt>
                <c:pt idx="11">
                  <c:v>7</c:v>
                </c:pt>
                <c:pt idx="12">
                  <c:v>8</c:v>
                </c:pt>
              </c:numCache>
            </c:numRef>
          </c:val>
        </c:ser>
        <c:ser>
          <c:idx val="1"/>
          <c:order val="3"/>
          <c:spPr>
            <a:ln w="38100" cap="rnd" cmpd="sng" algn="ctr">
              <a:solidFill>
                <a:srgbClr val="FF0000"/>
              </a:solidFill>
              <a:prstDash val="lgDash"/>
              <a:round/>
            </a:ln>
          </c:spPr>
          <c:marker>
            <c:symbol val="none"/>
          </c:marker>
          <c:cat>
            <c:numRef>
              <c:f>'TT PAYNTER CHART_1a (2)'!$AK$40:$AX$40</c:f>
              <c:numCache>
                <c:formatCode>General</c:formatCode>
                <c:ptCount val="14"/>
                <c:pt idx="0">
                  <c:v>71076</c:v>
                </c:pt>
                <c:pt idx="1">
                  <c:v>71060</c:v>
                </c:pt>
                <c:pt idx="2">
                  <c:v>71098</c:v>
                </c:pt>
                <c:pt idx="3">
                  <c:v>71035</c:v>
                </c:pt>
                <c:pt idx="4">
                  <c:v>71077</c:v>
                </c:pt>
                <c:pt idx="5">
                  <c:v>71090</c:v>
                </c:pt>
                <c:pt idx="6">
                  <c:v>71083</c:v>
                </c:pt>
                <c:pt idx="7">
                  <c:v>71099</c:v>
                </c:pt>
                <c:pt idx="8">
                  <c:v>71029</c:v>
                </c:pt>
                <c:pt idx="9">
                  <c:v>71030</c:v>
                </c:pt>
                <c:pt idx="10">
                  <c:v>82565</c:v>
                </c:pt>
                <c:pt idx="11">
                  <c:v>71062</c:v>
                </c:pt>
                <c:pt idx="12">
                  <c:v>71083</c:v>
                </c:pt>
              </c:numCache>
            </c:numRef>
          </c:cat>
          <c:val>
            <c:numRef>
              <c:f>'TT PAYNTER CHART_1a (2)'!$AK$42:$AX$42</c:f>
              <c:numCache>
                <c:formatCode>0</c:formatCode>
                <c:ptCount val="14"/>
                <c:pt idx="0">
                  <c:v>7</c:v>
                </c:pt>
                <c:pt idx="1">
                  <c:v>7</c:v>
                </c:pt>
                <c:pt idx="2">
                  <c:v>7</c:v>
                </c:pt>
                <c:pt idx="3">
                  <c:v>7</c:v>
                </c:pt>
                <c:pt idx="4">
                  <c:v>7</c:v>
                </c:pt>
                <c:pt idx="5">
                  <c:v>7</c:v>
                </c:pt>
                <c:pt idx="6">
                  <c:v>7</c:v>
                </c:pt>
                <c:pt idx="7">
                  <c:v>7</c:v>
                </c:pt>
                <c:pt idx="8">
                  <c:v>7</c:v>
                </c:pt>
                <c:pt idx="9">
                  <c:v>7</c:v>
                </c:pt>
                <c:pt idx="10">
                  <c:v>7</c:v>
                </c:pt>
                <c:pt idx="11">
                  <c:v>7</c:v>
                </c:pt>
                <c:pt idx="12">
                  <c:v>7</c:v>
                </c:pt>
                <c:pt idx="13">
                  <c:v>7</c:v>
                </c:pt>
              </c:numCache>
            </c:numRef>
          </c:val>
        </c:ser>
        <c:marker val="1"/>
        <c:axId val="125667968"/>
        <c:axId val="125686528"/>
      </c:lineChart>
      <c:catAx>
        <c:axId val="125667968"/>
        <c:scaling>
          <c:orientation val="minMax"/>
        </c:scaling>
        <c:axPos val="b"/>
        <c:title>
          <c:tx>
            <c:rich>
              <a:bodyPr rot="0" spcFirstLastPara="0" vertOverflow="ellipsis" vert="horz" wrap="square" anchor="ctr" anchorCtr="1"/>
              <a:lstStyle/>
              <a:p>
                <a:pPr>
                  <a:defRPr lang="zh-CN" sz="925" b="1" i="0" u="none" strike="noStrike" kern="1200" baseline="0">
                    <a:solidFill>
                      <a:srgbClr val="000000"/>
                    </a:solidFill>
                    <a:latin typeface="Arial Unicode MS"/>
                    <a:ea typeface="Arial Unicode MS"/>
                    <a:cs typeface="Arial Unicode MS"/>
                  </a:defRPr>
                </a:pPr>
                <a:r>
                  <a:rPr lang="en-US" altLang="en-US"/>
                  <a:t>Vehicle # (Van)</a:t>
                </a:r>
              </a:p>
            </c:rich>
          </c:tx>
          <c:spPr>
            <a:noFill/>
            <a:ln>
              <a:noFill/>
            </a:ln>
          </c:spPr>
        </c:title>
        <c:numFmt formatCode="General" sourceLinked="1"/>
        <c:tickLblPos val="nextTo"/>
        <c:spPr>
          <a:ln w="3175" cap="flat" cmpd="sng" algn="ctr">
            <a:solidFill>
              <a:srgbClr val="000000"/>
            </a:solidFill>
            <a:prstDash val="solid"/>
            <a:round/>
          </a:ln>
        </c:spPr>
        <c:txPr>
          <a:bodyPr rot="-5400000" spcFirstLastPara="0" vertOverflow="ellipsis" vert="horz" wrap="square" anchor="ctr" anchorCtr="1"/>
          <a:lstStyle/>
          <a:p>
            <a:pPr>
              <a:defRPr lang="zh-CN" sz="850" b="0" i="0" u="none" strike="noStrike" kern="1200" baseline="0">
                <a:solidFill>
                  <a:srgbClr val="000000"/>
                </a:solidFill>
                <a:latin typeface="Arial Unicode MS"/>
                <a:ea typeface="Arial Unicode MS"/>
                <a:cs typeface="Arial Unicode MS"/>
              </a:defRPr>
            </a:pPr>
            <a:endParaRPr lang="zh-CN"/>
          </a:p>
        </c:txPr>
        <c:crossAx val="125686528"/>
        <c:crosses val="autoZero"/>
        <c:lblAlgn val="ctr"/>
        <c:lblOffset val="100"/>
        <c:tickLblSkip val="1"/>
      </c:catAx>
      <c:valAx>
        <c:axId val="125686528"/>
        <c:scaling>
          <c:orientation val="minMax"/>
          <c:max val="22"/>
          <c:min val="0"/>
        </c:scaling>
        <c:axPos val="l"/>
        <c:majorGridlines>
          <c:spPr>
            <a:ln w="3175" cap="flat" cmpd="sng" algn="ctr">
              <a:solidFill>
                <a:srgbClr val="000000"/>
              </a:solidFill>
              <a:prstDash val="solid"/>
              <a:round/>
            </a:ln>
          </c:spPr>
        </c:majorGridlines>
        <c:title>
          <c:tx>
            <c:rich>
              <a:bodyPr rot="-5400000" spcFirstLastPara="0" vertOverflow="ellipsis" vert="horz" wrap="square" anchor="ctr" anchorCtr="1"/>
              <a:lstStyle/>
              <a:p>
                <a:pPr>
                  <a:defRPr lang="zh-CN" sz="1050" b="1" i="0" u="none" strike="noStrike" kern="1200" baseline="0">
                    <a:solidFill>
                      <a:srgbClr val="000000"/>
                    </a:solidFill>
                    <a:latin typeface="Arial" panose="020B0604020202020204"/>
                    <a:ea typeface="Arial" panose="020B0604020202020204"/>
                    <a:cs typeface="Arial" panose="020B0604020202020204"/>
                  </a:defRPr>
                </a:pPr>
                <a:r>
                  <a:rPr lang="en-US" altLang="en-US"/>
                  <a:t>Concerns Per Unit (CPU)</a:t>
                </a:r>
              </a:p>
            </c:rich>
          </c:tx>
          <c:spPr>
            <a:noFill/>
            <a:ln>
              <a:noFill/>
            </a:ln>
          </c:spPr>
        </c:title>
        <c:numFmt formatCode="0" sourceLinked="1"/>
        <c:tickLblPos val="nextTo"/>
        <c:spPr>
          <a:ln w="3175" cap="flat" cmpd="sng" algn="ctr">
            <a:solidFill>
              <a:srgbClr val="000000"/>
            </a:solidFill>
            <a:prstDash val="solid"/>
            <a:round/>
          </a:ln>
        </c:spPr>
        <c:txPr>
          <a:bodyPr rot="0" spcFirstLastPara="0" vertOverflow="ellipsis" vert="horz" wrap="square" anchor="ctr" anchorCtr="1"/>
          <a:lstStyle/>
          <a:p>
            <a:pPr>
              <a:defRPr lang="zh-CN" sz="850" b="0" i="0" u="none" strike="noStrike" kern="1200" baseline="0">
                <a:solidFill>
                  <a:srgbClr val="000000"/>
                </a:solidFill>
                <a:latin typeface="Arial Unicode MS"/>
                <a:ea typeface="Arial Unicode MS"/>
                <a:cs typeface="Arial Unicode MS"/>
              </a:defRPr>
            </a:pPr>
            <a:endParaRPr lang="zh-CN"/>
          </a:p>
        </c:txPr>
        <c:crossAx val="125667968"/>
        <c:crosses val="autoZero"/>
        <c:crossBetween val="between"/>
        <c:majorUnit val="2"/>
        <c:minorUnit val="1"/>
      </c:valAx>
      <c:spPr>
        <a:noFill/>
        <a:ln w="12700">
          <a:solidFill>
            <a:srgbClr val="808080"/>
          </a:solidFill>
          <a:prstDash val="solid"/>
        </a:ln>
      </c:spPr>
    </c:plotArea>
    <c:plotVisOnly val="1"/>
    <c:dispBlanksAs val="gap"/>
  </c:chart>
  <c:spPr>
    <a:solidFill>
      <a:srgbClr val="FFFFFF"/>
    </a:solidFill>
    <a:ln w="3175" cap="flat" cmpd="sng" algn="ctr">
      <a:solidFill>
        <a:srgbClr val="000000"/>
      </a:solidFill>
      <a:prstDash val="solid"/>
      <a:round/>
    </a:ln>
  </c:spPr>
  <c:txPr>
    <a:bodyPr/>
    <a:lstStyle/>
    <a:p>
      <a:pPr>
        <a:defRPr lang="zh-CN" sz="875" b="0" i="0" u="none" strike="noStrike" baseline="0">
          <a:solidFill>
            <a:srgbClr val="000000"/>
          </a:solidFill>
          <a:latin typeface="Arial Unicode MS"/>
          <a:ea typeface="Arial Unicode MS"/>
          <a:cs typeface="Arial Unicode MS"/>
        </a:defRPr>
      </a:pPr>
      <a:endParaRPr lang="zh-CN"/>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zh-CN"/>
  <c:chart>
    <c:title>
      <c:tx>
        <c:rich>
          <a:bodyPr rot="0" spcFirstLastPara="0" vertOverflow="ellipsis" vert="horz" wrap="square" anchor="ctr" anchorCtr="1"/>
          <a:lstStyle/>
          <a:p>
            <a:pPr>
              <a:defRPr lang="zh-CN" sz="1025" b="1" i="0" u="none" strike="noStrike" kern="1200" baseline="0">
                <a:solidFill>
                  <a:srgbClr val="000000"/>
                </a:solidFill>
                <a:latin typeface="Arial Unicode MS"/>
                <a:ea typeface="Arial Unicode MS"/>
                <a:cs typeface="Arial Unicode MS"/>
              </a:defRPr>
            </a:pPr>
            <a:r>
              <a:rPr lang="en-US" altLang="en-US"/>
              <a:t>2013.75  V363  Program VP Squeak &amp; Rattle Audit</a:t>
            </a:r>
          </a:p>
        </c:rich>
      </c:tx>
      <c:spPr>
        <a:noFill/>
        <a:ln>
          <a:noFill/>
        </a:ln>
      </c:spPr>
    </c:title>
    <c:plotArea>
      <c:layout>
        <c:manualLayout>
          <c:layoutTarget val="inner"/>
          <c:xMode val="edge"/>
          <c:yMode val="edge"/>
          <c:x val="8.5106427187100028E-2"/>
          <c:y val="0.22429906542056124"/>
          <c:w val="0.82340468303519165"/>
          <c:h val="0.59112149532710301"/>
        </c:manualLayout>
      </c:layout>
      <c:barChart>
        <c:barDir val="col"/>
        <c:grouping val="clustered"/>
        <c:ser>
          <c:idx val="2"/>
          <c:order val="0"/>
          <c:tx>
            <c:strRef>
              <c:f>'TT PAYNTER CHART_1a (2)'!$F$40</c:f>
              <c:strCache>
                <c:ptCount val="1"/>
                <c:pt idx="0">
                  <c:v>Target</c:v>
                </c:pt>
              </c:strCache>
            </c:strRef>
          </c:tx>
          <c:spPr>
            <a:solidFill>
              <a:srgbClr val="FFFFCC"/>
            </a:solidFill>
            <a:ln w="12700">
              <a:solidFill>
                <a:srgbClr val="000000"/>
              </a:solidFill>
              <a:prstDash val="solid"/>
            </a:ln>
          </c:spPr>
          <c:cat>
            <c:strRef>
              <c:f>'TT PAYNTER CHART_1a (2)'!$G$34:$J$34</c:f>
              <c:strCache>
                <c:ptCount val="3"/>
                <c:pt idx="0">
                  <c:v>CCB (7) </c:v>
                </c:pt>
                <c:pt idx="1">
                  <c:v>Van (13)</c:v>
                </c:pt>
                <c:pt idx="2">
                  <c:v>PP</c:v>
                </c:pt>
              </c:strCache>
            </c:strRef>
          </c:cat>
          <c:val>
            <c:numRef>
              <c:f>'TT PAYNTER CHART_1a (2)'!$G$40:$J$40</c:f>
              <c:numCache>
                <c:formatCode>General</c:formatCode>
                <c:ptCount val="3"/>
                <c:pt idx="0">
                  <c:v>7</c:v>
                </c:pt>
                <c:pt idx="1">
                  <c:v>7</c:v>
                </c:pt>
                <c:pt idx="2">
                  <c:v>2</c:v>
                </c:pt>
              </c:numCache>
            </c:numRef>
          </c:val>
        </c:ser>
        <c:ser>
          <c:idx val="3"/>
          <c:order val="1"/>
          <c:tx>
            <c:strRef>
              <c:f>'TT PAYNTER CHART_1a (2)'!$F$41</c:f>
              <c:strCache>
                <c:ptCount val="1"/>
                <c:pt idx="0">
                  <c:v>Projection</c:v>
                </c:pt>
              </c:strCache>
            </c:strRef>
          </c:tx>
          <c:spPr>
            <a:gradFill rotWithShape="0">
              <a:gsLst>
                <a:gs pos="0">
                  <a:srgbClr val="6C8787"/>
                </a:gs>
                <a:gs pos="100000">
                  <a:srgbClr val="CCFFFF"/>
                </a:gs>
              </a:gsLst>
              <a:path path="rect">
                <a:fillToRect l="50000" t="50000" r="50000" b="50000"/>
              </a:path>
            </a:gradFill>
            <a:ln w="12700">
              <a:solidFill>
                <a:srgbClr val="000000"/>
              </a:solidFill>
              <a:prstDash val="solid"/>
            </a:ln>
          </c:spPr>
          <c:cat>
            <c:strRef>
              <c:f>'TT PAYNTER CHART_1a (2)'!$G$34:$J$34</c:f>
              <c:strCache>
                <c:ptCount val="3"/>
                <c:pt idx="0">
                  <c:v>CCB (7) </c:v>
                </c:pt>
                <c:pt idx="1">
                  <c:v>Van (13)</c:v>
                </c:pt>
                <c:pt idx="2">
                  <c:v>PP</c:v>
                </c:pt>
              </c:strCache>
            </c:strRef>
          </c:cat>
          <c:val>
            <c:numRef>
              <c:f>'TT PAYNTER CHART_1a (2)'!$G$41:$J$41</c:f>
              <c:numCache>
                <c:formatCode>General</c:formatCode>
                <c:ptCount val="3"/>
              </c:numCache>
            </c:numRef>
          </c:val>
        </c:ser>
        <c:ser>
          <c:idx val="1"/>
          <c:order val="2"/>
          <c:tx>
            <c:strRef>
              <c:f>'TT PAYNTER CHART_1a (2)'!$F$39</c:f>
              <c:strCache>
                <c:ptCount val="1"/>
                <c:pt idx="0">
                  <c:v>Average</c:v>
                </c:pt>
              </c:strCache>
            </c:strRef>
          </c:tx>
          <c:spPr>
            <a:solidFill>
              <a:srgbClr val="0000FF"/>
            </a:solidFill>
            <a:ln w="12700">
              <a:solidFill>
                <a:srgbClr val="000000"/>
              </a:solidFill>
              <a:prstDash val="solid"/>
            </a:ln>
          </c:spPr>
          <c:cat>
            <c:strRef>
              <c:f>'TT PAYNTER CHART_1a (2)'!$G$34:$J$34</c:f>
              <c:strCache>
                <c:ptCount val="3"/>
                <c:pt idx="0">
                  <c:v>CCB (7) </c:v>
                </c:pt>
                <c:pt idx="1">
                  <c:v>Van (13)</c:v>
                </c:pt>
                <c:pt idx="2">
                  <c:v>PP</c:v>
                </c:pt>
              </c:strCache>
            </c:strRef>
          </c:cat>
          <c:val>
            <c:numRef>
              <c:f>'TT PAYNTER CHART_1a (2)'!$G$39:$J$39</c:f>
              <c:numCache>
                <c:formatCode>0</c:formatCode>
                <c:ptCount val="3"/>
                <c:pt idx="0">
                  <c:v>9.5714285714285694</c:v>
                </c:pt>
                <c:pt idx="1">
                  <c:v>14.0769230769231</c:v>
                </c:pt>
              </c:numCache>
            </c:numRef>
          </c:val>
        </c:ser>
        <c:axId val="126514688"/>
        <c:axId val="126516608"/>
      </c:barChart>
      <c:catAx>
        <c:axId val="126514688"/>
        <c:scaling>
          <c:orientation val="minMax"/>
        </c:scaling>
        <c:axPos val="b"/>
        <c:title>
          <c:tx>
            <c:rich>
              <a:bodyPr rot="0" spcFirstLastPara="0" vertOverflow="ellipsis" vert="horz" wrap="square" anchor="ctr" anchorCtr="1"/>
              <a:lstStyle/>
              <a:p>
                <a:pPr>
                  <a:defRPr lang="zh-CN" sz="1025" b="1" i="0" u="none" strike="noStrike" kern="1200" baseline="0">
                    <a:solidFill>
                      <a:srgbClr val="000000"/>
                    </a:solidFill>
                    <a:latin typeface="Arial" panose="020B0604020202020204"/>
                    <a:ea typeface="Arial" panose="020B0604020202020204"/>
                    <a:cs typeface="Arial" panose="020B0604020202020204"/>
                  </a:defRPr>
                </a:pPr>
                <a:r>
                  <a:rPr lang="en-US" altLang="en-US"/>
                  <a:t>Build Phase</a:t>
                </a:r>
              </a:p>
            </c:rich>
          </c:tx>
          <c:spPr>
            <a:noFill/>
            <a:ln>
              <a:noFill/>
            </a:ln>
          </c:spPr>
        </c:title>
        <c:numFmt formatCode="General" sourceLinked="1"/>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Arial" panose="020B0604020202020204"/>
                <a:ea typeface="Arial" panose="020B0604020202020204"/>
                <a:cs typeface="Arial" panose="020B0604020202020204"/>
              </a:defRPr>
            </a:pPr>
            <a:endParaRPr lang="zh-CN"/>
          </a:p>
        </c:txPr>
        <c:crossAx val="126516608"/>
        <c:crosses val="autoZero"/>
        <c:lblAlgn val="ctr"/>
        <c:lblOffset val="100"/>
        <c:tickLblSkip val="1"/>
      </c:catAx>
      <c:valAx>
        <c:axId val="126516608"/>
        <c:scaling>
          <c:orientation val="minMax"/>
          <c:max val="20"/>
          <c:min val="0"/>
        </c:scaling>
        <c:axPos val="l"/>
        <c:majorGridlines>
          <c:spPr>
            <a:ln w="3175" cap="flat" cmpd="sng" algn="ctr">
              <a:solidFill>
                <a:srgbClr val="000000"/>
              </a:solidFill>
              <a:prstDash val="solid"/>
              <a:round/>
            </a:ln>
          </c:spPr>
        </c:majorGridlines>
        <c:title>
          <c:tx>
            <c:rich>
              <a:bodyPr rot="-5400000" spcFirstLastPara="0" vertOverflow="ellipsis" vert="horz" wrap="square" anchor="ctr" anchorCtr="1"/>
              <a:lstStyle/>
              <a:p>
                <a:pPr>
                  <a:defRPr lang="zh-CN" sz="1050" b="1" i="0" u="none" strike="noStrike" kern="1200" baseline="0">
                    <a:solidFill>
                      <a:srgbClr val="000000"/>
                    </a:solidFill>
                    <a:latin typeface="Arial" panose="020B0604020202020204"/>
                    <a:ea typeface="Arial" panose="020B0604020202020204"/>
                    <a:cs typeface="Arial" panose="020B0604020202020204"/>
                  </a:defRPr>
                </a:pPr>
                <a:r>
                  <a:rPr lang="en-US" altLang="en-US"/>
                  <a:t>(CPU) </a:t>
                </a:r>
              </a:p>
            </c:rich>
          </c:tx>
          <c:spPr>
            <a:noFill/>
            <a:ln>
              <a:noFill/>
            </a:ln>
          </c:spPr>
        </c:title>
        <c:numFmt formatCode="General" sourceLinked="1"/>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Arial" panose="020B0604020202020204"/>
                <a:ea typeface="Arial" panose="020B0604020202020204"/>
                <a:cs typeface="Arial" panose="020B0604020202020204"/>
              </a:defRPr>
            </a:pPr>
            <a:endParaRPr lang="zh-CN"/>
          </a:p>
        </c:txPr>
        <c:crossAx val="126514688"/>
        <c:crosses val="autoZero"/>
        <c:crossBetween val="between"/>
        <c:majorUnit val="3"/>
        <c:minorUnit val="1"/>
      </c:valAx>
      <c:spPr>
        <a:noFill/>
        <a:ln w="12700">
          <a:solidFill>
            <a:srgbClr val="000000"/>
          </a:solidFill>
          <a:prstDash val="solid"/>
        </a:ln>
      </c:spPr>
    </c:plotArea>
    <c:legend>
      <c:legendPos val="r"/>
      <c:legendEntry>
        <c:idx val="0"/>
        <c:txPr>
          <a:bodyPr rot="0" spcFirstLastPara="0" vertOverflow="ellipsis" vert="horz" wrap="square" anchor="ctr" anchorCtr="1"/>
          <a:lstStyle/>
          <a:p>
            <a:pPr>
              <a:defRPr lang="zh-CN" sz="675" b="0" i="0" u="none" strike="noStrike" kern="1200" baseline="0">
                <a:solidFill>
                  <a:srgbClr val="000000"/>
                </a:solidFill>
                <a:latin typeface="Arial" panose="020B0604020202020204"/>
                <a:ea typeface="Arial" panose="020B0604020202020204"/>
                <a:cs typeface="Arial" panose="020B0604020202020204"/>
              </a:defRPr>
            </a:pPr>
            <a:endParaRPr lang="zh-CN"/>
          </a:p>
        </c:txPr>
      </c:legendEntry>
      <c:legendEntry>
        <c:idx val="1"/>
        <c:txPr>
          <a:bodyPr rot="0" spcFirstLastPara="0" vertOverflow="ellipsis" vert="horz" wrap="square" anchor="ctr" anchorCtr="1"/>
          <a:lstStyle/>
          <a:p>
            <a:pPr>
              <a:defRPr lang="zh-CN" sz="675" b="0" i="0" u="none" strike="noStrike" kern="1200" baseline="0">
                <a:solidFill>
                  <a:srgbClr val="000000"/>
                </a:solidFill>
                <a:latin typeface="Arial" panose="020B0604020202020204"/>
                <a:ea typeface="Arial" panose="020B0604020202020204"/>
                <a:cs typeface="Arial" panose="020B0604020202020204"/>
              </a:defRPr>
            </a:pPr>
            <a:endParaRPr lang="zh-CN"/>
          </a:p>
        </c:txPr>
      </c:legendEntry>
      <c:legendEntry>
        <c:idx val="2"/>
        <c:txPr>
          <a:bodyPr rot="0" spcFirstLastPara="0" vertOverflow="ellipsis" vert="horz" wrap="square" anchor="ctr" anchorCtr="1"/>
          <a:lstStyle/>
          <a:p>
            <a:pPr>
              <a:defRPr lang="zh-CN" sz="675" b="0" i="0" u="none" strike="noStrike" kern="1200" baseline="0">
                <a:solidFill>
                  <a:srgbClr val="000000"/>
                </a:solidFill>
                <a:latin typeface="Arial" panose="020B0604020202020204"/>
                <a:ea typeface="Arial" panose="020B0604020202020204"/>
                <a:cs typeface="Arial" panose="020B0604020202020204"/>
              </a:defRPr>
            </a:pPr>
            <a:endParaRPr lang="zh-CN"/>
          </a:p>
        </c:txPr>
      </c:legendEntry>
      <c:spPr>
        <a:solidFill>
          <a:srgbClr val="FFFFFF"/>
        </a:solidFill>
        <a:ln w="3175">
          <a:solidFill>
            <a:srgbClr val="000000"/>
          </a:solidFill>
          <a:prstDash val="solid"/>
        </a:ln>
      </c:spPr>
      <c:txPr>
        <a:bodyPr rot="0" spcFirstLastPara="0" vertOverflow="ellipsis" vert="horz" wrap="square" anchor="ctr" anchorCtr="1"/>
        <a:lstStyle/>
        <a:p>
          <a:pPr>
            <a:defRPr lang="zh-CN" sz="675" b="0" i="0" u="none" strike="noStrike" kern="1200" baseline="0">
              <a:solidFill>
                <a:srgbClr val="000000"/>
              </a:solidFill>
              <a:latin typeface="Arial" panose="020B0604020202020204"/>
              <a:ea typeface="Arial" panose="020B0604020202020204"/>
              <a:cs typeface="Arial" panose="020B0604020202020204"/>
            </a:defRPr>
          </a:pPr>
          <a:endParaRPr lang="zh-CN"/>
        </a:p>
      </c:txPr>
    </c:legend>
    <c:plotVisOnly val="1"/>
    <c:dispBlanksAs val="gap"/>
  </c:chart>
  <c:spPr>
    <a:solidFill>
      <a:srgbClr val="FFFFFF"/>
    </a:solidFill>
    <a:ln w="3175" cap="flat" cmpd="sng" algn="ctr">
      <a:solidFill>
        <a:srgbClr val="000000"/>
      </a:solidFill>
      <a:prstDash val="solid"/>
      <a:round/>
    </a:ln>
  </c:spPr>
  <c:txPr>
    <a:bodyPr/>
    <a:lstStyle/>
    <a:p>
      <a:pPr>
        <a:defRPr lang="zh-CN" sz="1200" b="0" i="0" u="none" strike="noStrike" baseline="0">
          <a:solidFill>
            <a:srgbClr val="000000"/>
          </a:solidFill>
          <a:latin typeface="Arial Unicode MS"/>
          <a:ea typeface="Arial Unicode MS"/>
          <a:cs typeface="Arial Unicode MS"/>
        </a:defRPr>
      </a:pPr>
      <a:endParaRPr lang="zh-CN"/>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zh-CN"/>
  <c:chart>
    <c:autoTitleDeleted val="1"/>
    <c:plotArea>
      <c:layout>
        <c:manualLayout>
          <c:layoutTarget val="inner"/>
          <c:xMode val="edge"/>
          <c:yMode val="edge"/>
          <c:x val="0.16704288939051901"/>
          <c:y val="7.9439252336449023E-2"/>
          <c:w val="0.79683972911963896"/>
          <c:h val="0.68691588785046698"/>
        </c:manualLayout>
      </c:layout>
      <c:lineChart>
        <c:grouping val="standard"/>
        <c:ser>
          <c:idx val="0"/>
          <c:order val="0"/>
          <c:spPr>
            <a:ln w="25400" cap="rnd" cmpd="sng" algn="ctr">
              <a:solidFill>
                <a:srgbClr val="000080"/>
              </a:solidFill>
              <a:prstDash val="solid"/>
              <a:round/>
            </a:ln>
          </c:spPr>
          <c:marker>
            <c:symbol val="diamond"/>
            <c:size val="7"/>
            <c:spPr>
              <a:solidFill>
                <a:srgbClr val="000080"/>
              </a:solidFill>
              <a:ln w="9525" cap="flat" cmpd="sng" algn="ctr">
                <a:solidFill>
                  <a:srgbClr val="000080"/>
                </a:solidFill>
                <a:prstDash val="solid"/>
                <a:round/>
              </a:ln>
            </c:spPr>
          </c:marker>
          <c:cat>
            <c:numRef>
              <c:f>'TT PAYNTER CHART_1a (2)'!$BI$40:$BQ$40</c:f>
              <c:numCache>
                <c:formatCode>General</c:formatCode>
                <c:ptCount val="9"/>
                <c:pt idx="0">
                  <c:v>71067</c:v>
                </c:pt>
                <c:pt idx="1">
                  <c:v>71073</c:v>
                </c:pt>
                <c:pt idx="2">
                  <c:v>71048</c:v>
                </c:pt>
                <c:pt idx="3">
                  <c:v>71033</c:v>
                </c:pt>
                <c:pt idx="4">
                  <c:v>71052</c:v>
                </c:pt>
                <c:pt idx="5">
                  <c:v>71086</c:v>
                </c:pt>
                <c:pt idx="6">
                  <c:v>71086</c:v>
                </c:pt>
                <c:pt idx="7">
                  <c:v>82569</c:v>
                </c:pt>
                <c:pt idx="8">
                  <c:v>71069</c:v>
                </c:pt>
              </c:numCache>
            </c:numRef>
          </c:cat>
          <c:val>
            <c:numRef>
              <c:f>'TT PAYNTER CHART_1a (2)'!$BI$41:$BQ$41</c:f>
              <c:numCache>
                <c:formatCode>0</c:formatCode>
                <c:ptCount val="9"/>
                <c:pt idx="0">
                  <c:v>9</c:v>
                </c:pt>
                <c:pt idx="1">
                  <c:v>11</c:v>
                </c:pt>
                <c:pt idx="2">
                  <c:v>12</c:v>
                </c:pt>
                <c:pt idx="3">
                  <c:v>12</c:v>
                </c:pt>
                <c:pt idx="4">
                  <c:v>8</c:v>
                </c:pt>
                <c:pt idx="5">
                  <c:v>12</c:v>
                </c:pt>
                <c:pt idx="6">
                  <c:v>3</c:v>
                </c:pt>
                <c:pt idx="7">
                  <c:v>8</c:v>
                </c:pt>
                <c:pt idx="8">
                  <c:v>4</c:v>
                </c:pt>
              </c:numCache>
            </c:numRef>
          </c:val>
        </c:ser>
        <c:ser>
          <c:idx val="1"/>
          <c:order val="1"/>
          <c:spPr>
            <a:ln w="38100" cap="rnd" cmpd="sng" algn="ctr">
              <a:solidFill>
                <a:srgbClr val="FF0000"/>
              </a:solidFill>
              <a:prstDash val="lgDash"/>
              <a:round/>
            </a:ln>
          </c:spPr>
          <c:marker>
            <c:symbol val="none"/>
          </c:marker>
          <c:cat>
            <c:numRef>
              <c:f>'TT PAYNTER CHART_1a (2)'!$BI$40:$BQ$40</c:f>
              <c:numCache>
                <c:formatCode>General</c:formatCode>
                <c:ptCount val="9"/>
                <c:pt idx="0">
                  <c:v>71067</c:v>
                </c:pt>
                <c:pt idx="1">
                  <c:v>71073</c:v>
                </c:pt>
                <c:pt idx="2">
                  <c:v>71048</c:v>
                </c:pt>
                <c:pt idx="3">
                  <c:v>71033</c:v>
                </c:pt>
                <c:pt idx="4">
                  <c:v>71052</c:v>
                </c:pt>
                <c:pt idx="5">
                  <c:v>71086</c:v>
                </c:pt>
                <c:pt idx="6">
                  <c:v>71086</c:v>
                </c:pt>
                <c:pt idx="7">
                  <c:v>82569</c:v>
                </c:pt>
                <c:pt idx="8">
                  <c:v>71069</c:v>
                </c:pt>
              </c:numCache>
            </c:numRef>
          </c:cat>
          <c:val>
            <c:numRef>
              <c:f>'TT PAYNTER CHART_1a (2)'!$BI$42:$BR$42</c:f>
              <c:numCache>
                <c:formatCode>0</c:formatCode>
                <c:ptCount val="10"/>
                <c:pt idx="0">
                  <c:v>7</c:v>
                </c:pt>
                <c:pt idx="1">
                  <c:v>7</c:v>
                </c:pt>
                <c:pt idx="2">
                  <c:v>7</c:v>
                </c:pt>
                <c:pt idx="3">
                  <c:v>7</c:v>
                </c:pt>
                <c:pt idx="4">
                  <c:v>7</c:v>
                </c:pt>
                <c:pt idx="5">
                  <c:v>7</c:v>
                </c:pt>
                <c:pt idx="6">
                  <c:v>7</c:v>
                </c:pt>
                <c:pt idx="7">
                  <c:v>7</c:v>
                </c:pt>
                <c:pt idx="8">
                  <c:v>7</c:v>
                </c:pt>
              </c:numCache>
            </c:numRef>
          </c:val>
        </c:ser>
        <c:marker val="1"/>
        <c:axId val="127149568"/>
        <c:axId val="127151488"/>
      </c:lineChart>
      <c:catAx>
        <c:axId val="127149568"/>
        <c:scaling>
          <c:orientation val="minMax"/>
        </c:scaling>
        <c:axPos val="b"/>
        <c:title>
          <c:tx>
            <c:rich>
              <a:bodyPr rot="0" spcFirstLastPara="0" vertOverflow="ellipsis" vert="horz" wrap="square" anchor="ctr" anchorCtr="1"/>
              <a:lstStyle/>
              <a:p>
                <a:pPr>
                  <a:defRPr lang="zh-CN" sz="925" b="1" i="0" u="none" strike="noStrike" kern="1200" baseline="0">
                    <a:solidFill>
                      <a:srgbClr val="000000"/>
                    </a:solidFill>
                    <a:latin typeface="Arial Unicode MS"/>
                    <a:ea typeface="Arial Unicode MS"/>
                    <a:cs typeface="Arial Unicode MS"/>
                  </a:defRPr>
                </a:pPr>
                <a:r>
                  <a:rPr lang="en-US" altLang="en-US"/>
                  <a:t>Vehicle # (CCB)	</a:t>
                </a:r>
              </a:p>
            </c:rich>
          </c:tx>
          <c:spPr>
            <a:noFill/>
            <a:ln>
              <a:noFill/>
            </a:ln>
          </c:spPr>
        </c:title>
        <c:numFmt formatCode="General" sourceLinked="1"/>
        <c:tickLblPos val="nextTo"/>
        <c:spPr>
          <a:ln w="3175" cap="flat" cmpd="sng" algn="ctr">
            <a:solidFill>
              <a:srgbClr val="000000"/>
            </a:solidFill>
            <a:prstDash val="solid"/>
            <a:round/>
          </a:ln>
        </c:spPr>
        <c:txPr>
          <a:bodyPr rot="-5400000" spcFirstLastPara="0" vertOverflow="ellipsis" vert="horz" wrap="square" anchor="ctr" anchorCtr="1"/>
          <a:lstStyle/>
          <a:p>
            <a:pPr>
              <a:defRPr lang="zh-CN" sz="850" b="0" i="0" u="none" strike="noStrike" kern="1200" baseline="0">
                <a:solidFill>
                  <a:srgbClr val="000000"/>
                </a:solidFill>
                <a:latin typeface="Arial Unicode MS"/>
                <a:ea typeface="Arial Unicode MS"/>
                <a:cs typeface="Arial Unicode MS"/>
              </a:defRPr>
            </a:pPr>
            <a:endParaRPr lang="zh-CN"/>
          </a:p>
        </c:txPr>
        <c:crossAx val="127151488"/>
        <c:crosses val="autoZero"/>
        <c:lblAlgn val="ctr"/>
        <c:lblOffset val="100"/>
        <c:tickLblSkip val="1"/>
      </c:catAx>
      <c:valAx>
        <c:axId val="127151488"/>
        <c:scaling>
          <c:orientation val="minMax"/>
          <c:max val="22"/>
          <c:min val="0"/>
        </c:scaling>
        <c:axPos val="l"/>
        <c:majorGridlines>
          <c:spPr>
            <a:ln w="3175" cap="flat" cmpd="sng" algn="ctr">
              <a:solidFill>
                <a:srgbClr val="000000"/>
              </a:solidFill>
              <a:prstDash val="solid"/>
              <a:round/>
            </a:ln>
          </c:spPr>
        </c:majorGridlines>
        <c:title>
          <c:tx>
            <c:rich>
              <a:bodyPr rot="-5400000" spcFirstLastPara="0" vertOverflow="ellipsis" vert="horz" wrap="square" anchor="ctr" anchorCtr="1"/>
              <a:lstStyle/>
              <a:p>
                <a:pPr>
                  <a:defRPr lang="zh-CN" sz="1050" b="1" i="0" u="none" strike="noStrike" kern="1200" baseline="0">
                    <a:solidFill>
                      <a:srgbClr val="000000"/>
                    </a:solidFill>
                    <a:latin typeface="Arial" panose="020B0604020202020204"/>
                    <a:ea typeface="Arial" panose="020B0604020202020204"/>
                    <a:cs typeface="Arial" panose="020B0604020202020204"/>
                  </a:defRPr>
                </a:pPr>
                <a:r>
                  <a:rPr lang="en-US" altLang="en-US"/>
                  <a:t>Concerns Per Unit (CPU)</a:t>
                </a:r>
              </a:p>
            </c:rich>
          </c:tx>
          <c:spPr>
            <a:noFill/>
            <a:ln>
              <a:noFill/>
            </a:ln>
          </c:spPr>
        </c:title>
        <c:numFmt formatCode="0" sourceLinked="1"/>
        <c:tickLblPos val="nextTo"/>
        <c:spPr>
          <a:ln w="3175" cap="flat" cmpd="sng" algn="ctr">
            <a:solidFill>
              <a:srgbClr val="000000"/>
            </a:solidFill>
            <a:prstDash val="solid"/>
            <a:round/>
          </a:ln>
        </c:spPr>
        <c:txPr>
          <a:bodyPr rot="0" spcFirstLastPara="0" vertOverflow="ellipsis" vert="horz" wrap="square" anchor="ctr" anchorCtr="1"/>
          <a:lstStyle/>
          <a:p>
            <a:pPr>
              <a:defRPr lang="zh-CN" sz="850" b="0" i="0" u="none" strike="noStrike" kern="1200" baseline="0">
                <a:solidFill>
                  <a:srgbClr val="000000"/>
                </a:solidFill>
                <a:latin typeface="Arial Unicode MS"/>
                <a:ea typeface="Arial Unicode MS"/>
                <a:cs typeface="Arial Unicode MS"/>
              </a:defRPr>
            </a:pPr>
            <a:endParaRPr lang="zh-CN"/>
          </a:p>
        </c:txPr>
        <c:crossAx val="127149568"/>
        <c:crosses val="autoZero"/>
        <c:crossBetween val="between"/>
        <c:majorUnit val="2"/>
        <c:minorUnit val="1"/>
      </c:valAx>
      <c:spPr>
        <a:noFill/>
        <a:ln w="12700">
          <a:solidFill>
            <a:srgbClr val="808080"/>
          </a:solidFill>
          <a:prstDash val="solid"/>
        </a:ln>
      </c:spPr>
    </c:plotArea>
    <c:plotVisOnly val="1"/>
    <c:dispBlanksAs val="gap"/>
  </c:chart>
  <c:spPr>
    <a:solidFill>
      <a:srgbClr val="FFFFFF"/>
    </a:solidFill>
    <a:ln w="3175" cap="flat" cmpd="sng" algn="ctr">
      <a:solidFill>
        <a:srgbClr val="000000"/>
      </a:solidFill>
      <a:prstDash val="solid"/>
      <a:round/>
    </a:ln>
  </c:spPr>
  <c:txPr>
    <a:bodyPr/>
    <a:lstStyle/>
    <a:p>
      <a:pPr>
        <a:defRPr lang="zh-CN" sz="875" b="0" i="0" u="none" strike="noStrike" baseline="0">
          <a:solidFill>
            <a:srgbClr val="000000"/>
          </a:solidFill>
          <a:latin typeface="Arial Unicode MS"/>
          <a:ea typeface="Arial Unicode MS"/>
          <a:cs typeface="Arial Unicode MS"/>
        </a:defRPr>
      </a:pPr>
      <a:endParaRPr lang="zh-CN"/>
    </a:p>
  </c:tx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zh-CN"/>
  <c:chart>
    <c:title>
      <c:tx>
        <c:rich>
          <a:bodyPr rot="0" spcFirstLastPara="0" vertOverflow="ellipsis" vert="horz" wrap="square" anchor="ctr" anchorCtr="1"/>
          <a:lstStyle/>
          <a:p>
            <a:pPr>
              <a:defRPr lang="zh-CN" sz="1025" b="1" i="0" u="none" strike="noStrike" kern="1200" baseline="0">
                <a:solidFill>
                  <a:srgbClr val="000000"/>
                </a:solidFill>
                <a:latin typeface="Arial Unicode MS"/>
                <a:ea typeface="Arial Unicode MS"/>
                <a:cs typeface="Arial Unicode MS"/>
              </a:defRPr>
            </a:pPr>
            <a:r>
              <a:rPr lang="en-US" altLang="en-US"/>
              <a:t>Containment Status</a:t>
            </a:r>
          </a:p>
        </c:rich>
      </c:tx>
      <c:spPr>
        <a:noFill/>
        <a:ln>
          <a:noFill/>
        </a:ln>
      </c:spPr>
    </c:title>
    <c:plotArea>
      <c:layout>
        <c:manualLayout>
          <c:layoutTarget val="inner"/>
          <c:xMode val="edge"/>
          <c:yMode val="edge"/>
          <c:x val="0.22355115837703701"/>
          <c:y val="0.181395554818717"/>
          <c:w val="0.75437016407065849"/>
          <c:h val="0.6627914502996497"/>
        </c:manualLayout>
      </c:layout>
      <c:barChart>
        <c:barDir val="bar"/>
        <c:grouping val="clustered"/>
        <c:ser>
          <c:idx val="2"/>
          <c:order val="0"/>
          <c:spPr>
            <a:solidFill>
              <a:srgbClr val="8064A2"/>
            </a:solidFill>
            <a:ln w="3175">
              <a:solidFill>
                <a:srgbClr val="000000"/>
              </a:solidFill>
              <a:prstDash val="solid"/>
            </a:ln>
          </c:spPr>
          <c:dPt>
            <c:idx val="0"/>
            <c:spPr>
              <a:solidFill>
                <a:srgbClr val="00B050"/>
              </a:solidFill>
              <a:ln w="3175">
                <a:solidFill>
                  <a:srgbClr val="000000"/>
                </a:solidFill>
                <a:prstDash val="solid"/>
              </a:ln>
            </c:spPr>
          </c:dPt>
          <c:dPt>
            <c:idx val="1"/>
            <c:spPr>
              <a:solidFill>
                <a:srgbClr val="FFFF00"/>
              </a:solidFill>
              <a:ln w="3175">
                <a:solidFill>
                  <a:srgbClr val="000000"/>
                </a:solidFill>
                <a:prstDash val="solid"/>
              </a:ln>
            </c:spPr>
          </c:dPt>
          <c:dPt>
            <c:idx val="2"/>
            <c:spPr>
              <a:solidFill>
                <a:srgbClr val="FF0000"/>
              </a:solidFill>
              <a:ln w="3175">
                <a:solidFill>
                  <a:srgbClr val="000000"/>
                </a:solidFill>
                <a:prstDash val="solid"/>
              </a:ln>
            </c:spPr>
          </c:dPt>
          <c:cat>
            <c:strRef>
              <c:f>'TT PAYNTER CHART_1a (2)'!$AC$33:$AC$35</c:f>
              <c:strCache>
                <c:ptCount val="3"/>
                <c:pt idx="0">
                  <c:v>PCA</c:v>
                </c:pt>
                <c:pt idx="1">
                  <c:v>ICA in; PCA pending</c:v>
                </c:pt>
                <c:pt idx="2">
                  <c:v>NO ICA</c:v>
                </c:pt>
              </c:strCache>
            </c:strRef>
          </c:cat>
          <c:val>
            <c:numRef>
              <c:f>'TT PAYNTER CHART_1a (2)'!$AE$33:$AE$35</c:f>
              <c:numCache>
                <c:formatCode>General</c:formatCode>
                <c:ptCount val="3"/>
                <c:pt idx="0">
                  <c:v>21</c:v>
                </c:pt>
                <c:pt idx="1">
                  <c:v>61</c:v>
                </c:pt>
                <c:pt idx="2">
                  <c:v>11</c:v>
                </c:pt>
              </c:numCache>
            </c:numRef>
          </c:val>
        </c:ser>
        <c:axId val="127188992"/>
        <c:axId val="127190528"/>
      </c:barChart>
      <c:catAx>
        <c:axId val="127188992"/>
        <c:scaling>
          <c:orientation val="minMax"/>
        </c:scaling>
        <c:axPos val="l"/>
        <c:numFmt formatCode="General" sourceLinked="1"/>
        <c:maj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zh-CN"/>
          </a:p>
        </c:txPr>
        <c:crossAx val="127190528"/>
        <c:crosses val="autoZero"/>
        <c:lblAlgn val="ctr"/>
        <c:lblOffset val="100"/>
        <c:tickLblSkip val="1"/>
      </c:catAx>
      <c:valAx>
        <c:axId val="127190528"/>
        <c:scaling>
          <c:orientation val="minMax"/>
        </c:scaling>
        <c:axPos val="b"/>
        <c:majorGridlines>
          <c:spPr>
            <a:ln w="3175" cap="flat" cmpd="sng" algn="ctr">
              <a:solidFill>
                <a:srgbClr val="000000"/>
              </a:solidFill>
              <a:prstDash val="solid"/>
              <a:round/>
            </a:ln>
          </c:spPr>
        </c:majorGridlines>
        <c:numFmt formatCode="General" sourceLinked="1"/>
        <c:maj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zh-CN"/>
          </a:p>
        </c:txPr>
        <c:crossAx val="127188992"/>
        <c:crosses val="autoZero"/>
        <c:crossBetween val="between"/>
      </c:valAx>
      <c:spPr>
        <a:solidFill>
          <a:srgbClr val="FFFFFF"/>
        </a:solidFill>
        <a:ln>
          <a:noFill/>
        </a:ln>
      </c:spPr>
    </c:plotArea>
    <c:plotVisOnly val="1"/>
    <c:dispBlanksAs val="gap"/>
  </c:chart>
  <c:spPr>
    <a:solidFill>
      <a:srgbClr val="FFFFFF"/>
    </a:solidFill>
    <a:ln w="3175" cap="flat" cmpd="sng" algn="ctr">
      <a:solidFill>
        <a:srgbClr val="000000"/>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zh-CN"/>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zh-CN"/>
  <c:chart>
    <c:autoTitleDeleted val="1"/>
    <c:plotArea>
      <c:layout/>
      <c:lineChart>
        <c:grouping val="standard"/>
        <c:ser>
          <c:idx val="2"/>
          <c:order val="0"/>
          <c:spPr>
            <a:ln w="25400" cap="rnd" cmpd="sng" algn="ctr">
              <a:solidFill>
                <a:srgbClr val="000080"/>
              </a:solidFill>
              <a:prstDash val="solid"/>
              <a:round/>
            </a:ln>
          </c:spPr>
          <c:marker>
            <c:symbol val="triangle"/>
            <c:size val="7"/>
            <c:spPr>
              <a:solidFill>
                <a:srgbClr val="9BBB59"/>
              </a:solidFill>
              <a:ln w="9525" cap="flat" cmpd="sng" algn="ctr">
                <a:solidFill>
                  <a:srgbClr val="9BBB59"/>
                </a:solidFill>
                <a:prstDash val="solid"/>
                <a:round/>
              </a:ln>
            </c:spPr>
          </c:marker>
          <c:val>
            <c:numLit>
              <c:formatCode>General</c:formatCode>
              <c:ptCount val="1"/>
              <c:pt idx="0">
                <c:v>0</c:v>
              </c:pt>
            </c:numLit>
          </c:val>
        </c:ser>
        <c:ser>
          <c:idx val="3"/>
          <c:order val="1"/>
          <c:spPr>
            <a:ln w="38100" cap="rnd" cmpd="sng" algn="ctr">
              <a:solidFill>
                <a:srgbClr val="FF0000"/>
              </a:solidFill>
              <a:prstDash val="lgDash"/>
              <a:round/>
            </a:ln>
          </c:spPr>
          <c:marker>
            <c:symbol val="x"/>
            <c:size val="7"/>
            <c:spPr>
              <a:solidFill>
                <a:srgbClr val="000000"/>
              </a:solidFill>
              <a:ln w="9525" cap="flat" cmpd="sng" algn="ctr">
                <a:solidFill>
                  <a:srgbClr val="8064A2"/>
                </a:solidFill>
                <a:prstDash val="solid"/>
                <a:round/>
              </a:ln>
            </c:spPr>
          </c:marker>
          <c:val>
            <c:numLit>
              <c:formatCode>General</c:formatCode>
              <c:ptCount val="1"/>
              <c:pt idx="0">
                <c:v>0</c:v>
              </c:pt>
            </c:numLit>
          </c:val>
        </c:ser>
        <c:ser>
          <c:idx val="0"/>
          <c:order val="2"/>
          <c:spPr>
            <a:ln w="25400" cap="rnd" cmpd="sng" algn="ctr">
              <a:solidFill>
                <a:srgbClr val="000080"/>
              </a:solidFill>
              <a:prstDash val="solid"/>
              <a:round/>
            </a:ln>
          </c:spPr>
          <c:marker>
            <c:symbol val="diamond"/>
            <c:size val="7"/>
            <c:spPr>
              <a:solidFill>
                <a:srgbClr val="000080"/>
              </a:solidFill>
              <a:ln w="9525" cap="flat" cmpd="sng" algn="ctr">
                <a:solidFill>
                  <a:srgbClr val="000080"/>
                </a:solidFill>
                <a:prstDash val="solid"/>
                <a:round/>
              </a:ln>
            </c:spPr>
          </c:marker>
          <c:val>
            <c:numLit>
              <c:formatCode>General</c:formatCode>
              <c:ptCount val="1"/>
              <c:pt idx="0">
                <c:v>0</c:v>
              </c:pt>
            </c:numLit>
          </c:val>
        </c:ser>
        <c:ser>
          <c:idx val="1"/>
          <c:order val="3"/>
          <c:spPr>
            <a:ln w="38100" cap="rnd" cmpd="sng" algn="ctr">
              <a:solidFill>
                <a:srgbClr val="FF0000"/>
              </a:solidFill>
              <a:prstDash val="lgDash"/>
              <a:round/>
            </a:ln>
          </c:spPr>
          <c:marker>
            <c:symbol val="none"/>
          </c:marker>
          <c:val>
            <c:numLit>
              <c:formatCode>General</c:formatCode>
              <c:ptCount val="1"/>
              <c:pt idx="0">
                <c:v>0</c:v>
              </c:pt>
            </c:numLit>
          </c:val>
        </c:ser>
        <c:marker val="1"/>
        <c:axId val="127355904"/>
        <c:axId val="127362176"/>
      </c:lineChart>
      <c:catAx>
        <c:axId val="127355904"/>
        <c:scaling>
          <c:orientation val="minMax"/>
        </c:scaling>
        <c:axPos val="b"/>
        <c:title>
          <c:tx>
            <c:rich>
              <a:bodyPr rot="0" spcFirstLastPara="0" vertOverflow="ellipsis" vert="horz" wrap="square" anchor="ctr" anchorCtr="1"/>
              <a:lstStyle/>
              <a:p>
                <a:pPr>
                  <a:defRPr lang="zh-CN" sz="925" b="1" i="0" u="none" strike="noStrike" kern="1200" baseline="0">
                    <a:solidFill>
                      <a:srgbClr val="000000"/>
                    </a:solidFill>
                    <a:latin typeface="Arial Unicode MS"/>
                    <a:ea typeface="Arial Unicode MS"/>
                    <a:cs typeface="Arial Unicode MS"/>
                  </a:defRPr>
                </a:pPr>
                <a:r>
                  <a:rPr lang="en-US" altLang="en-US"/>
                  <a:t>Vehicle # (B/K)</a:t>
                </a:r>
              </a:p>
            </c:rich>
          </c:tx>
          <c:spPr>
            <a:noFill/>
            <a:ln>
              <a:noFill/>
            </a:ln>
          </c:spPr>
        </c:title>
        <c:numFmt formatCode="General" sourceLinked="1"/>
        <c:tickLblPos val="nextTo"/>
        <c:spPr>
          <a:ln w="3175" cap="flat" cmpd="sng" algn="ctr">
            <a:solidFill>
              <a:srgbClr val="000000"/>
            </a:solidFill>
            <a:prstDash val="solid"/>
            <a:round/>
          </a:ln>
        </c:spPr>
        <c:txPr>
          <a:bodyPr rot="-5400000" spcFirstLastPara="0" vertOverflow="ellipsis" vert="horz" wrap="square" anchor="ctr" anchorCtr="1"/>
          <a:lstStyle/>
          <a:p>
            <a:pPr>
              <a:defRPr lang="zh-CN" sz="850" b="0" i="0" u="none" strike="noStrike" kern="1200" baseline="0">
                <a:solidFill>
                  <a:srgbClr val="000000"/>
                </a:solidFill>
                <a:latin typeface="Arial Unicode MS"/>
                <a:ea typeface="Arial Unicode MS"/>
                <a:cs typeface="Arial Unicode MS"/>
              </a:defRPr>
            </a:pPr>
            <a:endParaRPr lang="zh-CN"/>
          </a:p>
        </c:txPr>
        <c:crossAx val="127362176"/>
        <c:crosses val="autoZero"/>
        <c:lblAlgn val="ctr"/>
        <c:lblOffset val="100"/>
        <c:tickLblSkip val="1"/>
      </c:catAx>
      <c:valAx>
        <c:axId val="127362176"/>
        <c:scaling>
          <c:orientation val="minMax"/>
          <c:max val="22"/>
          <c:min val="0"/>
        </c:scaling>
        <c:axPos val="l"/>
        <c:majorGridlines>
          <c:spPr>
            <a:ln w="3175" cap="flat" cmpd="sng" algn="ctr">
              <a:solidFill>
                <a:srgbClr val="000000"/>
              </a:solidFill>
              <a:prstDash val="solid"/>
              <a:round/>
            </a:ln>
          </c:spPr>
        </c:majorGridlines>
        <c:title>
          <c:tx>
            <c:rich>
              <a:bodyPr rot="-5400000" spcFirstLastPara="0" vertOverflow="ellipsis" vert="horz" wrap="square" anchor="ctr" anchorCtr="1"/>
              <a:lstStyle/>
              <a:p>
                <a:pPr>
                  <a:defRPr lang="zh-CN" sz="1050" b="1" i="0" u="none" strike="noStrike" kern="1200" baseline="0">
                    <a:solidFill>
                      <a:srgbClr val="000000"/>
                    </a:solidFill>
                    <a:latin typeface="Arial" panose="020B0604020202020204"/>
                    <a:ea typeface="Arial" panose="020B0604020202020204"/>
                    <a:cs typeface="Arial" panose="020B0604020202020204"/>
                  </a:defRPr>
                </a:pPr>
                <a:r>
                  <a:rPr lang="en-US" altLang="en-US"/>
                  <a:t>Concerns Per Unit (CPU)</a:t>
                </a:r>
              </a:p>
            </c:rich>
          </c:tx>
          <c:spPr>
            <a:noFill/>
            <a:ln>
              <a:noFill/>
            </a:ln>
          </c:spPr>
        </c:title>
        <c:numFmt formatCode="General" sourceLinked="1"/>
        <c:tickLblPos val="nextTo"/>
        <c:spPr>
          <a:ln w="3175" cap="flat" cmpd="sng" algn="ctr">
            <a:solidFill>
              <a:srgbClr val="000000"/>
            </a:solidFill>
            <a:prstDash val="solid"/>
            <a:round/>
          </a:ln>
        </c:spPr>
        <c:txPr>
          <a:bodyPr rot="0" spcFirstLastPara="0" vertOverflow="ellipsis" vert="horz" wrap="square" anchor="ctr" anchorCtr="1"/>
          <a:lstStyle/>
          <a:p>
            <a:pPr>
              <a:defRPr lang="zh-CN" sz="850" b="0" i="0" u="none" strike="noStrike" kern="1200" baseline="0">
                <a:solidFill>
                  <a:srgbClr val="000000"/>
                </a:solidFill>
                <a:latin typeface="Arial Unicode MS"/>
                <a:ea typeface="Arial Unicode MS"/>
                <a:cs typeface="Arial Unicode MS"/>
              </a:defRPr>
            </a:pPr>
            <a:endParaRPr lang="zh-CN"/>
          </a:p>
        </c:txPr>
        <c:crossAx val="127355904"/>
        <c:crosses val="autoZero"/>
        <c:crossBetween val="between"/>
        <c:majorUnit val="2"/>
        <c:minorUnit val="1"/>
      </c:valAx>
      <c:spPr>
        <a:noFill/>
        <a:ln w="12700">
          <a:solidFill>
            <a:srgbClr val="808080"/>
          </a:solidFill>
          <a:prstDash val="solid"/>
        </a:ln>
      </c:spPr>
    </c:plotArea>
    <c:plotVisOnly val="1"/>
    <c:dispBlanksAs val="gap"/>
  </c:chart>
  <c:spPr>
    <a:solidFill>
      <a:srgbClr val="FFFFFF"/>
    </a:solidFill>
    <a:ln w="3175" cap="flat" cmpd="sng" algn="ctr">
      <a:solidFill>
        <a:srgbClr val="000000"/>
      </a:solidFill>
      <a:prstDash val="solid"/>
      <a:round/>
    </a:ln>
  </c:spPr>
  <c:txPr>
    <a:bodyPr/>
    <a:lstStyle/>
    <a:p>
      <a:pPr>
        <a:defRPr lang="zh-CN" sz="875" b="0" i="0" u="none" strike="noStrike" baseline="0">
          <a:solidFill>
            <a:srgbClr val="000000"/>
          </a:solidFill>
          <a:latin typeface="Arial Unicode MS"/>
          <a:ea typeface="Arial Unicode MS"/>
          <a:cs typeface="Arial Unicode MS"/>
        </a:defRPr>
      </a:pPr>
      <a:endParaRPr lang="zh-CN"/>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zh-CN"/>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endParaRPr lang="zh-CN" altLang="en-US"/>
          </a:p>
        </c:rich>
      </c:tx>
      <c:layout/>
    </c:title>
    <c:plotArea>
      <c:layout>
        <c:manualLayout>
          <c:layoutTarget val="inner"/>
          <c:xMode val="edge"/>
          <c:yMode val="edge"/>
          <c:x val="4.2692740275272978E-2"/>
          <c:y val="0.11798258676050682"/>
          <c:w val="0.95340506388984103"/>
          <c:h val="0.75686026071273549"/>
        </c:manualLayout>
      </c:layout>
      <c:barChart>
        <c:barDir val="col"/>
        <c:grouping val="clustered"/>
        <c:ser>
          <c:idx val="0"/>
          <c:order val="0"/>
          <c:tx>
            <c:strRef>
              <c:f>'CX743'!$C$38</c:f>
              <c:strCache>
                <c:ptCount val="1"/>
                <c:pt idx="0">
                  <c:v>年</c:v>
                </c:pt>
              </c:strCache>
            </c:strRef>
          </c:tx>
          <c:spPr>
            <a:solidFill>
              <a:srgbClr val="002060"/>
            </a:solidFill>
          </c:spPr>
          <c:dLbls>
            <c:spPr>
              <a:noFill/>
              <a:ln>
                <a:noFill/>
              </a:ln>
              <a:effectLst/>
            </c:spPr>
            <c:txPr>
              <a:bodyPr rot="0" spcFirstLastPara="0" vertOverflow="ellipsis" vert="horz" wrap="square" lIns="38100" tIns="19050" rIns="38100" bIns="19050" anchor="ctr" anchorCtr="1"/>
              <a:lstStyle/>
              <a:p>
                <a:pPr>
                  <a:defRPr lang="zh-CN" sz="14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'CX743'!$D$35:$GV$35</c:f>
              <c:strCache>
                <c:ptCount val="19"/>
                <c:pt idx="0">
                  <c:v>2018YTD</c:v>
                </c:pt>
                <c:pt idx="1">
                  <c:v>2019YTD</c:v>
                </c:pt>
                <c:pt idx="2">
                  <c:v>JAN</c:v>
                </c:pt>
                <c:pt idx="3">
                  <c:v>FEB</c:v>
                </c:pt>
                <c:pt idx="4">
                  <c:v>MAR</c:v>
                </c:pt>
                <c:pt idx="5">
                  <c:v>APR</c:v>
                </c:pt>
                <c:pt idx="6">
                  <c:v>MAY</c:v>
                </c:pt>
                <c:pt idx="7">
                  <c:v>WK1</c:v>
                </c:pt>
                <c:pt idx="8">
                  <c:v>WK2</c:v>
                </c:pt>
                <c:pt idx="9">
                  <c:v>WK3</c:v>
                </c:pt>
                <c:pt idx="10">
                  <c:v>WK4</c:v>
                </c:pt>
                <c:pt idx="11">
                  <c:v>WK5</c:v>
                </c:pt>
                <c:pt idx="12">
                  <c:v>2019/5/10</c:v>
                </c:pt>
                <c:pt idx="13">
                  <c:v>2019/5/11</c:v>
                </c:pt>
                <c:pt idx="14">
                  <c:v>2019/5/12</c:v>
                </c:pt>
                <c:pt idx="15">
                  <c:v>2019/5/13</c:v>
                </c:pt>
                <c:pt idx="16">
                  <c:v>2019/5/14</c:v>
                </c:pt>
                <c:pt idx="17">
                  <c:v>2019/5/15</c:v>
                </c:pt>
                <c:pt idx="18">
                  <c:v>2019/5/16</c:v>
                </c:pt>
              </c:strCache>
            </c:strRef>
          </c:cat>
          <c:val>
            <c:numRef>
              <c:f>'CX743'!$D$38:$GV$38</c:f>
              <c:numCache>
                <c:formatCode>0.00_);[Red]\(0.00\)</c:formatCode>
                <c:ptCount val="19"/>
                <c:pt idx="0">
                  <c:v>69.244604316546756</c:v>
                </c:pt>
                <c:pt idx="1">
                  <c:v>12.541592014333249</c:v>
                </c:pt>
              </c:numCache>
            </c:numRef>
          </c:val>
        </c:ser>
        <c:ser>
          <c:idx val="3"/>
          <c:order val="3"/>
          <c:tx>
            <c:strRef>
              <c:f>'CX743'!$C$39</c:f>
              <c:strCache>
                <c:ptCount val="1"/>
                <c:pt idx="0">
                  <c:v>月</c:v>
                </c:pt>
              </c:strCache>
            </c:strRef>
          </c:tx>
          <c:spPr>
            <a:solidFill>
              <a:srgbClr val="0070C0"/>
            </a:solidFill>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'CX743'!$D$35:$GV$35</c:f>
              <c:strCache>
                <c:ptCount val="19"/>
                <c:pt idx="0">
                  <c:v>2018YTD</c:v>
                </c:pt>
                <c:pt idx="1">
                  <c:v>2019YTD</c:v>
                </c:pt>
                <c:pt idx="2">
                  <c:v>JAN</c:v>
                </c:pt>
                <c:pt idx="3">
                  <c:v>FEB</c:v>
                </c:pt>
                <c:pt idx="4">
                  <c:v>MAR</c:v>
                </c:pt>
                <c:pt idx="5">
                  <c:v>APR</c:v>
                </c:pt>
                <c:pt idx="6">
                  <c:v>MAY</c:v>
                </c:pt>
                <c:pt idx="7">
                  <c:v>WK1</c:v>
                </c:pt>
                <c:pt idx="8">
                  <c:v>WK2</c:v>
                </c:pt>
                <c:pt idx="9">
                  <c:v>WK3</c:v>
                </c:pt>
                <c:pt idx="10">
                  <c:v>WK4</c:v>
                </c:pt>
                <c:pt idx="11">
                  <c:v>WK5</c:v>
                </c:pt>
                <c:pt idx="12">
                  <c:v>2019/5/10</c:v>
                </c:pt>
                <c:pt idx="13">
                  <c:v>2019/5/11</c:v>
                </c:pt>
                <c:pt idx="14">
                  <c:v>2019/5/12</c:v>
                </c:pt>
                <c:pt idx="15">
                  <c:v>2019/5/13</c:v>
                </c:pt>
                <c:pt idx="16">
                  <c:v>2019/5/14</c:v>
                </c:pt>
                <c:pt idx="17">
                  <c:v>2019/5/15</c:v>
                </c:pt>
                <c:pt idx="18">
                  <c:v>2019/5/16</c:v>
                </c:pt>
              </c:strCache>
            </c:strRef>
          </c:cat>
          <c:val>
            <c:numRef>
              <c:f>'CX743'!$D$39:$GV$39</c:f>
              <c:numCache>
                <c:formatCode>0.00_);[Red]\(0.00\)</c:formatCode>
                <c:ptCount val="19"/>
                <c:pt idx="2">
                  <c:v>23.523763802208354</c:v>
                </c:pt>
                <c:pt idx="3">
                  <c:v>22.736181889455114</c:v>
                </c:pt>
                <c:pt idx="4">
                  <c:v>11.23046875</c:v>
                </c:pt>
                <c:pt idx="5">
                  <c:v>8.4707980383415062</c:v>
                </c:pt>
                <c:pt idx="6">
                  <c:v>5.9171597633136095</c:v>
                </c:pt>
              </c:numCache>
            </c:numRef>
          </c:val>
        </c:ser>
        <c:ser>
          <c:idx val="4"/>
          <c:order val="4"/>
          <c:tx>
            <c:strRef>
              <c:f>'CX743'!$C$40</c:f>
              <c:strCache>
                <c:ptCount val="1"/>
                <c:pt idx="0">
                  <c:v>周</c:v>
                </c:pt>
              </c:strCache>
            </c:strRef>
          </c:tx>
          <c:spPr>
            <a:solidFill>
              <a:srgbClr val="00B0F0"/>
            </a:solidFill>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'CX743'!$D$35:$GV$35</c:f>
              <c:strCache>
                <c:ptCount val="19"/>
                <c:pt idx="0">
                  <c:v>2018YTD</c:v>
                </c:pt>
                <c:pt idx="1">
                  <c:v>2019YTD</c:v>
                </c:pt>
                <c:pt idx="2">
                  <c:v>JAN</c:v>
                </c:pt>
                <c:pt idx="3">
                  <c:v>FEB</c:v>
                </c:pt>
                <c:pt idx="4">
                  <c:v>MAR</c:v>
                </c:pt>
                <c:pt idx="5">
                  <c:v>APR</c:v>
                </c:pt>
                <c:pt idx="6">
                  <c:v>MAY</c:v>
                </c:pt>
                <c:pt idx="7">
                  <c:v>WK1</c:v>
                </c:pt>
                <c:pt idx="8">
                  <c:v>WK2</c:v>
                </c:pt>
                <c:pt idx="9">
                  <c:v>WK3</c:v>
                </c:pt>
                <c:pt idx="10">
                  <c:v>WK4</c:v>
                </c:pt>
                <c:pt idx="11">
                  <c:v>WK5</c:v>
                </c:pt>
                <c:pt idx="12">
                  <c:v>2019/5/10</c:v>
                </c:pt>
                <c:pt idx="13">
                  <c:v>2019/5/11</c:v>
                </c:pt>
                <c:pt idx="14">
                  <c:v>2019/5/12</c:v>
                </c:pt>
                <c:pt idx="15">
                  <c:v>2019/5/13</c:v>
                </c:pt>
                <c:pt idx="16">
                  <c:v>2019/5/14</c:v>
                </c:pt>
                <c:pt idx="17">
                  <c:v>2019/5/15</c:v>
                </c:pt>
                <c:pt idx="18">
                  <c:v>2019/5/16</c:v>
                </c:pt>
              </c:strCache>
            </c:strRef>
          </c:cat>
          <c:val>
            <c:numRef>
              <c:f>'CX743'!$D$40:$GV$40</c:f>
              <c:numCache>
                <c:formatCode>0.00_);[Red]\(0.00\)</c:formatCode>
                <c:ptCount val="19"/>
                <c:pt idx="7">
                  <c:v>2.5906735751295336</c:v>
                </c:pt>
                <c:pt idx="8">
                  <c:v>3.8461538461538463</c:v>
                </c:pt>
                <c:pt idx="9">
                  <c:v>8.097165991902834</c:v>
                </c:pt>
                <c:pt idx="10">
                  <c:v>0</c:v>
                </c:pt>
                <c:pt idx="11">
                  <c:v>0</c:v>
                </c:pt>
              </c:numCache>
            </c:numRef>
          </c:val>
        </c:ser>
        <c:dLbls>
          <c:showVal val="1"/>
        </c:dLbls>
        <c:axId val="127973248"/>
        <c:axId val="127974784"/>
      </c:barChart>
      <c:lineChart>
        <c:grouping val="standard"/>
        <c:ser>
          <c:idx val="1"/>
          <c:order val="1"/>
          <c:tx>
            <c:strRef>
              <c:f>'CX743'!$B$41</c:f>
              <c:strCache>
                <c:ptCount val="1"/>
                <c:pt idx="0">
                  <c:v>目标值</c:v>
                </c:pt>
              </c:strCache>
            </c:strRef>
          </c:tx>
          <c:marker>
            <c:symbol val="none"/>
          </c:marker>
          <c:cat>
            <c:strRef>
              <c:f>'CX743'!$D$35:$GV$35</c:f>
              <c:strCache>
                <c:ptCount val="19"/>
                <c:pt idx="0">
                  <c:v>2018YTD</c:v>
                </c:pt>
                <c:pt idx="1">
                  <c:v>2019YTD</c:v>
                </c:pt>
                <c:pt idx="2">
                  <c:v>JAN</c:v>
                </c:pt>
                <c:pt idx="3">
                  <c:v>FEB</c:v>
                </c:pt>
                <c:pt idx="4">
                  <c:v>MAR</c:v>
                </c:pt>
                <c:pt idx="5">
                  <c:v>APR</c:v>
                </c:pt>
                <c:pt idx="6">
                  <c:v>MAY</c:v>
                </c:pt>
                <c:pt idx="7">
                  <c:v>WK1</c:v>
                </c:pt>
                <c:pt idx="8">
                  <c:v>WK2</c:v>
                </c:pt>
                <c:pt idx="9">
                  <c:v>WK3</c:v>
                </c:pt>
                <c:pt idx="10">
                  <c:v>WK4</c:v>
                </c:pt>
                <c:pt idx="11">
                  <c:v>WK5</c:v>
                </c:pt>
                <c:pt idx="12">
                  <c:v>2019/5/10</c:v>
                </c:pt>
                <c:pt idx="13">
                  <c:v>2019/5/11</c:v>
                </c:pt>
                <c:pt idx="14">
                  <c:v>2019/5/12</c:v>
                </c:pt>
                <c:pt idx="15">
                  <c:v>2019/5/13</c:v>
                </c:pt>
                <c:pt idx="16">
                  <c:v>2019/5/14</c:v>
                </c:pt>
                <c:pt idx="17">
                  <c:v>2019/5/15</c:v>
                </c:pt>
                <c:pt idx="18">
                  <c:v>2019/5/16</c:v>
                </c:pt>
              </c:strCache>
            </c:strRef>
          </c:cat>
          <c:val>
            <c:numRef>
              <c:f>'CX743'!$D$41:$GV$41</c:f>
              <c:numCache>
                <c:formatCode>0.00_);[Red]\(0.00\)</c:formatCode>
                <c:ptCount val="19"/>
                <c:pt idx="1">
                  <c:v>28.8</c:v>
                </c:pt>
                <c:pt idx="2">
                  <c:v>28.8</c:v>
                </c:pt>
                <c:pt idx="3">
                  <c:v>28.8</c:v>
                </c:pt>
                <c:pt idx="4">
                  <c:v>28.8</c:v>
                </c:pt>
                <c:pt idx="5">
                  <c:v>28.8</c:v>
                </c:pt>
                <c:pt idx="6">
                  <c:v>28.8</c:v>
                </c:pt>
                <c:pt idx="7">
                  <c:v>28.8</c:v>
                </c:pt>
                <c:pt idx="8">
                  <c:v>28.8</c:v>
                </c:pt>
                <c:pt idx="9">
                  <c:v>28.8</c:v>
                </c:pt>
                <c:pt idx="10">
                  <c:v>28.8</c:v>
                </c:pt>
                <c:pt idx="11">
                  <c:v>28.8</c:v>
                </c:pt>
              </c:numCache>
            </c:numRef>
          </c:val>
        </c:ser>
        <c:ser>
          <c:idx val="2"/>
          <c:order val="2"/>
          <c:tx>
            <c:strRef>
              <c:f>'CX743'!$C$44</c:f>
              <c:strCache>
                <c:ptCount val="1"/>
                <c:pt idx="0">
                  <c:v>日</c:v>
                </c:pt>
              </c:strCache>
            </c:strRef>
          </c:tx>
          <c:spPr>
            <a:ln w="28575" cap="rnd" cmpd="sng" algn="ctr">
              <a:solidFill>
                <a:srgbClr val="7030A0"/>
              </a:solidFill>
              <a:prstDash val="solid"/>
              <a:round/>
            </a:ln>
          </c:spPr>
          <c:marker>
            <c:symbol val="none"/>
          </c:marker>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r"/>
            <c:showVal val="1"/>
            <c:extLst>
              <c:ext xmlns:c15="http://schemas.microsoft.com/office/drawing/2012/chart" uri="{CE6537A1-D6FC-4f65-9D91-7224C49458BB}">
                <c15:layout/>
                <c15:showLeaderLines val="0"/>
                <c15:leaderLines/>
              </c:ext>
            </c:extLst>
          </c:dLbls>
          <c:cat>
            <c:strRef>
              <c:f>'CX743'!$D$35:$GV$35</c:f>
              <c:strCache>
                <c:ptCount val="19"/>
                <c:pt idx="0">
                  <c:v>2018YTD</c:v>
                </c:pt>
                <c:pt idx="1">
                  <c:v>2019YTD</c:v>
                </c:pt>
                <c:pt idx="2">
                  <c:v>JAN</c:v>
                </c:pt>
                <c:pt idx="3">
                  <c:v>FEB</c:v>
                </c:pt>
                <c:pt idx="4">
                  <c:v>MAR</c:v>
                </c:pt>
                <c:pt idx="5">
                  <c:v>APR</c:v>
                </c:pt>
                <c:pt idx="6">
                  <c:v>MAY</c:v>
                </c:pt>
                <c:pt idx="7">
                  <c:v>WK1</c:v>
                </c:pt>
                <c:pt idx="8">
                  <c:v>WK2</c:v>
                </c:pt>
                <c:pt idx="9">
                  <c:v>WK3</c:v>
                </c:pt>
                <c:pt idx="10">
                  <c:v>WK4</c:v>
                </c:pt>
                <c:pt idx="11">
                  <c:v>WK5</c:v>
                </c:pt>
                <c:pt idx="12">
                  <c:v>2019/5/10</c:v>
                </c:pt>
                <c:pt idx="13">
                  <c:v>2019/5/11</c:v>
                </c:pt>
                <c:pt idx="14">
                  <c:v>2019/5/12</c:v>
                </c:pt>
                <c:pt idx="15">
                  <c:v>2019/5/13</c:v>
                </c:pt>
                <c:pt idx="16">
                  <c:v>2019/5/14</c:v>
                </c:pt>
                <c:pt idx="17">
                  <c:v>2019/5/15</c:v>
                </c:pt>
                <c:pt idx="18">
                  <c:v>2019/5/16</c:v>
                </c:pt>
              </c:strCache>
            </c:strRef>
          </c:cat>
          <c:val>
            <c:numRef>
              <c:f>'CX743'!$D$44:$GV$44</c:f>
              <c:numCache>
                <c:formatCode>0.00_);[Red]\(0.00\)</c:formatCode>
                <c:ptCount val="19"/>
                <c:pt idx="12">
                  <c:v>17.543859649122808</c:v>
                </c:pt>
                <c:pt idx="13">
                  <c:v>0</c:v>
                </c:pt>
                <c:pt idx="14">
                  <c:v>0</c:v>
                </c:pt>
                <c:pt idx="15">
                  <c:v>4.6296296296296298</c:v>
                </c:pt>
                <c:pt idx="16">
                  <c:v>13.452914798206278</c:v>
                </c:pt>
                <c:pt idx="17">
                  <c:v>8.7719298245614041</c:v>
                </c:pt>
                <c:pt idx="18">
                  <c:v>4.2553191489361701</c:v>
                </c:pt>
              </c:numCache>
            </c:numRef>
          </c:val>
        </c:ser>
        <c:marker val="1"/>
        <c:axId val="127973248"/>
        <c:axId val="127974784"/>
      </c:lineChart>
      <c:catAx>
        <c:axId val="127973248"/>
        <c:scaling>
          <c:orientation val="minMax"/>
        </c:scaling>
        <c:axPos val="b"/>
        <c:numFmt formatCode="General" sourceLinked="1"/>
        <c:majorTickMark val="none"/>
        <c:tickLblPos val="nextTo"/>
        <c:txPr>
          <a:bodyPr rot="-1020000" spcFirstLastPara="0" vertOverflow="ellipsis" vert="horz" wrap="square" anchor="ctr" anchorCtr="1"/>
          <a:lstStyle/>
          <a:p>
            <a:pPr>
              <a:defRPr lang="zh-CN" sz="1200" b="0" i="0" u="none" strike="noStrike" kern="1200" baseline="0">
                <a:solidFill>
                  <a:schemeClr val="tx1"/>
                </a:solidFill>
                <a:latin typeface="+mn-lt"/>
                <a:ea typeface="+mn-ea"/>
                <a:cs typeface="+mn-cs"/>
              </a:defRPr>
            </a:pPr>
            <a:endParaRPr lang="zh-CN"/>
          </a:p>
        </c:txPr>
        <c:crossAx val="127974784"/>
        <c:crosses val="autoZero"/>
        <c:auto val="1"/>
        <c:lblAlgn val="ctr"/>
        <c:lblOffset val="100"/>
      </c:catAx>
      <c:valAx>
        <c:axId val="127974784"/>
        <c:scaling>
          <c:orientation val="minMax"/>
        </c:scaling>
        <c:axPos val="l"/>
        <c:numFmt formatCode="0.00_);[Red]\(0.00\)" sourceLinked="1"/>
        <c:majorTickMark val="none"/>
        <c:tickLblPos val="nextTo"/>
        <c:txPr>
          <a:bodyPr rot="-60000000" spcFirstLastPara="0" vertOverflow="ellipsis" vert="horz" wrap="square" anchor="ctr" anchorCtr="1"/>
          <a:lstStyle/>
          <a:p>
            <a:pPr>
              <a:defRPr lang="zh-CN" sz="1600" b="0" i="0" u="none" strike="noStrike" kern="1200" baseline="0">
                <a:solidFill>
                  <a:schemeClr val="tx1"/>
                </a:solidFill>
                <a:latin typeface="+mn-lt"/>
                <a:ea typeface="+mn-ea"/>
                <a:cs typeface="+mn-cs"/>
              </a:defRPr>
            </a:pPr>
            <a:endParaRPr lang="zh-CN"/>
          </a:p>
        </c:txPr>
        <c:crossAx val="127973248"/>
        <c:crosses val="autoZero"/>
        <c:crossBetween val="between"/>
      </c:valAx>
    </c:plotArea>
    <c:legend>
      <c:legendPos val="r"/>
      <c:layout>
        <c:manualLayout>
          <c:xMode val="edge"/>
          <c:yMode val="edge"/>
          <c:x val="0.15949438613498845"/>
          <c:y val="6.6361904534407004E-2"/>
          <c:w val="0.36051002000228038"/>
          <c:h val="0.19891700954895244"/>
        </c:manualLayout>
      </c:layout>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chart>
  <c:txPr>
    <a:bodyPr/>
    <a:lstStyle/>
    <a:p>
      <a:pPr>
        <a:defRPr lang="zh-CN"/>
      </a:pPr>
      <a:endParaRPr lang="zh-CN"/>
    </a:p>
  </c:txPr>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lang val="zh-CN"/>
  <c:chart>
    <c:title>
      <c:tx>
        <c:rich>
          <a:bodyPr rot="0" spcFirstLastPara="0" vertOverflow="ellipsis" vert="horz" wrap="square" anchor="ctr" anchorCtr="1"/>
          <a:lstStyle/>
          <a:p>
            <a:pPr>
              <a:defRPr lang="zh-CN" sz="1920" b="1" i="0" u="none" strike="noStrike" kern="1200" baseline="0">
                <a:solidFill>
                  <a:schemeClr val="tx1"/>
                </a:solidFill>
                <a:latin typeface="+mn-lt"/>
                <a:ea typeface="+mn-ea"/>
                <a:cs typeface="+mn-cs"/>
              </a:defRPr>
            </a:pPr>
            <a:r>
              <a:rPr lang="en-US" altLang="zh-CN"/>
              <a:t>N352</a:t>
            </a:r>
            <a:endParaRPr lang="zh-CN"/>
          </a:p>
        </c:rich>
      </c:tx>
    </c:title>
    <c:plotArea>
      <c:layout>
        <c:manualLayout>
          <c:layoutTarget val="inner"/>
          <c:xMode val="edge"/>
          <c:yMode val="edge"/>
          <c:x val="8.0078124410980209E-2"/>
          <c:y val="9.3681142315438268E-2"/>
          <c:w val="0.9197076240262555"/>
          <c:h val="0.60378763368042965"/>
        </c:manualLayout>
      </c:layout>
      <c:barChart>
        <c:barDir val="col"/>
        <c:grouping val="clustered"/>
        <c:ser>
          <c:idx val="0"/>
          <c:order val="0"/>
          <c:tx>
            <c:strRef>
              <c:f>'N35X(N352)'!$C$37</c:f>
              <c:strCache>
                <c:ptCount val="1"/>
                <c:pt idx="0">
                  <c:v>年</c:v>
                </c:pt>
              </c:strCache>
            </c:strRef>
          </c:tx>
          <c:spPr>
            <a:solidFill>
              <a:srgbClr val="002060"/>
            </a:solidFill>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'N35X(N352)'!$D$34:$EX$34</c:f>
              <c:strCache>
                <c:ptCount val="18"/>
                <c:pt idx="0">
                  <c:v>2018YTD</c:v>
                </c:pt>
                <c:pt idx="1">
                  <c:v>2019YTD</c:v>
                </c:pt>
                <c:pt idx="2">
                  <c:v>FEB</c:v>
                </c:pt>
                <c:pt idx="3">
                  <c:v>MAR</c:v>
                </c:pt>
                <c:pt idx="4">
                  <c:v>APR</c:v>
                </c:pt>
                <c:pt idx="5">
                  <c:v>MAY</c:v>
                </c:pt>
                <c:pt idx="6">
                  <c:v>WK1</c:v>
                </c:pt>
                <c:pt idx="7">
                  <c:v>WK2</c:v>
                </c:pt>
                <c:pt idx="8">
                  <c:v>WK3</c:v>
                </c:pt>
                <c:pt idx="9">
                  <c:v>WK4</c:v>
                </c:pt>
                <c:pt idx="10">
                  <c:v>WK5</c:v>
                </c:pt>
                <c:pt idx="11">
                  <c:v>2019/5/10</c:v>
                </c:pt>
                <c:pt idx="12">
                  <c:v>2019/5/11</c:v>
                </c:pt>
                <c:pt idx="13">
                  <c:v>2019/5/12</c:v>
                </c:pt>
                <c:pt idx="14">
                  <c:v>2019/5/13</c:v>
                </c:pt>
                <c:pt idx="15">
                  <c:v>2019/5/14</c:v>
                </c:pt>
                <c:pt idx="16">
                  <c:v>2019/5/15</c:v>
                </c:pt>
                <c:pt idx="17">
                  <c:v>2019/5/16</c:v>
                </c:pt>
              </c:strCache>
            </c:strRef>
          </c:cat>
          <c:val>
            <c:numRef>
              <c:f>'N35X(N352)'!$D$37:$EX$37</c:f>
              <c:numCache>
                <c:formatCode>0.00_ </c:formatCode>
                <c:ptCount val="18"/>
                <c:pt idx="0">
                  <c:v>8.618961715774704</c:v>
                </c:pt>
                <c:pt idx="1">
                  <c:v>0</c:v>
                </c:pt>
              </c:numCache>
            </c:numRef>
          </c:val>
        </c:ser>
        <c:ser>
          <c:idx val="1"/>
          <c:order val="1"/>
          <c:tx>
            <c:strRef>
              <c:f>'N35X(N352)'!$C$38</c:f>
              <c:strCache>
                <c:ptCount val="1"/>
                <c:pt idx="0">
                  <c:v>月</c:v>
                </c:pt>
              </c:strCache>
            </c:strRef>
          </c:tx>
          <c:spPr>
            <a:solidFill>
              <a:srgbClr val="0070C0"/>
            </a:solidFill>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'N35X(N352)'!$D$34:$EX$34</c:f>
              <c:strCache>
                <c:ptCount val="18"/>
                <c:pt idx="0">
                  <c:v>2018YTD</c:v>
                </c:pt>
                <c:pt idx="1">
                  <c:v>2019YTD</c:v>
                </c:pt>
                <c:pt idx="2">
                  <c:v>FEB</c:v>
                </c:pt>
                <c:pt idx="3">
                  <c:v>MAR</c:v>
                </c:pt>
                <c:pt idx="4">
                  <c:v>APR</c:v>
                </c:pt>
                <c:pt idx="5">
                  <c:v>MAY</c:v>
                </c:pt>
                <c:pt idx="6">
                  <c:v>WK1</c:v>
                </c:pt>
                <c:pt idx="7">
                  <c:v>WK2</c:v>
                </c:pt>
                <c:pt idx="8">
                  <c:v>WK3</c:v>
                </c:pt>
                <c:pt idx="9">
                  <c:v>WK4</c:v>
                </c:pt>
                <c:pt idx="10">
                  <c:v>WK5</c:v>
                </c:pt>
                <c:pt idx="11">
                  <c:v>2019/5/10</c:v>
                </c:pt>
                <c:pt idx="12">
                  <c:v>2019/5/11</c:v>
                </c:pt>
                <c:pt idx="13">
                  <c:v>2019/5/12</c:v>
                </c:pt>
                <c:pt idx="14">
                  <c:v>2019/5/13</c:v>
                </c:pt>
                <c:pt idx="15">
                  <c:v>2019/5/14</c:v>
                </c:pt>
                <c:pt idx="16">
                  <c:v>2019/5/15</c:v>
                </c:pt>
                <c:pt idx="17">
                  <c:v>2019/5/16</c:v>
                </c:pt>
              </c:strCache>
            </c:strRef>
          </c:cat>
          <c:val>
            <c:numRef>
              <c:f>'N35X(N352)'!$D$38:$EX$38</c:f>
              <c:numCache>
                <c:formatCode>General</c:formatCode>
                <c:ptCount val="18"/>
                <c:pt idx="2" formatCode="0.00_ ">
                  <c:v>0</c:v>
                </c:pt>
                <c:pt idx="10">
                  <c:v>0</c:v>
                </c:pt>
              </c:numCache>
            </c:numRef>
          </c:val>
        </c:ser>
        <c:ser>
          <c:idx val="2"/>
          <c:order val="2"/>
          <c:tx>
            <c:strRef>
              <c:f>'N35X(N352)'!$C$39</c:f>
              <c:strCache>
                <c:ptCount val="1"/>
                <c:pt idx="0">
                  <c:v>周</c:v>
                </c:pt>
              </c:strCache>
            </c:strRef>
          </c:tx>
          <c:spPr>
            <a:solidFill>
              <a:srgbClr val="00B0F0"/>
            </a:solidFill>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'N35X(N352)'!$D$34:$EX$34</c:f>
              <c:strCache>
                <c:ptCount val="18"/>
                <c:pt idx="0">
                  <c:v>2018YTD</c:v>
                </c:pt>
                <c:pt idx="1">
                  <c:v>2019YTD</c:v>
                </c:pt>
                <c:pt idx="2">
                  <c:v>FEB</c:v>
                </c:pt>
                <c:pt idx="3">
                  <c:v>MAR</c:v>
                </c:pt>
                <c:pt idx="4">
                  <c:v>APR</c:v>
                </c:pt>
                <c:pt idx="5">
                  <c:v>MAY</c:v>
                </c:pt>
                <c:pt idx="6">
                  <c:v>WK1</c:v>
                </c:pt>
                <c:pt idx="7">
                  <c:v>WK2</c:v>
                </c:pt>
                <c:pt idx="8">
                  <c:v>WK3</c:v>
                </c:pt>
                <c:pt idx="9">
                  <c:v>WK4</c:v>
                </c:pt>
                <c:pt idx="10">
                  <c:v>WK5</c:v>
                </c:pt>
                <c:pt idx="11">
                  <c:v>2019/5/10</c:v>
                </c:pt>
                <c:pt idx="12">
                  <c:v>2019/5/11</c:v>
                </c:pt>
                <c:pt idx="13">
                  <c:v>2019/5/12</c:v>
                </c:pt>
                <c:pt idx="14">
                  <c:v>2019/5/13</c:v>
                </c:pt>
                <c:pt idx="15">
                  <c:v>2019/5/14</c:v>
                </c:pt>
                <c:pt idx="16">
                  <c:v>2019/5/15</c:v>
                </c:pt>
                <c:pt idx="17">
                  <c:v>2019/5/16</c:v>
                </c:pt>
              </c:strCache>
            </c:strRef>
          </c:cat>
          <c:val>
            <c:numRef>
              <c:f>'N35X(N352)'!$D$39:$EX$39</c:f>
              <c:numCache>
                <c:formatCode>0.00_ </c:formatCode>
                <c:ptCount val="18"/>
                <c:pt idx="6">
                  <c:v>0</c:v>
                </c:pt>
                <c:pt idx="7">
                  <c:v>0</c:v>
                </c:pt>
                <c:pt idx="8">
                  <c:v>0</c:v>
                </c:pt>
                <c:pt idx="9">
                  <c:v>0</c:v>
                </c:pt>
                <c:pt idx="10">
                  <c:v>0</c:v>
                </c:pt>
              </c:numCache>
            </c:numRef>
          </c:val>
        </c:ser>
        <c:dLbls>
          <c:showVal val="1"/>
        </c:dLbls>
        <c:axId val="128468096"/>
        <c:axId val="128469632"/>
      </c:barChart>
      <c:lineChart>
        <c:grouping val="standard"/>
        <c:ser>
          <c:idx val="3"/>
          <c:order val="3"/>
          <c:tx>
            <c:strRef>
              <c:f>'N35X(N352)'!$C$40</c:f>
              <c:strCache>
                <c:ptCount val="1"/>
              </c:strCache>
            </c:strRef>
          </c:tx>
          <c:spPr>
            <a:ln w="28575" cap="rnd" cmpd="sng" algn="ctr">
              <a:solidFill>
                <a:srgbClr val="C00000"/>
              </a:solidFill>
              <a:prstDash val="solid"/>
              <a:round/>
            </a:ln>
          </c:spPr>
          <c:marker>
            <c:symbol val="none"/>
          </c:marker>
          <c:dLbls>
            <c:dLbl>
              <c:idx val="1"/>
              <c:layout>
                <c:manualLayout>
                  <c:x val="-2.3188405797101387E-2"/>
                  <c:y val="0.23652169594491487"/>
                </c:manualLayout>
              </c:layout>
              <c:tx>
                <c:rich>
                  <a:bodyPr/>
                  <a:lstStyle/>
                  <a:p>
                    <a:r>
                      <a:rPr lang="en-US" altLang="en-US"/>
                      <a:t> </a:t>
                    </a:r>
                  </a:p>
                </c:rich>
              </c:tx>
              <c:dLblPos val="r"/>
              <c:showVal val="1"/>
              <c:extLst>
                <c:ext xmlns:c15="http://schemas.microsoft.com/office/drawing/2012/chart" uri="{CE6537A1-D6FC-4f65-9D91-7224C49458BB}">
                  <c15:layout/>
                </c:ext>
              </c:extLst>
            </c:dLbl>
            <c:delete val="1"/>
            <c:extLst>
              <c:ext xmlns:c15="http://schemas.microsoft.com/office/drawing/2012/chart" uri="{CE6537A1-D6FC-4f65-9D91-7224C49458BB}">
                <c15:layout/>
                <c15:showLeaderLines val="0"/>
                <c15:leaderLines/>
              </c:ext>
            </c:extLst>
          </c:dLbls>
          <c:cat>
            <c:strRef>
              <c:f>'N35X(N352)'!$D$34:$EX$34</c:f>
              <c:strCache>
                <c:ptCount val="18"/>
                <c:pt idx="0">
                  <c:v>2018YTD</c:v>
                </c:pt>
                <c:pt idx="1">
                  <c:v>2019YTD</c:v>
                </c:pt>
                <c:pt idx="2">
                  <c:v>FEB</c:v>
                </c:pt>
                <c:pt idx="3">
                  <c:v>MAR</c:v>
                </c:pt>
                <c:pt idx="4">
                  <c:v>APR</c:v>
                </c:pt>
                <c:pt idx="5">
                  <c:v>MAY</c:v>
                </c:pt>
                <c:pt idx="6">
                  <c:v>WK1</c:v>
                </c:pt>
                <c:pt idx="7">
                  <c:v>WK2</c:v>
                </c:pt>
                <c:pt idx="8">
                  <c:v>WK3</c:v>
                </c:pt>
                <c:pt idx="9">
                  <c:v>WK4</c:v>
                </c:pt>
                <c:pt idx="10">
                  <c:v>WK5</c:v>
                </c:pt>
                <c:pt idx="11">
                  <c:v>2019/5/10</c:v>
                </c:pt>
                <c:pt idx="12">
                  <c:v>2019/5/11</c:v>
                </c:pt>
                <c:pt idx="13">
                  <c:v>2019/5/12</c:v>
                </c:pt>
                <c:pt idx="14">
                  <c:v>2019/5/13</c:v>
                </c:pt>
                <c:pt idx="15">
                  <c:v>2019/5/14</c:v>
                </c:pt>
                <c:pt idx="16">
                  <c:v>2019/5/15</c:v>
                </c:pt>
                <c:pt idx="17">
                  <c:v>2019/5/16</c:v>
                </c:pt>
              </c:strCache>
            </c:strRef>
          </c:cat>
          <c:val>
            <c:numRef>
              <c:f>'N35X(N352)'!$D$40:$EX$40</c:f>
              <c:numCache>
                <c:formatCode>0.00_);[Red]\(0.00\)</c:formatCode>
                <c:ptCount val="18"/>
                <c:pt idx="0">
                  <c:v>11</c:v>
                </c:pt>
                <c:pt idx="1">
                  <c:v>6.9</c:v>
                </c:pt>
                <c:pt idx="2">
                  <c:v>6.9</c:v>
                </c:pt>
                <c:pt idx="3">
                  <c:v>6.9</c:v>
                </c:pt>
                <c:pt idx="4">
                  <c:v>6.9</c:v>
                </c:pt>
                <c:pt idx="5">
                  <c:v>6.9</c:v>
                </c:pt>
                <c:pt idx="6">
                  <c:v>6.9</c:v>
                </c:pt>
                <c:pt idx="7">
                  <c:v>6.9</c:v>
                </c:pt>
                <c:pt idx="8">
                  <c:v>6.9</c:v>
                </c:pt>
                <c:pt idx="9">
                  <c:v>6.9</c:v>
                </c:pt>
                <c:pt idx="10">
                  <c:v>6.9</c:v>
                </c:pt>
              </c:numCache>
            </c:numRef>
          </c:val>
        </c:ser>
        <c:ser>
          <c:idx val="4"/>
          <c:order val="4"/>
          <c:tx>
            <c:strRef>
              <c:f>'N35X(N352)'!$C$43</c:f>
              <c:strCache>
                <c:ptCount val="1"/>
                <c:pt idx="0">
                  <c:v>日</c:v>
                </c:pt>
              </c:strCache>
            </c:strRef>
          </c:tx>
          <c:spPr>
            <a:ln w="28575" cap="rnd" cmpd="sng" algn="ctr">
              <a:solidFill>
                <a:srgbClr val="7030A0"/>
              </a:solidFill>
              <a:prstDash val="solid"/>
              <a:round/>
            </a:ln>
          </c:spPr>
          <c:marker>
            <c:symbol val="none"/>
          </c:marke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r"/>
            <c:showVal val="1"/>
            <c:extLst>
              <c:ext xmlns:c15="http://schemas.microsoft.com/office/drawing/2012/chart" uri="{CE6537A1-D6FC-4f65-9D91-7224C49458BB}">
                <c15:layout/>
                <c15:showLeaderLines val="0"/>
                <c15:leaderLines/>
              </c:ext>
            </c:extLst>
          </c:dLbls>
          <c:cat>
            <c:strRef>
              <c:f>'N35X(N352)'!$D$34:$EX$34</c:f>
              <c:strCache>
                <c:ptCount val="18"/>
                <c:pt idx="0">
                  <c:v>2018YTD</c:v>
                </c:pt>
                <c:pt idx="1">
                  <c:v>2019YTD</c:v>
                </c:pt>
                <c:pt idx="2">
                  <c:v>FEB</c:v>
                </c:pt>
                <c:pt idx="3">
                  <c:v>MAR</c:v>
                </c:pt>
                <c:pt idx="4">
                  <c:v>APR</c:v>
                </c:pt>
                <c:pt idx="5">
                  <c:v>MAY</c:v>
                </c:pt>
                <c:pt idx="6">
                  <c:v>WK1</c:v>
                </c:pt>
                <c:pt idx="7">
                  <c:v>WK2</c:v>
                </c:pt>
                <c:pt idx="8">
                  <c:v>WK3</c:v>
                </c:pt>
                <c:pt idx="9">
                  <c:v>WK4</c:v>
                </c:pt>
                <c:pt idx="10">
                  <c:v>WK5</c:v>
                </c:pt>
                <c:pt idx="11">
                  <c:v>2019/5/10</c:v>
                </c:pt>
                <c:pt idx="12">
                  <c:v>2019/5/11</c:v>
                </c:pt>
                <c:pt idx="13">
                  <c:v>2019/5/12</c:v>
                </c:pt>
                <c:pt idx="14">
                  <c:v>2019/5/13</c:v>
                </c:pt>
                <c:pt idx="15">
                  <c:v>2019/5/14</c:v>
                </c:pt>
                <c:pt idx="16">
                  <c:v>2019/5/15</c:v>
                </c:pt>
                <c:pt idx="17">
                  <c:v>2019/5/16</c:v>
                </c:pt>
              </c:strCache>
            </c:strRef>
          </c:cat>
          <c:val>
            <c:numRef>
              <c:f>'N35X(N352)'!$D$43:$EX$43</c:f>
              <c:numCache>
                <c:formatCode>General</c:formatCode>
                <c:ptCount val="18"/>
                <c:pt idx="11" formatCode="0.00_);[Red]\(0.00\)">
                  <c:v>0</c:v>
                </c:pt>
                <c:pt idx="12" formatCode="0.00_);[Red]\(0.00\)">
                  <c:v>0</c:v>
                </c:pt>
                <c:pt idx="13" formatCode="0.00_);[Red]\(0.00\)">
                  <c:v>0</c:v>
                </c:pt>
                <c:pt idx="14" formatCode="0.00_);[Red]\(0.00\)">
                  <c:v>0</c:v>
                </c:pt>
                <c:pt idx="15" formatCode="0.00_);[Red]\(0.00\)">
                  <c:v>0</c:v>
                </c:pt>
                <c:pt idx="16" formatCode="0.00_);[Red]\(0.00\)">
                  <c:v>0</c:v>
                </c:pt>
                <c:pt idx="17" formatCode="0.00_);[Red]\(0.00\)">
                  <c:v>0</c:v>
                </c:pt>
              </c:numCache>
            </c:numRef>
          </c:val>
        </c:ser>
        <c:marker val="1"/>
        <c:axId val="128468096"/>
        <c:axId val="128469632"/>
      </c:lineChart>
      <c:catAx>
        <c:axId val="128468096"/>
        <c:scaling>
          <c:orientation val="minMax"/>
        </c:scaling>
        <c:axPos val="b"/>
        <c:majorTickMark val="none"/>
        <c:tickLblPos val="nextTo"/>
        <c:txPr>
          <a:bodyPr rot="-60000000" spcFirstLastPara="0" vertOverflow="ellipsis" vert="horz" wrap="square" anchor="ctr" anchorCtr="1"/>
          <a:lstStyle/>
          <a:p>
            <a:pPr>
              <a:defRPr lang="zh-CN" sz="1400" b="0" i="0" u="none" strike="noStrike" kern="1200" baseline="0">
                <a:solidFill>
                  <a:schemeClr val="tx1"/>
                </a:solidFill>
                <a:latin typeface="+mn-lt"/>
                <a:ea typeface="+mn-ea"/>
                <a:cs typeface="+mn-cs"/>
              </a:defRPr>
            </a:pPr>
            <a:endParaRPr lang="zh-CN"/>
          </a:p>
        </c:txPr>
        <c:crossAx val="128469632"/>
        <c:crosses val="autoZero"/>
        <c:auto val="1"/>
        <c:lblAlgn val="ctr"/>
        <c:lblOffset val="100"/>
      </c:catAx>
      <c:valAx>
        <c:axId val="128469632"/>
        <c:scaling>
          <c:orientation val="minMax"/>
        </c:scaling>
        <c:axPos val="l"/>
        <c:numFmt formatCode="0.00_ " sourceLinked="1"/>
        <c:majorTickMark val="none"/>
        <c:tickLblPos val="nextTo"/>
        <c:txPr>
          <a:bodyPr rot="-60000000" spcFirstLastPara="0" vertOverflow="ellipsis" vert="horz" wrap="square" anchor="ctr" anchorCtr="1"/>
          <a:lstStyle/>
          <a:p>
            <a:pPr>
              <a:defRPr lang="zh-CN" sz="1600" b="0" i="0" u="none" strike="noStrike" kern="1200" baseline="0">
                <a:solidFill>
                  <a:schemeClr val="tx1"/>
                </a:solidFill>
                <a:latin typeface="+mn-lt"/>
                <a:ea typeface="+mn-ea"/>
                <a:cs typeface="+mn-cs"/>
              </a:defRPr>
            </a:pPr>
            <a:endParaRPr lang="zh-CN"/>
          </a:p>
        </c:txPr>
        <c:crossAx val="128468096"/>
        <c:crosses val="autoZero"/>
        <c:crossBetween val="between"/>
      </c:valAx>
      <c:spPr>
        <a:noFill/>
        <a:ln w="25400">
          <a:noFill/>
        </a:ln>
      </c:spPr>
    </c:plotArea>
    <c:legend>
      <c:legendPos val="r"/>
      <c:layout>
        <c:manualLayout>
          <c:xMode val="edge"/>
          <c:yMode val="edge"/>
          <c:x val="0.13294859724721544"/>
          <c:y val="5.1444655675971847E-2"/>
          <c:w val="0.33392435007757543"/>
          <c:h val="0.18742984139140062"/>
        </c:manualLayout>
      </c:layout>
      <c:txPr>
        <a:bodyPr rot="0" spcFirstLastPara="0" vertOverflow="ellipsis" vert="horz" wrap="square" anchor="ctr" anchorCtr="1"/>
        <a:lstStyle/>
        <a:p>
          <a:pPr>
            <a:defRPr lang="zh-CN" sz="1600" b="0" i="0" u="none" strike="noStrike" kern="1200" baseline="0">
              <a:solidFill>
                <a:schemeClr val="tx1"/>
              </a:solidFill>
              <a:latin typeface="+mn-lt"/>
              <a:ea typeface="+mn-ea"/>
              <a:cs typeface="+mn-cs"/>
            </a:defRPr>
          </a:pPr>
          <a:endParaRPr lang="zh-CN"/>
        </a:p>
      </c:txPr>
    </c:legend>
    <c:plotVisOnly val="1"/>
    <c:dispBlanksAs val="gap"/>
  </c:chart>
  <c:txPr>
    <a:bodyPr/>
    <a:lstStyle/>
    <a:p>
      <a:pPr>
        <a:defRPr lang="zh-CN" sz="1600"/>
      </a:pPr>
      <a:endParaRPr lang="zh-CN"/>
    </a:p>
  </c:txPr>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zh-CN"/>
  <c:chart>
    <c:title>
      <c:tx>
        <c:rich>
          <a:bodyPr rot="0" spcFirstLastPara="0" vertOverflow="ellipsis" vert="horz" wrap="square" anchor="ctr" anchorCtr="1"/>
          <a:lstStyle/>
          <a:p>
            <a:pPr>
              <a:defRPr lang="zh-CN" sz="1320" b="1" i="0" u="none" strike="noStrike" kern="1200" baseline="0">
                <a:solidFill>
                  <a:schemeClr val="tx1"/>
                </a:solidFill>
                <a:latin typeface="+mn-lt"/>
                <a:ea typeface="+mn-ea"/>
                <a:cs typeface="+mn-cs"/>
              </a:defRPr>
            </a:pPr>
            <a:r>
              <a:rPr lang="en-US"/>
              <a:t>U375</a:t>
            </a:r>
            <a:endParaRPr lang="zh-CN"/>
          </a:p>
        </c:rich>
      </c:tx>
      <c:layout/>
    </c:title>
    <c:plotArea>
      <c:layout>
        <c:manualLayout>
          <c:layoutTarget val="inner"/>
          <c:xMode val="edge"/>
          <c:yMode val="edge"/>
          <c:x val="3.3812197751577219E-2"/>
          <c:y val="6.4725983416765623E-2"/>
          <c:w val="0.95136474067016497"/>
          <c:h val="0.76459902147282965"/>
        </c:manualLayout>
      </c:layout>
      <c:barChart>
        <c:barDir val="col"/>
        <c:grouping val="clustered"/>
        <c:ser>
          <c:idx val="0"/>
          <c:order val="0"/>
          <c:tx>
            <c:strRef>
              <c:f>'u375'!$C$37</c:f>
              <c:strCache>
                <c:ptCount val="1"/>
                <c:pt idx="0">
                  <c:v>年</c:v>
                </c:pt>
              </c:strCache>
            </c:strRef>
          </c:tx>
          <c:spPr>
            <a:solidFill>
              <a:srgbClr val="002060"/>
            </a:solidFill>
            <a:ln w="63500">
              <a:noFill/>
            </a:ln>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'u375'!$D$34:$EX$34</c:f>
              <c:strCache>
                <c:ptCount val="22"/>
                <c:pt idx="0">
                  <c:v>2018YTD</c:v>
                </c:pt>
                <c:pt idx="1">
                  <c:v>2019YTD</c:v>
                </c:pt>
                <c:pt idx="2">
                  <c:v>OCT</c:v>
                </c:pt>
                <c:pt idx="3">
                  <c:v>NOV</c:v>
                </c:pt>
                <c:pt idx="4">
                  <c:v>DEC</c:v>
                </c:pt>
                <c:pt idx="5">
                  <c:v>JAN</c:v>
                </c:pt>
                <c:pt idx="6">
                  <c:v>FEB</c:v>
                </c:pt>
                <c:pt idx="7">
                  <c:v>MAR</c:v>
                </c:pt>
                <c:pt idx="8">
                  <c:v>APR</c:v>
                </c:pt>
                <c:pt idx="9">
                  <c:v>MAY</c:v>
                </c:pt>
                <c:pt idx="10">
                  <c:v>WK1</c:v>
                </c:pt>
                <c:pt idx="11">
                  <c:v>WK2</c:v>
                </c:pt>
                <c:pt idx="12">
                  <c:v>WK3</c:v>
                </c:pt>
                <c:pt idx="13">
                  <c:v>WK4</c:v>
                </c:pt>
                <c:pt idx="14">
                  <c:v>WK5</c:v>
                </c:pt>
                <c:pt idx="15">
                  <c:v>2019/5/10</c:v>
                </c:pt>
                <c:pt idx="16">
                  <c:v>2019/5/11</c:v>
                </c:pt>
                <c:pt idx="17">
                  <c:v>2019/5/12</c:v>
                </c:pt>
                <c:pt idx="18">
                  <c:v>2019/5/13</c:v>
                </c:pt>
                <c:pt idx="19">
                  <c:v>2019/5/14</c:v>
                </c:pt>
                <c:pt idx="20">
                  <c:v>2019/5/15</c:v>
                </c:pt>
                <c:pt idx="21">
                  <c:v>2019/5/16</c:v>
                </c:pt>
              </c:strCache>
            </c:strRef>
          </c:cat>
          <c:val>
            <c:numRef>
              <c:f>'u375'!$D$37:$EX$37</c:f>
              <c:numCache>
                <c:formatCode>#,##0.00_ </c:formatCode>
                <c:ptCount val="22"/>
                <c:pt idx="0">
                  <c:v>11.6757112317053</c:v>
                </c:pt>
                <c:pt idx="1">
                  <c:v>10.574018126888218</c:v>
                </c:pt>
              </c:numCache>
            </c:numRef>
          </c:val>
        </c:ser>
        <c:ser>
          <c:idx val="3"/>
          <c:order val="3"/>
          <c:tx>
            <c:strRef>
              <c:f>'u375'!$C$38:$D$38</c:f>
              <c:strCache>
                <c:ptCount val="1"/>
                <c:pt idx="0">
                  <c:v>月</c:v>
                </c:pt>
              </c:strCache>
            </c:strRef>
          </c:tx>
          <c:spPr>
            <a:solidFill>
              <a:srgbClr val="0070C0"/>
            </a:solidFill>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'u375'!$D$34:$EX$34</c:f>
              <c:strCache>
                <c:ptCount val="22"/>
                <c:pt idx="0">
                  <c:v>2018YTD</c:v>
                </c:pt>
                <c:pt idx="1">
                  <c:v>2019YTD</c:v>
                </c:pt>
                <c:pt idx="2">
                  <c:v>OCT</c:v>
                </c:pt>
                <c:pt idx="3">
                  <c:v>NOV</c:v>
                </c:pt>
                <c:pt idx="4">
                  <c:v>DEC</c:v>
                </c:pt>
                <c:pt idx="5">
                  <c:v>JAN</c:v>
                </c:pt>
                <c:pt idx="6">
                  <c:v>FEB</c:v>
                </c:pt>
                <c:pt idx="7">
                  <c:v>MAR</c:v>
                </c:pt>
                <c:pt idx="8">
                  <c:v>APR</c:v>
                </c:pt>
                <c:pt idx="9">
                  <c:v>MAY</c:v>
                </c:pt>
                <c:pt idx="10">
                  <c:v>WK1</c:v>
                </c:pt>
                <c:pt idx="11">
                  <c:v>WK2</c:v>
                </c:pt>
                <c:pt idx="12">
                  <c:v>WK3</c:v>
                </c:pt>
                <c:pt idx="13">
                  <c:v>WK4</c:v>
                </c:pt>
                <c:pt idx="14">
                  <c:v>WK5</c:v>
                </c:pt>
                <c:pt idx="15">
                  <c:v>2019/5/10</c:v>
                </c:pt>
                <c:pt idx="16">
                  <c:v>2019/5/11</c:v>
                </c:pt>
                <c:pt idx="17">
                  <c:v>2019/5/12</c:v>
                </c:pt>
                <c:pt idx="18">
                  <c:v>2019/5/13</c:v>
                </c:pt>
                <c:pt idx="19">
                  <c:v>2019/5/14</c:v>
                </c:pt>
                <c:pt idx="20">
                  <c:v>2019/5/15</c:v>
                </c:pt>
                <c:pt idx="21">
                  <c:v>2019/5/16</c:v>
                </c:pt>
              </c:strCache>
            </c:strRef>
          </c:cat>
          <c:val>
            <c:numRef>
              <c:f>'u375'!$D$38:$EX$38</c:f>
              <c:numCache>
                <c:formatCode>#,##0.00_ </c:formatCode>
                <c:ptCount val="22"/>
                <c:pt idx="2">
                  <c:v>1.7953321364452424</c:v>
                </c:pt>
                <c:pt idx="3">
                  <c:v>3.7878787878787881</c:v>
                </c:pt>
                <c:pt idx="4">
                  <c:v>14.3312101910828</c:v>
                </c:pt>
                <c:pt idx="5">
                  <c:v>4.8309178743961354</c:v>
                </c:pt>
                <c:pt idx="6">
                  <c:v>0</c:v>
                </c:pt>
                <c:pt idx="7">
                  <c:v>20.833333333333332</c:v>
                </c:pt>
                <c:pt idx="8">
                  <c:v>30.76923076923077</c:v>
                </c:pt>
                <c:pt idx="9">
                  <c:v>0</c:v>
                </c:pt>
              </c:numCache>
            </c:numRef>
          </c:val>
        </c:ser>
        <c:ser>
          <c:idx val="4"/>
          <c:order val="4"/>
          <c:tx>
            <c:strRef>
              <c:f>'u375'!$C$39</c:f>
              <c:strCache>
                <c:ptCount val="1"/>
                <c:pt idx="0">
                  <c:v>周</c:v>
                </c:pt>
              </c:strCache>
            </c:strRef>
          </c:tx>
          <c:spPr>
            <a:solidFill>
              <a:srgbClr val="00B0F0"/>
            </a:solidFill>
          </c:spPr>
          <c:dLbls>
            <c:spPr>
              <a:noFill/>
              <a:ln>
                <a:noFill/>
              </a:ln>
              <a:effectLst/>
            </c:spPr>
            <c:txPr>
              <a:bodyPr rot="0" spcFirstLastPara="0" vertOverflow="ellipsis" vert="horz" wrap="square" lIns="38100" tIns="19050" rIns="38100" bIns="19050" anchor="ctr" anchorCtr="1"/>
              <a:lstStyle/>
              <a:p>
                <a:pPr>
                  <a:defRPr lang="zh-CN" sz="1600" b="0" i="0" u="none" strike="noStrike" kern="1200" baseline="0">
                    <a:solidFill>
                      <a:schemeClr val="tx1"/>
                    </a:solidFill>
                    <a:latin typeface="+mn-lt"/>
                    <a:ea typeface="+mn-ea"/>
                    <a:cs typeface="+mn-cs"/>
                  </a:defRPr>
                </a:pPr>
                <a:endParaRPr lang="zh-CN"/>
              </a:p>
            </c:txPr>
            <c:dLblPos val="outEnd"/>
            <c:showVal val="1"/>
            <c:extLst>
              <c:ext xmlns:c15="http://schemas.microsoft.com/office/drawing/2012/chart" uri="{CE6537A1-D6FC-4f65-9D91-7224C49458BB}">
                <c15:layout/>
                <c15:showLeaderLines val="0"/>
                <c15:leaderLines/>
              </c:ext>
            </c:extLst>
          </c:dLbls>
          <c:cat>
            <c:strRef>
              <c:f>'u375'!$D$34:$EX$34</c:f>
              <c:strCache>
                <c:ptCount val="22"/>
                <c:pt idx="0">
                  <c:v>2018YTD</c:v>
                </c:pt>
                <c:pt idx="1">
                  <c:v>2019YTD</c:v>
                </c:pt>
                <c:pt idx="2">
                  <c:v>OCT</c:v>
                </c:pt>
                <c:pt idx="3">
                  <c:v>NOV</c:v>
                </c:pt>
                <c:pt idx="4">
                  <c:v>DEC</c:v>
                </c:pt>
                <c:pt idx="5">
                  <c:v>JAN</c:v>
                </c:pt>
                <c:pt idx="6">
                  <c:v>FEB</c:v>
                </c:pt>
                <c:pt idx="7">
                  <c:v>MAR</c:v>
                </c:pt>
                <c:pt idx="8">
                  <c:v>APR</c:v>
                </c:pt>
                <c:pt idx="9">
                  <c:v>MAY</c:v>
                </c:pt>
                <c:pt idx="10">
                  <c:v>WK1</c:v>
                </c:pt>
                <c:pt idx="11">
                  <c:v>WK2</c:v>
                </c:pt>
                <c:pt idx="12">
                  <c:v>WK3</c:v>
                </c:pt>
                <c:pt idx="13">
                  <c:v>WK4</c:v>
                </c:pt>
                <c:pt idx="14">
                  <c:v>WK5</c:v>
                </c:pt>
                <c:pt idx="15">
                  <c:v>2019/5/10</c:v>
                </c:pt>
                <c:pt idx="16">
                  <c:v>2019/5/11</c:v>
                </c:pt>
                <c:pt idx="17">
                  <c:v>2019/5/12</c:v>
                </c:pt>
                <c:pt idx="18">
                  <c:v>2019/5/13</c:v>
                </c:pt>
                <c:pt idx="19">
                  <c:v>2019/5/14</c:v>
                </c:pt>
                <c:pt idx="20">
                  <c:v>2019/5/15</c:v>
                </c:pt>
                <c:pt idx="21">
                  <c:v>2019/5/16</c:v>
                </c:pt>
              </c:strCache>
            </c:strRef>
          </c:cat>
          <c:val>
            <c:numRef>
              <c:f>'u375'!$D$39:$EX$39</c:f>
              <c:numCache>
                <c:formatCode>#,##0.00_ </c:formatCode>
                <c:ptCount val="22"/>
                <c:pt idx="10">
                  <c:v>52.631578947368418</c:v>
                </c:pt>
                <c:pt idx="11">
                  <c:v>0</c:v>
                </c:pt>
                <c:pt idx="12">
                  <c:v>0</c:v>
                </c:pt>
                <c:pt idx="13">
                  <c:v>0</c:v>
                </c:pt>
                <c:pt idx="14">
                  <c:v>0</c:v>
                </c:pt>
              </c:numCache>
            </c:numRef>
          </c:val>
        </c:ser>
        <c:dLbls>
          <c:showVal val="1"/>
        </c:dLbls>
        <c:axId val="133842816"/>
        <c:axId val="133844352"/>
      </c:barChart>
      <c:lineChart>
        <c:grouping val="standard"/>
        <c:ser>
          <c:idx val="1"/>
          <c:order val="1"/>
          <c:tx>
            <c:strRef>
              <c:f>'u375'!$B$40</c:f>
              <c:strCache>
                <c:ptCount val="1"/>
                <c:pt idx="0">
                  <c:v>目标</c:v>
                </c:pt>
              </c:strCache>
            </c:strRef>
          </c:tx>
          <c:marker>
            <c:symbol val="none"/>
          </c:marker>
          <c:dLbls>
            <c:dLbl>
              <c:idx val="10"/>
              <c:layout/>
              <c:spPr>
                <a:noFill/>
                <a:ln w="3810">
                  <a:noFill/>
                  <a:prstDash val="solid"/>
                </a:ln>
                <a:effectLst/>
              </c:spPr>
              <c:txPr>
                <a:bodyPr rot="0" spcFirstLastPara="0" vertOverflow="ellipsis" vert="horz" wrap="square" lIns="38100" tIns="19050" rIns="38100" bIns="19050" anchor="ctr" anchorCtr="1"/>
                <a:lstStyle/>
                <a:p>
                  <a:pPr>
                    <a:defRPr lang="zh-CN" sz="1100" b="0" i="0" u="none" strike="noStrike" kern="1200" baseline="0">
                      <a:solidFill>
                        <a:schemeClr val="tx1"/>
                      </a:solidFill>
                      <a:latin typeface="+mn-lt"/>
                      <a:ea typeface="+mn-ea"/>
                      <a:cs typeface="+mn-cs"/>
                    </a:defRPr>
                  </a:pPr>
                  <a:endParaRPr lang="zh-CN"/>
                </a:p>
              </c:txPr>
              <c:dLblPos val="r"/>
              <c:showVal val="1"/>
              <c:extLst>
                <c:ext xmlns:c15="http://schemas.microsoft.com/office/drawing/2012/chart" uri="{CE6537A1-D6FC-4f65-9D91-7224C49458BB}"/>
              </c:extLst>
            </c:dLbl>
            <c:delete val="1"/>
            <c:extLst>
              <c:ext xmlns:c15="http://schemas.microsoft.com/office/drawing/2012/chart" uri="{CE6537A1-D6FC-4f65-9D91-7224C49458BB}">
                <c15:layout/>
                <c15:showLeaderLines val="0"/>
                <c15:leaderLines/>
              </c:ext>
            </c:extLst>
          </c:dLbls>
          <c:cat>
            <c:strRef>
              <c:f>'u375'!$D$34:$EX$34</c:f>
              <c:strCache>
                <c:ptCount val="22"/>
                <c:pt idx="0">
                  <c:v>2018YTD</c:v>
                </c:pt>
                <c:pt idx="1">
                  <c:v>2019YTD</c:v>
                </c:pt>
                <c:pt idx="2">
                  <c:v>OCT</c:v>
                </c:pt>
                <c:pt idx="3">
                  <c:v>NOV</c:v>
                </c:pt>
                <c:pt idx="4">
                  <c:v>DEC</c:v>
                </c:pt>
                <c:pt idx="5">
                  <c:v>JAN</c:v>
                </c:pt>
                <c:pt idx="6">
                  <c:v>FEB</c:v>
                </c:pt>
                <c:pt idx="7">
                  <c:v>MAR</c:v>
                </c:pt>
                <c:pt idx="8">
                  <c:v>APR</c:v>
                </c:pt>
                <c:pt idx="9">
                  <c:v>MAY</c:v>
                </c:pt>
                <c:pt idx="10">
                  <c:v>WK1</c:v>
                </c:pt>
                <c:pt idx="11">
                  <c:v>WK2</c:v>
                </c:pt>
                <c:pt idx="12">
                  <c:v>WK3</c:v>
                </c:pt>
                <c:pt idx="13">
                  <c:v>WK4</c:v>
                </c:pt>
                <c:pt idx="14">
                  <c:v>WK5</c:v>
                </c:pt>
                <c:pt idx="15">
                  <c:v>2019/5/10</c:v>
                </c:pt>
                <c:pt idx="16">
                  <c:v>2019/5/11</c:v>
                </c:pt>
                <c:pt idx="17">
                  <c:v>2019/5/12</c:v>
                </c:pt>
                <c:pt idx="18">
                  <c:v>2019/5/13</c:v>
                </c:pt>
                <c:pt idx="19">
                  <c:v>2019/5/14</c:v>
                </c:pt>
                <c:pt idx="20">
                  <c:v>2019/5/15</c:v>
                </c:pt>
                <c:pt idx="21">
                  <c:v>2019/5/16</c:v>
                </c:pt>
              </c:strCache>
            </c:strRef>
          </c:cat>
          <c:val>
            <c:numRef>
              <c:f>'u375'!$D$40:$EX$40</c:f>
              <c:numCache>
                <c:formatCode>General</c:formatCode>
                <c:ptCount val="22"/>
                <c:pt idx="1">
                  <c:v>9.34</c:v>
                </c:pt>
                <c:pt idx="2">
                  <c:v>9.34</c:v>
                </c:pt>
                <c:pt idx="3">
                  <c:v>9.34</c:v>
                </c:pt>
                <c:pt idx="4">
                  <c:v>9.34</c:v>
                </c:pt>
                <c:pt idx="5">
                  <c:v>9.34</c:v>
                </c:pt>
                <c:pt idx="6">
                  <c:v>9.34</c:v>
                </c:pt>
                <c:pt idx="7">
                  <c:v>9.34</c:v>
                </c:pt>
                <c:pt idx="8">
                  <c:v>9.34</c:v>
                </c:pt>
                <c:pt idx="9">
                  <c:v>9.34</c:v>
                </c:pt>
                <c:pt idx="10">
                  <c:v>9.34</c:v>
                </c:pt>
                <c:pt idx="11">
                  <c:v>9.34</c:v>
                </c:pt>
                <c:pt idx="12">
                  <c:v>9.34</c:v>
                </c:pt>
                <c:pt idx="13">
                  <c:v>9.34</c:v>
                </c:pt>
                <c:pt idx="14">
                  <c:v>9.34</c:v>
                </c:pt>
              </c:numCache>
            </c:numRef>
          </c:val>
        </c:ser>
        <c:ser>
          <c:idx val="2"/>
          <c:order val="2"/>
          <c:tx>
            <c:strRef>
              <c:f>'u375'!$C$43</c:f>
              <c:strCache>
                <c:ptCount val="1"/>
                <c:pt idx="0">
                  <c:v>日</c:v>
                </c:pt>
              </c:strCache>
            </c:strRef>
          </c:tx>
          <c:spPr>
            <a:ln w="28575" cap="rnd" cmpd="sng" algn="ctr">
              <a:solidFill>
                <a:srgbClr val="7030A0"/>
              </a:solidFill>
              <a:prstDash val="solid"/>
              <a:round/>
            </a:ln>
          </c:spPr>
          <c:marker>
            <c:symbol val="none"/>
          </c:marker>
          <c:dLbls>
            <c:spPr>
              <a:noFill/>
              <a:ln>
                <a:noFill/>
              </a:ln>
              <a:effectLst/>
            </c:spPr>
            <c:txPr>
              <a:bodyPr rot="0" spcFirstLastPara="0" vertOverflow="ellipsis" vert="horz" wrap="square" lIns="38100" tIns="19050" rIns="38100" bIns="19050" anchor="ctr" anchorCtr="1"/>
              <a:lstStyle/>
              <a:p>
                <a:pPr>
                  <a:defRPr lang="zh-CN" sz="1100" b="0" i="0" u="none" strike="noStrike" kern="1200" baseline="0">
                    <a:solidFill>
                      <a:schemeClr val="tx1"/>
                    </a:solidFill>
                    <a:latin typeface="+mn-lt"/>
                    <a:ea typeface="+mn-ea"/>
                    <a:cs typeface="+mn-cs"/>
                  </a:defRPr>
                </a:pPr>
                <a:endParaRPr lang="zh-CN"/>
              </a:p>
            </c:txPr>
            <c:dLblPos val="r"/>
            <c:showVal val="1"/>
            <c:extLst>
              <c:ext xmlns:c15="http://schemas.microsoft.com/office/drawing/2012/chart" uri="{CE6537A1-D6FC-4f65-9D91-7224C49458BB}">
                <c15:layout/>
                <c15:showLeaderLines val="0"/>
                <c15:leaderLines/>
              </c:ext>
            </c:extLst>
          </c:dLbls>
          <c:cat>
            <c:strRef>
              <c:f>'u375'!$D$34:$EX$34</c:f>
              <c:strCache>
                <c:ptCount val="22"/>
                <c:pt idx="0">
                  <c:v>2018YTD</c:v>
                </c:pt>
                <c:pt idx="1">
                  <c:v>2019YTD</c:v>
                </c:pt>
                <c:pt idx="2">
                  <c:v>OCT</c:v>
                </c:pt>
                <c:pt idx="3">
                  <c:v>NOV</c:v>
                </c:pt>
                <c:pt idx="4">
                  <c:v>DEC</c:v>
                </c:pt>
                <c:pt idx="5">
                  <c:v>JAN</c:v>
                </c:pt>
                <c:pt idx="6">
                  <c:v>FEB</c:v>
                </c:pt>
                <c:pt idx="7">
                  <c:v>MAR</c:v>
                </c:pt>
                <c:pt idx="8">
                  <c:v>APR</c:v>
                </c:pt>
                <c:pt idx="9">
                  <c:v>MAY</c:v>
                </c:pt>
                <c:pt idx="10">
                  <c:v>WK1</c:v>
                </c:pt>
                <c:pt idx="11">
                  <c:v>WK2</c:v>
                </c:pt>
                <c:pt idx="12">
                  <c:v>WK3</c:v>
                </c:pt>
                <c:pt idx="13">
                  <c:v>WK4</c:v>
                </c:pt>
                <c:pt idx="14">
                  <c:v>WK5</c:v>
                </c:pt>
                <c:pt idx="15">
                  <c:v>2019/5/10</c:v>
                </c:pt>
                <c:pt idx="16">
                  <c:v>2019/5/11</c:v>
                </c:pt>
                <c:pt idx="17">
                  <c:v>2019/5/12</c:v>
                </c:pt>
                <c:pt idx="18">
                  <c:v>2019/5/13</c:v>
                </c:pt>
                <c:pt idx="19">
                  <c:v>2019/5/14</c:v>
                </c:pt>
                <c:pt idx="20">
                  <c:v>2019/5/15</c:v>
                </c:pt>
                <c:pt idx="21">
                  <c:v>2019/5/16</c:v>
                </c:pt>
              </c:strCache>
            </c:strRef>
          </c:cat>
          <c:val>
            <c:numRef>
              <c:f>'u375'!$D$43:$EX$43</c:f>
              <c:numCache>
                <c:formatCode>General</c:formatCode>
                <c:ptCount val="22"/>
                <c:pt idx="15" formatCode="0.00_);[Red]\(0.00\)">
                  <c:v>0</c:v>
                </c:pt>
                <c:pt idx="16" formatCode="0.00_);[Red]\(0.00\)">
                  <c:v>0</c:v>
                </c:pt>
                <c:pt idx="17" formatCode="0.00_);[Red]\(0.00\)">
                  <c:v>0</c:v>
                </c:pt>
                <c:pt idx="18" formatCode="0.00_);[Red]\(0.00\)">
                  <c:v>0</c:v>
                </c:pt>
                <c:pt idx="19" formatCode="0.00_);[Red]\(0.00\)">
                  <c:v>0</c:v>
                </c:pt>
                <c:pt idx="20" formatCode="0.00_);[Red]\(0.00\)">
                  <c:v>0</c:v>
                </c:pt>
                <c:pt idx="21" formatCode="0.00_);[Red]\(0.00\)">
                  <c:v>0</c:v>
                </c:pt>
              </c:numCache>
            </c:numRef>
          </c:val>
        </c:ser>
        <c:marker val="1"/>
        <c:axId val="133842816"/>
        <c:axId val="133844352"/>
      </c:lineChart>
      <c:catAx>
        <c:axId val="133842816"/>
        <c:scaling>
          <c:orientation val="minMax"/>
        </c:scaling>
        <c:axPos val="b"/>
        <c:numFmt formatCode="General" sourceLinked="1"/>
        <c:majorTickMark val="none"/>
        <c:tickLblPos val="nextTo"/>
        <c:txPr>
          <a:bodyPr rot="1320000" spcFirstLastPara="0" vertOverflow="ellipsis" vert="horz" wrap="square" anchor="ctr" anchorCtr="1"/>
          <a:lstStyle/>
          <a:p>
            <a:pPr>
              <a:defRPr lang="zh-CN" sz="1400" b="0" i="0" u="none" strike="noStrike" kern="1200" baseline="0">
                <a:solidFill>
                  <a:schemeClr val="tx1"/>
                </a:solidFill>
                <a:latin typeface="+mn-lt"/>
                <a:ea typeface="+mn-ea"/>
                <a:cs typeface="+mn-cs"/>
              </a:defRPr>
            </a:pPr>
            <a:endParaRPr lang="zh-CN"/>
          </a:p>
        </c:txPr>
        <c:crossAx val="133844352"/>
        <c:crosses val="autoZero"/>
        <c:auto val="1"/>
        <c:lblAlgn val="ctr"/>
        <c:lblOffset val="100"/>
      </c:catAx>
      <c:valAx>
        <c:axId val="133844352"/>
        <c:scaling>
          <c:orientation val="minMax"/>
        </c:scaling>
        <c:axPos val="l"/>
        <c:numFmt formatCode="#,##0.00_ " sourceLinked="1"/>
        <c:majorTickMark val="none"/>
        <c:tickLblPos val="nextTo"/>
        <c:spPr>
          <a:ln w="9525" cap="flat" cmpd="sng" algn="ctr">
            <a:noFill/>
            <a:prstDash val="solid"/>
            <a:round/>
          </a:ln>
        </c:spPr>
        <c:txPr>
          <a:bodyPr rot="-60000000" spcFirstLastPara="0" vertOverflow="ellipsis" vert="horz" wrap="square" anchor="ctr" anchorCtr="1"/>
          <a:lstStyle/>
          <a:p>
            <a:pPr>
              <a:defRPr lang="zh-CN" sz="1600" b="0" i="0" u="none" strike="noStrike" kern="1200" baseline="0">
                <a:solidFill>
                  <a:schemeClr val="tx1"/>
                </a:solidFill>
                <a:latin typeface="+mn-lt"/>
                <a:ea typeface="+mn-ea"/>
                <a:cs typeface="+mn-cs"/>
              </a:defRPr>
            </a:pPr>
            <a:endParaRPr lang="zh-CN"/>
          </a:p>
        </c:txPr>
        <c:crossAx val="133842816"/>
        <c:crosses val="autoZero"/>
        <c:crossBetween val="between"/>
      </c:valAx>
    </c:plotArea>
    <c:legend>
      <c:legendPos val="b"/>
      <c:layout>
        <c:manualLayout>
          <c:xMode val="edge"/>
          <c:yMode val="edge"/>
          <c:x val="0.220589743296145"/>
          <c:y val="0.11042981329461395"/>
          <c:w val="0.14799363361215498"/>
          <c:h val="4.7231064202081112E-2"/>
        </c:manualLayout>
      </c:layout>
      <c:txPr>
        <a:bodyPr rot="0" spcFirstLastPara="0" vertOverflow="ellipsis" vert="horz" wrap="square" anchor="ctr" anchorCtr="1"/>
        <a:lstStyle/>
        <a:p>
          <a:pPr>
            <a:defRPr lang="zh-CN" sz="1100" b="0" i="0" u="none" strike="noStrike" kern="1200" baseline="0">
              <a:solidFill>
                <a:schemeClr val="tx1"/>
              </a:solidFill>
              <a:latin typeface="+mn-lt"/>
              <a:ea typeface="+mn-ea"/>
              <a:cs typeface="+mn-cs"/>
            </a:defRPr>
          </a:pPr>
          <a:endParaRPr lang="zh-CN"/>
        </a:p>
      </c:txPr>
    </c:legend>
    <c:plotVisOnly val="1"/>
    <c:dispBlanksAs val="gap"/>
  </c:chart>
  <c:txPr>
    <a:bodyPr/>
    <a:lstStyle/>
    <a:p>
      <a:pPr>
        <a:defRPr lang="zh-CN" sz="1100"/>
      </a:pPr>
      <a:endParaRPr lang="zh-CN"/>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1"/>
  <c:lang val="zh-CN"/>
  <c:chart>
    <c:autoTitleDeleted val="1"/>
    <c:plotArea>
      <c:layout/>
      <c:barChart>
        <c:barDir val="col"/>
        <c:grouping val="clustered"/>
        <c:axId val="168711680"/>
        <c:axId val="168713216"/>
      </c:barChart>
      <c:catAx>
        <c:axId val="168711680"/>
        <c:scaling>
          <c:orientation val="minMax"/>
        </c:scaling>
        <c:axPos val="b"/>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8713216"/>
        <c:crosses val="autoZero"/>
        <c:auto val="1"/>
        <c:lblAlgn val="ctr"/>
        <c:lblOffset val="100"/>
      </c:catAx>
      <c:valAx>
        <c:axId val="168713216"/>
        <c:scaling>
          <c:orientation val="minMax"/>
        </c:scaling>
        <c:axPos val="l"/>
        <c:majorGridlines/>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8711680"/>
        <c:crosses val="autoZero"/>
        <c:crossBetween val="between"/>
      </c:valAx>
    </c:plotArea>
    <c:legend>
      <c:legendPos val="r"/>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chart>
  <c:txPr>
    <a:bodyPr/>
    <a:lstStyle/>
    <a:p>
      <a:pPr>
        <a:defRPr lang="zh-CN"/>
      </a:pPr>
      <a:endParaRPr lang="zh-CN"/>
    </a:p>
  </c:tx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0</xdr:colOff>
      <xdr:row>26</xdr:row>
      <xdr:rowOff>0</xdr:rowOff>
    </xdr:from>
    <xdr:to>
      <xdr:col>9</xdr:col>
      <xdr:colOff>523875</xdr:colOff>
      <xdr:row>45</xdr:row>
      <xdr:rowOff>142875</xdr:rowOff>
    </xdr:to>
    <xdr:grpSp>
      <xdr:nvGrpSpPr>
        <xdr:cNvPr id="14054277" name="Gruppieren 4"/>
        <xdr:cNvGrpSpPr/>
      </xdr:nvGrpSpPr>
      <xdr:grpSpPr>
        <a:xfrm>
          <a:off x="762000" y="5295900"/>
          <a:ext cx="6657975" cy="3219450"/>
          <a:chOff x="236196" y="2469508"/>
          <a:chExt cx="6117516" cy="2867025"/>
        </a:xfrm>
      </xdr:grpSpPr>
      <xdr:graphicFrame macro="">
        <xdr:nvGraphicFramePr>
          <xdr:cNvPr id="14054278" name="Diagramm 5"/>
          <xdr:cNvGraphicFramePr/>
        </xdr:nvGraphicFramePr>
        <xdr:xfrm>
          <a:off x="236196" y="2469508"/>
          <a:ext cx="6117516" cy="286702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 name="Textfeld 6"/>
          <xdr:cNvSpPr txBox="1"/>
        </xdr:nvSpPr>
        <xdr:spPr>
          <a:xfrm>
            <a:off x="4699620" y="2596743"/>
            <a:ext cx="1540319" cy="279917"/>
          </a:xfrm>
          <a:prstGeom prst="rect">
            <a:avLst/>
          </a:prstGeom>
          <a:solidFill>
            <a:srgbClr val="FFFFFF"/>
          </a:solidFill>
          <a:ln w="9525" cap="flat" cmpd="sng" algn="ctr">
            <a:solidFill>
              <a:srgbClr val="BABABA"/>
            </a:solidFill>
            <a:prstDash val="solid"/>
            <a:round/>
          </a:ln>
        </xdr:spPr>
        <xdr:txBody>
          <a:bodyPr rot="0" vert="horz" lIns="0" tIns="0" rIns="0" bIns="0" anchor="t"/>
          <a:lstStyle/>
          <a:p>
            <a:pPr algn="l"/>
            <a:r>
              <a:rPr lang="zh-CN" altLang="en-US" sz="1100" b="1">
                <a:solidFill>
                  <a:srgbClr val="000000"/>
                </a:solidFill>
                <a:latin typeface="Calibri" panose="020F0502020204030204"/>
                <a:ea typeface="Calibri" panose="020F0502020204030204"/>
              </a:rPr>
              <a:t>non-closed S&amp;R issues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35</xdr:col>
      <xdr:colOff>76200</xdr:colOff>
      <xdr:row>5</xdr:row>
      <xdr:rowOff>38100</xdr:rowOff>
    </xdr:from>
    <xdr:to>
      <xdr:col>50</xdr:col>
      <xdr:colOff>66675</xdr:colOff>
      <xdr:row>30</xdr:row>
      <xdr:rowOff>85725</xdr:rowOff>
    </xdr:to>
    <xdr:graphicFrame macro="">
      <xdr:nvGraphicFramePr>
        <xdr:cNvPr id="16395014"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123825</xdr:colOff>
      <xdr:row>5</xdr:row>
      <xdr:rowOff>28575</xdr:rowOff>
    </xdr:from>
    <xdr:to>
      <xdr:col>21</xdr:col>
      <xdr:colOff>276225</xdr:colOff>
      <xdr:row>30</xdr:row>
      <xdr:rowOff>57150</xdr:rowOff>
    </xdr:to>
    <xdr:graphicFrame macro="">
      <xdr:nvGraphicFramePr>
        <xdr:cNvPr id="16395015"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xdr:col>
      <xdr:colOff>400050</xdr:colOff>
      <xdr:row>5</xdr:row>
      <xdr:rowOff>38100</xdr:rowOff>
    </xdr:from>
    <xdr:to>
      <xdr:col>70</xdr:col>
      <xdr:colOff>19050</xdr:colOff>
      <xdr:row>30</xdr:row>
      <xdr:rowOff>66675</xdr:rowOff>
    </xdr:to>
    <xdr:graphicFrame macro="">
      <xdr:nvGraphicFramePr>
        <xdr:cNvPr id="16395016"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5</xdr:row>
      <xdr:rowOff>9525</xdr:rowOff>
    </xdr:from>
    <xdr:to>
      <xdr:col>31</xdr:col>
      <xdr:colOff>19050</xdr:colOff>
      <xdr:row>30</xdr:row>
      <xdr:rowOff>57150</xdr:rowOff>
    </xdr:to>
    <xdr:graphicFrame macro="">
      <xdr:nvGraphicFramePr>
        <xdr:cNvPr id="16395017"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51</xdr:col>
      <xdr:colOff>85725</xdr:colOff>
      <xdr:row>4</xdr:row>
      <xdr:rowOff>142875</xdr:rowOff>
    </xdr:from>
    <xdr:to>
      <xdr:col>57</xdr:col>
      <xdr:colOff>209550</xdr:colOff>
      <xdr:row>30</xdr:row>
      <xdr:rowOff>28575</xdr:rowOff>
    </xdr:to>
    <xdr:graphicFrame macro="">
      <xdr:nvGraphicFramePr>
        <xdr:cNvPr id="16395018"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0</xdr:row>
      <xdr:rowOff>0</xdr:rowOff>
    </xdr:from>
    <xdr:to>
      <xdr:col>67</xdr:col>
      <xdr:colOff>0</xdr:colOff>
      <xdr:row>5</xdr:row>
      <xdr:rowOff>123825</xdr:rowOff>
    </xdr:to>
    <xdr:sp macro="" textlink="">
      <xdr:nvSpPr>
        <xdr:cNvPr id="16395019" name="Rectangle 1"/>
        <xdr:cNvSpPr>
          <a:spLocks noChangeArrowheads="1"/>
        </xdr:cNvSpPr>
      </xdr:nvSpPr>
      <xdr:spPr>
        <a:xfrm>
          <a:off x="466725" y="0"/>
          <a:ext cx="31689675" cy="942975"/>
        </a:xfrm>
        <a:prstGeom prst="rect">
          <a:avLst/>
        </a:prstGeom>
        <a:noFill/>
        <a:ln w="9525">
          <a:noFill/>
          <a:miter lim="800000"/>
        </a:ln>
      </xdr:spPr>
    </xdr:sp>
    <xdr:clientData/>
  </xdr:twoCellAnchor>
  <xdr:twoCellAnchor>
    <xdr:from>
      <xdr:col>6</xdr:col>
      <xdr:colOff>76200</xdr:colOff>
      <xdr:row>2</xdr:row>
      <xdr:rowOff>0</xdr:rowOff>
    </xdr:from>
    <xdr:to>
      <xdr:col>67</xdr:col>
      <xdr:colOff>0</xdr:colOff>
      <xdr:row>6</xdr:row>
      <xdr:rowOff>0</xdr:rowOff>
    </xdr:to>
    <xdr:sp macro="" textlink="">
      <xdr:nvSpPr>
        <xdr:cNvPr id="2" name="Text 2"/>
        <xdr:cNvSpPr txBox="1">
          <a:spLocks noChangeArrowheads="1"/>
        </xdr:cNvSpPr>
      </xdr:nvSpPr>
      <xdr:spPr>
        <a:xfrm>
          <a:off x="3295650" y="333375"/>
          <a:ext cx="28860750" cy="647700"/>
        </a:xfrm>
        <a:prstGeom prst="rect">
          <a:avLst/>
        </a:prstGeom>
        <a:noFill/>
        <a:ln w="9525">
          <a:noFill/>
          <a:miter lim="800000"/>
        </a:ln>
      </xdr:spPr>
      <xdr:txBody>
        <a:bodyPr vertOverflow="clip" wrap="square" lIns="36576" tIns="32004" rIns="0" bIns="32004" anchor="ctr" upright="1"/>
        <a:lstStyle/>
        <a:p>
          <a:pPr algn="l" rtl="0">
            <a:defRPr sz="1000"/>
          </a:pPr>
          <a:r>
            <a:rPr lang="en-US" altLang="zh-CN" sz="1800" b="1" i="0" strike="noStrike">
              <a:solidFill>
                <a:srgbClr val="000000"/>
              </a:solidFill>
              <a:latin typeface="Times New Roman" panose="02020603050405020304" pitchFamily="12"/>
              <a:cs typeface="Times New Roman" panose="02020603050405020304" pitchFamily="12"/>
            </a:rPr>
            <a:t>2013.75 V363 TT Build Concerns - S&amp;R Testing Status at 15th August 2013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40822</xdr:colOff>
      <xdr:row>11</xdr:row>
      <xdr:rowOff>122464</xdr:rowOff>
    </xdr:from>
    <xdr:to>
      <xdr:col>203</xdr:col>
      <xdr:colOff>381000</xdr:colOff>
      <xdr:row>33</xdr:row>
      <xdr:rowOff>93891</xdr:rowOff>
    </xdr:to>
    <xdr:graphicFrame macro="">
      <xdr:nvGraphicFramePr>
        <xdr:cNvPr id="12162759"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0.49286</cdr:x>
      <cdr:y>0.01701</cdr:y>
    </cdr:from>
    <cdr:to>
      <cdr:x>0.57768</cdr:x>
      <cdr:y>0.18374</cdr:y>
    </cdr:to>
    <cdr:sp macro="" textlink="">
      <cdr:nvSpPr>
        <cdr:cNvPr id="2" name="TextBox 1"/>
        <cdr:cNvSpPr txBox="1"/>
      </cdr:nvSpPr>
      <cdr:spPr>
        <a:xfrm xmlns:a="http://schemas.openxmlformats.org/drawingml/2006/main">
          <a:off x="7511141" y="68036"/>
          <a:ext cx="1292679" cy="6667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altLang="zh-CN" sz="2400" b="1">
              <a:latin typeface="+mn-ea"/>
              <a:ea typeface="+mn-ea"/>
            </a:rPr>
            <a:t>CX743</a:t>
          </a:r>
          <a:endParaRPr lang="zh-CN" altLang="en-US" sz="2400" b="1">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83344</xdr:colOff>
      <xdr:row>17</xdr:row>
      <xdr:rowOff>83343</xdr:rowOff>
    </xdr:from>
    <xdr:to>
      <xdr:col>154</xdr:col>
      <xdr:colOff>71438</xdr:colOff>
      <xdr:row>33</xdr:row>
      <xdr:rowOff>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xdr:colOff>
      <xdr:row>0</xdr:row>
      <xdr:rowOff>0</xdr:rowOff>
    </xdr:from>
    <xdr:to>
      <xdr:col>154</xdr:col>
      <xdr:colOff>0</xdr:colOff>
      <xdr:row>5</xdr:row>
      <xdr:rowOff>123825</xdr:rowOff>
    </xdr:to>
    <xdr:sp macro="" textlink="">
      <xdr:nvSpPr>
        <xdr:cNvPr id="12363720" name="Rectangle 1"/>
        <xdr:cNvSpPr>
          <a:spLocks noChangeArrowheads="1"/>
        </xdr:cNvSpPr>
      </xdr:nvSpPr>
      <xdr:spPr>
        <a:xfrm>
          <a:off x="38100" y="0"/>
          <a:ext cx="21497925" cy="1209675"/>
        </a:xfrm>
        <a:prstGeom prst="rect">
          <a:avLst/>
        </a:prstGeom>
        <a:noFill/>
        <a:ln w="9525">
          <a:noFill/>
          <a:miter lim="800000"/>
        </a:ln>
      </xdr:spPr>
    </xdr:sp>
    <xdr:clientData/>
  </xdr:twoCellAnchor>
  <xdr:twoCellAnchor>
    <xdr:from>
      <xdr:col>1</xdr:col>
      <xdr:colOff>68036</xdr:colOff>
      <xdr:row>15</xdr:row>
      <xdr:rowOff>238125</xdr:rowOff>
    </xdr:from>
    <xdr:to>
      <xdr:col>154</xdr:col>
      <xdr:colOff>13606</xdr:colOff>
      <xdr:row>32</xdr:row>
      <xdr:rowOff>145596</xdr:rowOff>
    </xdr:to>
    <xdr:graphicFrame macro="">
      <xdr:nvGraphicFramePr>
        <xdr:cNvPr id="12363721"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378995</xdr:colOff>
      <xdr:row>37</xdr:row>
      <xdr:rowOff>84722</xdr:rowOff>
    </xdr:to>
    <xdr:graphicFrame macro="">
      <xdr:nvGraphicFramePr>
        <xdr:cNvPr id="2" name="图表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tem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My%20Documents\Wow.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JTOWNSE1\Shipments\U207\U207\152\MSSM\MSSM%20Facer%201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STOUGH/CDRIVE/SMS/MODEL/MATX_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STOUGH/CDRIVE/SMS/96_BUS_P/WIN126/SNDWLNCH.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https:\e7.ford.com\XL40\DEW98\CVRSHT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https:\e7.ford.com\WINDOWS\Temporary%20Internet%20Files\OLK9145\F236,237%20June-July%202002%20SI%20Costing.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https:\team.sp.ford.com\Users\hoeztu11\AppData\Local\Microsoft\Windows\Temporary%20Internet%20Files\Content.Outlook\NFD25817\Report%20Tested%20vehicles\#7108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https:\e7.ford.com\WINDOWS\Temporary%20Internet%20Files\OLK9114\dbucci\excel\truck\pickup\SUV2\Profit1\Sts_0118.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U\SSTOUGH\CDRIVE\SMS\MODEL\MATX_2.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https:\e7.ford.com\WINDOWS\Temporary%20Internet%20Files\OLK9114\dbucci\excel\car\aluminum\D219\Excel%20Files\1MASTERS\Trucks\Explorer\U152Rb1a.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ttps:\e7.ford.com\WINDOWS\TEMP\U204MED.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I:\My%20Documents\clq.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https:\e7.ford.com\WINDOWS\TEMP\PVLTF7YY.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https:\team.sp.ford.com\Users\hoeztu11\AppData\Local\Microsoft\Windows\Temporary%20Internet%20Files\Content.Outlook\NFD25817\Users\hoeztu11\Documents\11.)%20Tested%20TT%20Vehicles\12.)%20CR71958_OTx@A\CR71958.xlsx"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pkg_template1"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https:\e7.ford.com\WINDOWS\TEMP\~FTPClient.Temp698807\Oakville_mop.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https:\e7.ford.com\WINDOWS\Temporary%20Internet%20Files\OLK9114\TEMP\wowwin.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https:\e7.ford.com\gvp\ProdProg\Phase%201%20-%20Replace%205-Panel\Stage%203\4%20Business%20Design\System%20Component%20Design\UI's%20and%20Data%20Input%20Templates\UI\Fleet-Retail%20MYR.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https:\team.sp.ford.com\Users\hoeztu11\AppData\Local\Microsoft\Windows\Temporary%20Internet%20Files\Content.Outlook\NFD25817\My%20Documents\loads\info_list.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F"/>
      <sheetName val="USD"/>
      <sheetName val="XLS Avg Rev"/>
      <sheetName val="Sheet1"/>
      <sheetName val="_REF"/>
      <sheetName val="Vistaar Sheet"/>
      <sheetName val="Sheet2"/>
      <sheetName val="Sheet3"/>
      <sheetName val="TARR1_alta"/>
      <sheetName val="20-Astra"/>
      <sheetName val="Reg Detail"/>
      <sheetName val="Ford Options"/>
      <sheetName val="Tenneco"/>
      <sheetName val="PVA"/>
      <sheetName val="RACK"/>
      <sheetName val="aprtakes"/>
      <sheetName val="pressrates"/>
      <sheetName val="Press"/>
      <sheetName val="Example"/>
      <sheetName val="series pricing"/>
      <sheetName val="RCL MY2"/>
      <sheetName val="Pricing 2"/>
      <sheetName val="10"/>
      <sheetName val="Lookup1"/>
      <sheetName val="Acceleration as of 7.11.12"/>
      <sheetName val="CANADA"/>
      <sheetName val="US"/>
      <sheetName val="Perunit"/>
      <sheetName val="Colors"/>
      <sheetName val="Rekap Budget"/>
      <sheetName val="GPDS Scale Standards"/>
      <sheetName val="INSTRUCTIONS"/>
      <sheetName val="List"/>
      <sheetName val="SUMMARY POSITION (2)"/>
      <sheetName val="pfx_prov"/>
      <sheetName val="Tabelle1"/>
      <sheetName val="FMCC Mix"/>
      <sheetName val="Fiesta"/>
      <sheetName val="有问题件"/>
      <sheetName val="temp"/>
      <sheetName val="XLS_Avg_Rev"/>
      <sheetName val="TD Heavies-Model"/>
      <sheetName val="L EQ"/>
      <sheetName val="添付１"/>
      <sheetName val="部門並び"/>
      <sheetName val="96totcstsum"/>
      <sheetName val="REVIEW"/>
      <sheetName val="Dropdown Fields"/>
      <sheetName val="Assessment"/>
      <sheetName val="PSW Calcul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Wow"/>
      <sheetName val="Rules"/>
      <sheetName val="#REF"/>
      <sheetName val="series pricing"/>
      <sheetName val="Engineers"/>
      <sheetName val="USD"/>
      <sheetName val="XLS Avg Rev"/>
      <sheetName val="Chassis Allocations - MBO"/>
      <sheetName val="Trim Allocations - MBO"/>
      <sheetName val="Data"/>
      <sheetName val="Fleet-Retail Split"/>
      <sheetName val="Pricing 2"/>
      <sheetName val="1992 MY"/>
      <sheetName val="1993 MY"/>
      <sheetName val="1994 MY"/>
      <sheetName val="1995 MY"/>
      <sheetName val="1996 MY"/>
      <sheetName val="1997 MY"/>
      <sheetName val="1998 MY"/>
      <sheetName val="Accr(1207)"/>
      <sheetName val="ProjCost(1007)"/>
      <sheetName val="ProjCost(1207)"/>
      <sheetName val="Sheet1"/>
    </sheetNames>
    <definedNames>
      <definedName name="Addtolist"/>
      <definedName name="CancelDialog1"/>
      <definedName name="Deletefromlist"/>
      <definedName name="NextKey1"/>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Ford Options"/>
      <sheetName val="Colors"/>
      <sheetName val="roles"/>
      <sheetName val="Lookup1"/>
      <sheetName val="RESBALBP"/>
      <sheetName val="series pricing"/>
      <sheetName val="2 shift Metric (16hrs)"/>
      <sheetName val="PFEP Data"/>
      <sheetName val="MSSM Facer 16"/>
      <sheetName val="Vols&amp;Fixed Costs"/>
      <sheetName val="Engineers"/>
      <sheetName val="Sheet2"/>
      <sheetName val="WE Annual Sales"/>
      <sheetName val="Rules"/>
      <sheetName val="Trend-J97MUmp"/>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Wage Calculations"/>
      <sheetName val="New_By_Rework_Summary"/>
      <sheetName val="matrix"/>
      <sheetName val="#REF"/>
      <sheetName val="#REF!"/>
      <sheetName val="Input Worksheet"/>
      <sheetName val="Tables"/>
      <sheetName val="INPUT"/>
      <sheetName val="Features"/>
      <sheetName val="CH1"/>
      <sheetName val="CH2"/>
      <sheetName val="EX1"/>
      <sheetName val="TE1-2"/>
      <sheetName val="TE3"/>
      <sheetName val="TE4-5"/>
      <sheetName val="Monthly Trend"/>
      <sheetName val="MATX_2"/>
      <sheetName val="roles"/>
      <sheetName val="SHEET1"/>
      <sheetName val="HVL MNTHLY"/>
      <sheetName val="Ford Options"/>
      <sheetName val="series pricing"/>
      <sheetName val="EN114VEPS"/>
      <sheetName val="variable"/>
      <sheetName val="CompetitiveAnalysisBaseline"/>
      <sheetName val="BaselineResults"/>
      <sheetName val="C&amp;IProgramEvaluation"/>
    </sheetNames>
    <sheetDataSet>
      <sheetData sheetId="0" refreshError="1"/>
      <sheetData sheetId="1"/>
      <sheetData sheetId="2"/>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SN951999"/>
      <sheetName val="input_legend "/>
      <sheetName val="Wage Calculations"/>
      <sheetName val="RESBALBP"/>
      <sheetName val="prissa"/>
      <sheetName val="InputSheet"/>
      <sheetName val="VO status"/>
      <sheetName val="CSV_DOWNLOAD"/>
      <sheetName val="USD"/>
      <sheetName val="Sheet1"/>
      <sheetName val="DATA"/>
      <sheetName val="vs. Prior"/>
      <sheetName val="vs. Bud"/>
      <sheetName val="Pick Lists"/>
      <sheetName val="Program Info"/>
      <sheetName val="HoursTable"/>
      <sheetName val="Synergy"/>
      <sheetName val="VehicleHours"/>
      <sheetName val="#REF"/>
      <sheetName val="SNDWLNCH"/>
      <sheetName val="assumptions"/>
      <sheetName val="risks and opps"/>
      <sheetName val="consol track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variable"/>
    </sheetNames>
    <sheetDataSet>
      <sheetData sheetId="0"/>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ec Summary"/>
      <sheetName val="MBO Submission"/>
      <sheetName val="SUMMARY"/>
      <sheetName val="TE1-2"/>
      <sheetName val="TE3"/>
      <sheetName val="TE4-5"/>
      <sheetName val="EX1"/>
      <sheetName val="CH1"/>
      <sheetName val="CH2"/>
      <sheetName val="CH3"/>
      <sheetName val="Facil-Gen"/>
      <sheetName val="Ergo"/>
      <sheetName val="Error Proof"/>
      <sheetName val="F236-237 at 50 JPH Net"/>
      <sheetName val="Risks1"/>
      <sheetName val="vari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TT PAYNTER CHART_1a_ (2)"/>
      <sheetName val="PMT missing PCA's (2)"/>
      <sheetName val="#71083"/>
    </sheetNames>
    <definedNames>
      <definedName name="MO2635A"/>
    </definedNames>
    <sheetDataSet>
      <sheetData sheetId="0"/>
      <sheetData sheetId="1"/>
      <sheetData sheetId="2" refreshError="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INPUT"/>
      <sheetName val="2003 WTN Pack Budget Details"/>
    </sheetNames>
    <sheetDataSet>
      <sheetData sheetId="0"/>
      <sheetData sheetId="1"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Input Worksheet"/>
      <sheetName val="SN951999"/>
      <sheetName val="INPUT"/>
      <sheetName val="CH1"/>
      <sheetName val="CH2"/>
      <sheetName val="EX1"/>
      <sheetName val="TE1-2"/>
      <sheetName val="TE3"/>
      <sheetName val="TE4-5"/>
      <sheetName val="NA"/>
      <sheetName val="1999 FN10 Content"/>
      <sheetName val="Estimate D' Renovation"/>
      <sheetName val="02 Frt Floor"/>
      <sheetName val="Cover"/>
      <sheetName val="Tables"/>
      <sheetName val="Parameter"/>
      <sheetName val="Wage Calculations"/>
    </sheetNames>
    <sheetDataSet>
      <sheetData sheetId="0" refreshError="1">
        <row r="22">
          <cell r="F22">
            <v>60</v>
          </cell>
        </row>
        <row r="191">
          <cell r="ET191">
            <v>0</v>
          </cell>
          <cell r="EU191">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DieCount"/>
      <sheetName val="Sheet1"/>
      <sheetName val="Chronology Variance Exp"/>
      <sheetName val="U152 Chronology to 1-26"/>
      <sheetName val="Stamping Opportunities Booked"/>
      <sheetName val="Variance Explanation 1-7-98"/>
      <sheetName val="Variance Summary Update 1-7-98"/>
      <sheetName val="Variance Summary Update 11-21"/>
      <sheetName val="Variance Explanation 11-21"/>
      <sheetName val="RB1 Variance Explanation"/>
      <sheetName val="Rb 1 Variance Summary"/>
      <sheetName val="Risks &amp; Opportunities"/>
      <sheetName val="EU. Pattern, Casting Thrift"/>
      <sheetName val="Stateside Pattern Thrift"/>
      <sheetName val="U152 Element variance by P-Grp"/>
      <sheetName val="Offstandards"/>
      <sheetName val="Increase due to C3P Die Design"/>
      <sheetName val="Draw Die Development Breakdown"/>
      <sheetName val="Input Worksheet"/>
      <sheetName val="U152Rb1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U204MED"/>
      <sheetName val="DieCount"/>
      <sheetName val="Features"/>
    </sheetNames>
    <definedNames>
      <definedName name="Finished_Click"/>
    </defined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Rules"/>
      <sheetName val="#REF"/>
      <sheetName val="USD"/>
      <sheetName val="XLS Avg Rev"/>
      <sheetName val="Ford Options"/>
      <sheetName val="clq"/>
      <sheetName val="DieCount"/>
      <sheetName val="NOP96"/>
      <sheetName val="Incl in WOLF I - BWS Adj"/>
      <sheetName val="Input Worksheet"/>
      <sheetName val="Raw"/>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Colors"/>
      <sheetName val="Rules"/>
      <sheetName val="Lookup1"/>
    </sheetNames>
    <sheetDataSet>
      <sheetData sheetId="0"/>
      <sheetData sheetId="1" refreshError="1"/>
      <sheetData sheetId="2" refreshError="1"/>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1958"/>
      <sheetName val="CR71958"/>
    </sheetNames>
    <definedNames>
      <definedName name="hsh"/>
      <definedName name="Print_VC3_Only"/>
      <definedName name="Print_VC4"/>
      <definedName name="Print_VC4_Only"/>
      <definedName name="Print_VC5_Only"/>
      <definedName name="werert"/>
      <definedName name="wert"/>
      <definedName name="x"/>
    </definedNames>
    <sheetDataSet>
      <sheetData sheetId="0" refreshError="1"/>
      <sheetData sheetId="1" refreshError="1"/>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pkg_template1"/>
      <sheetName val="TARR1_alta"/>
      <sheetName val="data"/>
      <sheetName val="Saturday Working Graph"/>
      <sheetName val="Fleet-Retail Split"/>
      <sheetName val="Colors"/>
      <sheetName val="(2)"/>
      <sheetName val="INPUT"/>
      <sheetName val="Features"/>
      <sheetName val="Plant Monthly Actuals"/>
      <sheetName val="K Auth System #1"/>
      <sheetName val="RCL MY2"/>
      <sheetName val="Ecos(0+12)"/>
      <sheetName val="#REF"/>
      <sheetName val="USD"/>
      <sheetName val="XLS Avg Rev"/>
      <sheetName val="NA"/>
      <sheetName val="Ledger Data"/>
      <sheetName val="Salary Data"/>
      <sheetName val="Head&amp;Cam Assembly (2 Cells)"/>
      <sheetName val="Industry"/>
      <sheetName val="Comm'l Lending Forecast Summary"/>
      <sheetName val="Example"/>
      <sheetName val="Milestones"/>
      <sheetName val="InputSheet"/>
      <sheetName val="Rules"/>
      <sheetName val="Miscellaneous Breakdown"/>
      <sheetName val="#REF!"/>
    </sheetNames>
    <definedNames>
      <definedName name="LoadStudyData"/>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Plant Monthly Actuals"/>
      <sheetName val="K Auth System #1"/>
      <sheetName val="Oakville_mop"/>
    </sheetNames>
    <sheetDataSet>
      <sheetData sheetId="0" refreshError="1"/>
      <sheetData sheetId="1" refreshError="1"/>
      <sheetData sheetId="2" refreshError="1"/>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Features"/>
      <sheetName val="Colors"/>
      <sheetName val="Module1"/>
      <sheetName val="Module2"/>
      <sheetName val="Module3"/>
      <sheetName val="Dialog1"/>
      <sheetName val="Harvest"/>
      <sheetName val="Parts"/>
      <sheetName val="Usages"/>
      <sheetName val="Components"/>
      <sheetName val="Effectivity"/>
      <sheetName val="CPSC"/>
      <sheetName val="Activities"/>
      <sheetName val="Misc Codes"/>
      <sheetName val="Engineers"/>
      <sheetName val="Plant Monthly Actuals"/>
      <sheetName val="K Auth System #1"/>
      <sheetName val="INPUT"/>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Fleet-Retail Split"/>
      <sheetName val="TempData"/>
      <sheetName val="Features"/>
    </sheetNames>
    <sheetDataSet>
      <sheetData sheetId="0"/>
      <sheetData sheetId="1" refreshError="1"/>
      <sheetData sheetId="2" refreshError="1"/>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Lookup1"/>
      <sheetName val="Internal"/>
      <sheetName val="Plants"/>
      <sheetName val="Lookup2"/>
      <sheetName val="Final"/>
      <sheetName val="Master_Mod"/>
      <sheetName val="Import_Mod"/>
      <sheetName val="Plant_Mod"/>
      <sheetName val="Lines_Mod"/>
      <sheetName val="Base_Mod"/>
      <sheetName val="Look_Mod"/>
      <sheetName val="Format_Mod"/>
      <sheetName val="Dialog1"/>
      <sheetName val="Dialog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mailto:Remzi.Altunsoy@magna.com" TargetMode="External"/><Relationship Id="rId1" Type="http://schemas.openxmlformats.org/officeDocument/2006/relationships/hyperlink" Target="mailto:Remzi.Altunsoy@magn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pageSetUpPr fitToPage="1"/>
  </sheetPr>
  <dimension ref="B2:J24"/>
  <sheetViews>
    <sheetView zoomScale="90" zoomScaleNormal="90" workbookViewId="0">
      <selection activeCell="K23" sqref="K23"/>
    </sheetView>
  </sheetViews>
  <sheetFormatPr defaultColWidth="11.42578125" defaultRowHeight="12.75"/>
  <cols>
    <col min="2" max="2" width="31.5703125" customWidth="1"/>
    <col min="3" max="3" width="18.140625" customWidth="1"/>
    <col min="4" max="6" width="7.7109375" customWidth="1"/>
    <col min="7" max="7" width="7.7109375" hidden="1" customWidth="1"/>
    <col min="8" max="8" width="7.7109375" customWidth="1"/>
  </cols>
  <sheetData>
    <row r="2" spans="2:10" ht="13.5" customHeight="1">
      <c r="C2" t="e">
        <f>#REF!</f>
        <v>#REF!</v>
      </c>
      <c r="D2" s="710" t="e">
        <f>#REF!</f>
        <v>#REF!</v>
      </c>
      <c r="E2" s="710"/>
      <c r="F2" s="1521" t="s">
        <v>0</v>
      </c>
      <c r="G2" s="1521"/>
      <c r="H2" s="1521"/>
      <c r="I2" s="1521"/>
      <c r="J2" s="1521"/>
    </row>
    <row r="3" spans="2:10" ht="13.5" customHeight="1">
      <c r="C3" t="e">
        <f>#REF!</f>
        <v>#REF!</v>
      </c>
      <c r="D3" s="710" t="e">
        <f>#REF!</f>
        <v>#REF!</v>
      </c>
      <c r="E3" s="710"/>
      <c r="F3" s="1521" t="s">
        <v>1</v>
      </c>
      <c r="G3" s="1521"/>
      <c r="H3" s="1521"/>
      <c r="I3" s="1521"/>
      <c r="J3" s="1521"/>
    </row>
    <row r="4" spans="2:10" ht="13.5" customHeight="1">
      <c r="C4" t="e">
        <f>#REF!</f>
        <v>#REF!</v>
      </c>
      <c r="D4" s="710" t="e">
        <f>#REF!</f>
        <v>#REF!</v>
      </c>
      <c r="E4" s="710"/>
      <c r="F4" s="1521" t="s">
        <v>2</v>
      </c>
      <c r="G4" s="1521"/>
      <c r="H4" s="1521"/>
      <c r="I4" s="1521"/>
      <c r="J4" s="1521"/>
    </row>
    <row r="5" spans="2:10" ht="13.5" customHeight="1">
      <c r="C5" t="s">
        <v>3</v>
      </c>
      <c r="D5" s="710" t="e">
        <f>SUM(D2:D4)</f>
        <v>#REF!</v>
      </c>
    </row>
    <row r="6" spans="2:10" ht="13.5" customHeight="1"/>
    <row r="7" spans="2:10" s="708" customFormat="1" ht="82.5" customHeight="1">
      <c r="B7" s="711" t="s">
        <v>4</v>
      </c>
      <c r="C7" s="712" t="s">
        <v>5</v>
      </c>
      <c r="D7" s="713" t="s">
        <v>6</v>
      </c>
      <c r="E7" s="714" t="s">
        <v>7</v>
      </c>
      <c r="F7" s="714" t="s">
        <v>8</v>
      </c>
      <c r="G7" s="714" t="s">
        <v>9</v>
      </c>
      <c r="H7" s="714" t="s">
        <v>10</v>
      </c>
    </row>
    <row r="8" spans="2:10">
      <c r="B8" s="715" t="s">
        <v>11</v>
      </c>
      <c r="C8" s="716" t="e">
        <f>COUNTIFS(#REF!,"5",#REF!,"red")</f>
        <v>#REF!</v>
      </c>
      <c r="D8" s="717" t="e">
        <f>COUNTIFS(#REF!,"5",#REF!,"red",#REF!,"Des")</f>
        <v>#REF!</v>
      </c>
      <c r="E8" s="718" t="e">
        <f>COUNTIFS(#REF!,"5",#REF!,"red",#REF!,"Man Q")</f>
        <v>#REF!</v>
      </c>
      <c r="F8" s="718" t="e">
        <f>COUNTIFS(#REF!,"5",#REF!,"red",#REF!,"Man")</f>
        <v>#REF!</v>
      </c>
      <c r="G8" s="718" t="e">
        <f>COUNTIFS(#REF!,"5",#REF!,"red",#REF!,"MDI")</f>
        <v>#REF!</v>
      </c>
      <c r="H8" s="718" t="e">
        <f>COUNTIFS(#REF!,"5",#REF!,"red",#REF!,"Sup Q")</f>
        <v>#REF!</v>
      </c>
    </row>
    <row r="9" spans="2:10">
      <c r="B9" s="719" t="s">
        <v>12</v>
      </c>
      <c r="C9" s="716" t="e">
        <f>COUNTIFS(#REF!,"1A",#REF!,"red")</f>
        <v>#REF!</v>
      </c>
      <c r="D9" s="717" t="e">
        <f>COUNTIFS(#REF!,"1A",#REF!,"red",#REF!,"Des")</f>
        <v>#REF!</v>
      </c>
      <c r="E9" s="718" t="e">
        <f>COUNTIFS(#REF!,"1A",#REF!,"red",#REF!,"Man Q")</f>
        <v>#REF!</v>
      </c>
      <c r="F9" s="720" t="e">
        <f>COUNTIFS(#REF!,"1A",#REF!,"red",#REF!,"Man")</f>
        <v>#REF!</v>
      </c>
      <c r="G9" s="720" t="e">
        <f>COUNTIFS(#REF!,"1A",#REF!,"red",#REF!,"MDI")</f>
        <v>#REF!</v>
      </c>
      <c r="H9" s="720" t="e">
        <f>COUNTIFS(#REF!,"1A",#REF!,"red",#REF!,"Sup Q")</f>
        <v>#REF!</v>
      </c>
    </row>
    <row r="10" spans="2:10">
      <c r="B10" s="719" t="s">
        <v>13</v>
      </c>
      <c r="C10" s="716" t="e">
        <f>COUNTIFS(#REF!,"1AC",#REF!,"red")</f>
        <v>#REF!</v>
      </c>
      <c r="D10" s="717" t="e">
        <f>COUNTIFS(#REF!,"1AC",#REF!,"red",#REF!,"Des")</f>
        <v>#REF!</v>
      </c>
      <c r="E10" s="718" t="e">
        <f>COUNTIFS(#REF!,"1AC",#REF!,"red",#REF!,"Man Q")</f>
        <v>#REF!</v>
      </c>
      <c r="F10" s="720" t="e">
        <f>COUNTIFS(#REF!,"1AC",#REF!,"red",#REF!,"Man")</f>
        <v>#REF!</v>
      </c>
      <c r="G10" s="720" t="e">
        <f>COUNTIFS(#REF!,"1AC",#REF!,"red",#REF!,"MDI")</f>
        <v>#REF!</v>
      </c>
      <c r="H10" s="720" t="e">
        <f>COUNTIFS(#REF!,"1AC",#REF!,"red",#REF!,"Sup Q")</f>
        <v>#REF!</v>
      </c>
    </row>
    <row r="11" spans="2:10">
      <c r="B11" s="721" t="s">
        <v>14</v>
      </c>
      <c r="C11" s="716" t="e">
        <f>COUNTIFS(#REF!,"1B",#REF!,"red")</f>
        <v>#REF!</v>
      </c>
      <c r="D11" s="717" t="e">
        <f>COUNTIFS(#REF!,"1B",#REF!,"red",#REF!,"Des")</f>
        <v>#REF!</v>
      </c>
      <c r="E11" s="718" t="e">
        <f>COUNTIFS(#REF!,"1B",#REF!,"red",#REF!,"Man Q")</f>
        <v>#REF!</v>
      </c>
      <c r="F11" s="720" t="e">
        <f>COUNTIFS(#REF!,"1B",#REF!,"red",#REF!,"Man")</f>
        <v>#REF!</v>
      </c>
      <c r="G11" s="720" t="e">
        <f>COUNTIFS(#REF!,"1B",#REF!,"red",#REF!,"MDI")</f>
        <v>#REF!</v>
      </c>
      <c r="H11" s="720" t="e">
        <f>COUNTIFS(#REF!,"1B",#REF!,"red",#REF!,"Sup Q")</f>
        <v>#REF!</v>
      </c>
    </row>
    <row r="12" spans="2:10">
      <c r="B12" s="721" t="s">
        <v>15</v>
      </c>
      <c r="C12" s="716" t="e">
        <f>COUNTIFS(#REF!,"1BE",#REF!,"red")</f>
        <v>#REF!</v>
      </c>
      <c r="D12" s="717" t="e">
        <f>COUNTIFS(#REF!,"1BE",#REF!,"red",#REF!,"Des")</f>
        <v>#REF!</v>
      </c>
      <c r="E12" s="718" t="e">
        <f>COUNTIFS(#REF!,"1BE",#REF!,"red",#REF!,"Man Q")</f>
        <v>#REF!</v>
      </c>
      <c r="F12" s="720" t="e">
        <f>COUNTIFS(#REF!,"1BE",#REF!,"red",#REF!,"Man")</f>
        <v>#REF!</v>
      </c>
      <c r="G12" s="720" t="e">
        <f>COUNTIFS(#REF!,"1BE",#REF!,"red",#REF!,"MDI")</f>
        <v>#REF!</v>
      </c>
      <c r="H12" s="720" t="e">
        <f>COUNTIFS(#REF!,"1BE",#REF!,"red",#REF!,"Sup Q")</f>
        <v>#REF!</v>
      </c>
    </row>
    <row r="13" spans="2:10">
      <c r="B13" s="721" t="s">
        <v>16</v>
      </c>
      <c r="C13" s="716" t="e">
        <f>COUNTIFS(#REF!,"1C",#REF!,"red")</f>
        <v>#REF!</v>
      </c>
      <c r="D13" s="717" t="e">
        <f>COUNTIFS(#REF!,"1C",#REF!,"red",#REF!,"Des")</f>
        <v>#REF!</v>
      </c>
      <c r="E13" s="718" t="e">
        <f>COUNTIFS(#REF!,"1C",#REF!,"red",#REF!,"Man Q")</f>
        <v>#REF!</v>
      </c>
      <c r="F13" s="720" t="e">
        <f>COUNTIFS(#REF!,"1C",#REF!,"red",#REF!,"Man")</f>
        <v>#REF!</v>
      </c>
      <c r="G13" s="720" t="e">
        <f>COUNTIFS(#REF!,"1C",#REF!,"red",#REF!,"MDI")</f>
        <v>#REF!</v>
      </c>
      <c r="H13" s="720" t="e">
        <f>COUNTIFS(#REF!,"1C",#REF!,"red",#REF!,"Sup Q")</f>
        <v>#REF!</v>
      </c>
    </row>
    <row r="14" spans="2:10">
      <c r="B14" s="719" t="s">
        <v>17</v>
      </c>
      <c r="C14" s="716" t="e">
        <f>COUNTIFS(#REF!,"2A",#REF!,"red")</f>
        <v>#REF!</v>
      </c>
      <c r="D14" s="717" t="e">
        <f>COUNTIFS(#REF!,"2A",#REF!,"red",#REF!,"Des")</f>
        <v>#REF!</v>
      </c>
      <c r="E14" s="718" t="e">
        <f>COUNTIFS(#REF!,"2A",#REF!,"red",#REF!,"Man Q")</f>
        <v>#REF!</v>
      </c>
      <c r="F14" s="720" t="e">
        <f>COUNTIFS(#REF!,"2A",#REF!,"red",#REF!,"Man")</f>
        <v>#REF!</v>
      </c>
      <c r="G14" s="720" t="e">
        <f>COUNTIFS(#REF!,"2A",#REF!,"red",#REF!,"MDI")</f>
        <v>#REF!</v>
      </c>
      <c r="H14" s="720" t="e">
        <f>COUNTIFS(#REF!,"2A",#REF!,"red",#REF!,"Sup Q")</f>
        <v>#REF!</v>
      </c>
    </row>
    <row r="15" spans="2:10">
      <c r="B15" s="719" t="s">
        <v>18</v>
      </c>
      <c r="C15" s="716" t="e">
        <f>COUNTIFS(#REF!,"2B",#REF!,"red")</f>
        <v>#REF!</v>
      </c>
      <c r="D15" s="717" t="e">
        <f>COUNTIFS(#REF!,"2B",#REF!,"red",#REF!,"Des")</f>
        <v>#REF!</v>
      </c>
      <c r="E15" s="718" t="e">
        <f>COUNTIFS(#REF!,"2B",#REF!,"red",#REF!,"Man Q")</f>
        <v>#REF!</v>
      </c>
      <c r="F15" s="720" t="e">
        <f>COUNTIFS(#REF!,"2B",#REF!,"red",#REF!,"Man")</f>
        <v>#REF!</v>
      </c>
      <c r="G15" s="720" t="e">
        <f>COUNTIFS(#REF!,"2B",#REF!,"red",#REF!,"MDI")</f>
        <v>#REF!</v>
      </c>
      <c r="H15" s="720" t="e">
        <f>COUNTIFS(#REF!,"2B",#REF!,"red",#REF!,"Sup Q")</f>
        <v>#REF!</v>
      </c>
    </row>
    <row r="17" spans="2:10">
      <c r="B17" s="719" t="s">
        <v>19</v>
      </c>
      <c r="C17" s="716" t="e">
        <f>COUNTIFS(#REF!,"2C",#REF!,"red")</f>
        <v>#REF!</v>
      </c>
      <c r="D17" s="717" t="e">
        <f>COUNTIFS(#REF!,"2C",#REF!,"red",#REF!,"Des")</f>
        <v>#REF!</v>
      </c>
      <c r="E17" s="718" t="e">
        <f>COUNTIFS(#REF!,"2C",#REF!,"red",#REF!,"Man Q")</f>
        <v>#REF!</v>
      </c>
      <c r="F17" s="720" t="e">
        <f>COUNTIFS(#REF!,"2C",#REF!,"red",#REF!,"Man")</f>
        <v>#REF!</v>
      </c>
      <c r="G17" s="720" t="e">
        <f>COUNTIFS(#REF!,"2C",#REF!,"red",#REF!,"MDI")</f>
        <v>#REF!</v>
      </c>
      <c r="H17" s="720" t="e">
        <f>COUNTIFS(#REF!,"2C",#REF!,"red",#REF!,"Sup Q")</f>
        <v>#REF!</v>
      </c>
    </row>
    <row r="18" spans="2:10">
      <c r="B18" s="719" t="s">
        <v>20</v>
      </c>
      <c r="C18" s="716" t="e">
        <f>COUNTIFS(#REF!,"3",#REF!,"red")</f>
        <v>#REF!</v>
      </c>
      <c r="D18" s="717" t="e">
        <f>COUNTIFS(#REF!,"3",#REF!,"red",#REF!,"Des")</f>
        <v>#REF!</v>
      </c>
      <c r="E18" s="718" t="e">
        <f>COUNTIFS(#REF!,"3",#REF!,"red",#REF!,"Man Q")</f>
        <v>#REF!</v>
      </c>
      <c r="F18" s="720" t="e">
        <f>COUNTIFS(#REF!,"3",#REF!,"red",#REF!,"Man")</f>
        <v>#REF!</v>
      </c>
      <c r="G18" s="720" t="e">
        <f>COUNTIFS(#REF!,"3",#REF!,"red",#REF!,"MDI")</f>
        <v>#REF!</v>
      </c>
      <c r="H18" s="720" t="e">
        <f>COUNTIFS(#REF!,"3",#REF!,"red",#REF!,"Sup Q")</f>
        <v>#REF!</v>
      </c>
    </row>
    <row r="19" spans="2:10">
      <c r="D19" s="710" t="e">
        <f>SUM(D8:D18)</f>
        <v>#REF!</v>
      </c>
      <c r="E19" s="710" t="e">
        <f>SUM(E8:E18)</f>
        <v>#REF!</v>
      </c>
      <c r="F19" s="710" t="e">
        <f>SUM(F8:F18)</f>
        <v>#REF!</v>
      </c>
      <c r="G19" s="710" t="e">
        <f>SUM(G8:G17)</f>
        <v>#REF!</v>
      </c>
      <c r="H19" s="710" t="e">
        <f>SUM(H8:H18)</f>
        <v>#REF!</v>
      </c>
    </row>
    <row r="21" spans="2:10">
      <c r="B21" s="722" t="s">
        <v>21</v>
      </c>
      <c r="C21" s="723" t="e">
        <f>SUM(C8:C19)</f>
        <v>#REF!</v>
      </c>
    </row>
    <row r="22" spans="2:10">
      <c r="B22" s="722"/>
      <c r="C22" s="723"/>
    </row>
    <row r="23" spans="2:10" s="709" customFormat="1" ht="24.75" customHeight="1">
      <c r="B23" s="724" t="s">
        <v>22</v>
      </c>
      <c r="C23" s="728" t="s">
        <v>23</v>
      </c>
      <c r="D23" s="1522" t="s">
        <v>24</v>
      </c>
      <c r="E23" s="1522"/>
      <c r="F23" s="1522"/>
      <c r="G23" s="1522"/>
      <c r="H23" s="1522"/>
      <c r="I23" s="1522"/>
      <c r="J23" s="1522"/>
    </row>
    <row r="24" spans="2:10">
      <c r="B24" s="725" t="s">
        <v>25</v>
      </c>
      <c r="C24" s="726">
        <v>4</v>
      </c>
      <c r="D24" s="727" t="s">
        <v>26</v>
      </c>
      <c r="E24" s="727"/>
      <c r="F24" s="727"/>
      <c r="G24" s="727"/>
      <c r="H24" s="727"/>
    </row>
  </sheetData>
  <mergeCells count="4">
    <mergeCell ref="F2:J2"/>
    <mergeCell ref="F3:J3"/>
    <mergeCell ref="F4:J4"/>
    <mergeCell ref="D23:J23"/>
  </mergeCells>
  <phoneticPr fontId="7" type="noConversion"/>
  <pageMargins left="0.70972222222222203" right="0.70972222222222203" top="0.78958333333333297" bottom="0.78958333333333297" header="0.30972222222222201" footer="0.30972222222222201"/>
  <pageSetup scale="80" orientation="portrait"/>
  <drawing r:id="rId1"/>
</worksheet>
</file>

<file path=xl/worksheets/sheet2.xml><?xml version="1.0" encoding="utf-8"?>
<worksheet xmlns="http://schemas.openxmlformats.org/spreadsheetml/2006/main" xmlns:r="http://schemas.openxmlformats.org/officeDocument/2006/relationships">
  <sheetPr>
    <pageSetUpPr fitToPage="1"/>
  </sheetPr>
  <dimension ref="A1:BU459"/>
  <sheetViews>
    <sheetView showGridLines="0" topLeftCell="A58" zoomScale="80" zoomScaleNormal="80" workbookViewId="0">
      <selection activeCell="Y163" sqref="Y163"/>
    </sheetView>
  </sheetViews>
  <sheetFormatPr defaultColWidth="9.140625" defaultRowHeight="12.75" outlineLevelCol="1"/>
  <cols>
    <col min="1" max="4" width="6.5703125" style="20" customWidth="1"/>
    <col min="5" max="5" width="8.140625" customWidth="1"/>
    <col min="6" max="6" width="13.85546875" customWidth="1"/>
    <col min="7" max="7" width="8.28515625" customWidth="1"/>
    <col min="8" max="8" width="8.140625" customWidth="1"/>
    <col min="9" max="9" width="5.28515625" hidden="1" customWidth="1"/>
    <col min="10" max="10" width="9.7109375" customWidth="1"/>
    <col min="11" max="11" width="11.28515625" customWidth="1"/>
    <col min="12" max="12" width="12.42578125" hidden="1" customWidth="1"/>
    <col min="13" max="13" width="8.28515625" customWidth="1"/>
    <col min="14" max="14" width="11" customWidth="1"/>
    <col min="15" max="15" width="12.7109375" customWidth="1"/>
    <col min="16" max="16" width="6.5703125" hidden="1" customWidth="1" outlineLevel="1"/>
    <col min="17" max="18" width="18.42578125" hidden="1" customWidth="1" outlineLevel="1"/>
    <col min="19" max="19" width="6.85546875" style="22" customWidth="1" collapsed="1"/>
    <col min="20" max="20" width="7.5703125" style="22" customWidth="1"/>
    <col min="21" max="21" width="6.42578125" customWidth="1"/>
    <col min="22" max="25" width="8" customWidth="1"/>
    <col min="26" max="26" width="36.28515625" hidden="1" customWidth="1"/>
    <col min="27" max="27" width="41.5703125" hidden="1" customWidth="1"/>
    <col min="28" max="28" width="41.5703125" customWidth="1"/>
    <col min="29" max="29" width="19.28515625" customWidth="1"/>
    <col min="30" max="30" width="30.5703125" style="22" customWidth="1"/>
    <col min="31" max="32" width="10.7109375" customWidth="1"/>
    <col min="33" max="33" width="35.7109375" style="21" customWidth="1"/>
    <col min="34" max="34" width="26.42578125" hidden="1" customWidth="1"/>
    <col min="35" max="35" width="17.85546875" customWidth="1"/>
    <col min="36" max="36" width="4.5703125" customWidth="1"/>
    <col min="37" max="37" width="6.5703125" customWidth="1"/>
    <col min="38" max="38" width="5.7109375" customWidth="1"/>
    <col min="39" max="40" width="6.140625" customWidth="1"/>
    <col min="41" max="41" width="6" customWidth="1"/>
    <col min="42" max="42" width="7.42578125" customWidth="1"/>
    <col min="43" max="46" width="6" customWidth="1"/>
    <col min="47" max="49" width="5.85546875" customWidth="1"/>
    <col min="50" max="51" width="4.7109375" customWidth="1"/>
    <col min="52" max="52" width="4.85546875" hidden="1" customWidth="1" outlineLevel="1"/>
    <col min="53" max="53" width="6.42578125" hidden="1" customWidth="1" outlineLevel="1"/>
    <col min="54" max="58" width="4.85546875" hidden="1" customWidth="1" outlineLevel="1"/>
    <col min="59" max="59" width="9.140625" customWidth="1" collapsed="1"/>
    <col min="60" max="60" width="2" customWidth="1"/>
    <col min="61" max="61" width="5.7109375" customWidth="1"/>
    <col min="62" max="62" width="5.5703125" customWidth="1"/>
    <col min="63" max="63" width="6.28515625" customWidth="1"/>
    <col min="64" max="64" width="5.42578125" customWidth="1"/>
    <col min="65" max="65" width="6.28515625" customWidth="1"/>
    <col min="66" max="66" width="5.42578125" customWidth="1"/>
    <col min="67" max="67" width="5.85546875" customWidth="1"/>
    <col min="68" max="69" width="6.28515625" customWidth="1"/>
    <col min="70" max="70" width="4.7109375" customWidth="1"/>
    <col min="71" max="71" width="5.5703125" customWidth="1"/>
    <col min="72" max="72" width="9.140625" customWidth="1"/>
  </cols>
  <sheetData>
    <row r="1" spans="1:71">
      <c r="A1" s="432"/>
      <c r="B1" s="23"/>
      <c r="C1" s="23"/>
      <c r="D1" s="23"/>
      <c r="E1" s="24"/>
      <c r="F1" s="24"/>
      <c r="G1" s="24"/>
      <c r="H1" s="24"/>
      <c r="I1" s="24"/>
      <c r="J1" s="455"/>
      <c r="K1" s="456"/>
      <c r="L1" s="456"/>
      <c r="M1" s="183"/>
      <c r="N1" s="183"/>
      <c r="O1" s="457"/>
      <c r="P1" s="183"/>
      <c r="Q1" s="183"/>
      <c r="R1" s="183"/>
      <c r="S1" s="25"/>
      <c r="T1" s="25"/>
      <c r="U1" s="183"/>
      <c r="V1" s="456"/>
      <c r="W1" s="456"/>
      <c r="X1" s="456"/>
      <c r="Y1" s="456"/>
      <c r="Z1" s="456"/>
      <c r="AA1" s="456"/>
      <c r="AB1" s="183"/>
      <c r="AC1" s="298"/>
      <c r="AD1" s="527"/>
      <c r="AE1" s="298"/>
      <c r="AF1" s="298"/>
      <c r="AG1" s="26"/>
      <c r="AH1" s="553"/>
      <c r="AI1" s="183"/>
      <c r="AJ1" s="183"/>
      <c r="AK1" s="25"/>
      <c r="AL1" s="25"/>
      <c r="AM1" s="25"/>
      <c r="AN1" s="25"/>
      <c r="AO1" s="25"/>
      <c r="AP1" s="183"/>
      <c r="AQ1" s="25"/>
      <c r="AR1" s="25"/>
      <c r="AS1" s="25"/>
      <c r="AT1" s="25"/>
      <c r="AU1" s="183"/>
      <c r="AV1" s="183"/>
      <c r="AW1" s="183"/>
      <c r="AX1" s="25"/>
      <c r="AY1" s="32"/>
      <c r="AZ1" s="22"/>
      <c r="BA1" s="25"/>
      <c r="BB1" s="25"/>
      <c r="BC1" s="25"/>
      <c r="BD1" s="25"/>
      <c r="BE1" s="25"/>
      <c r="BF1" s="32"/>
      <c r="BI1" s="183"/>
      <c r="BJ1" s="25"/>
      <c r="BK1" s="25"/>
      <c r="BL1" s="25"/>
      <c r="BM1" s="25"/>
      <c r="BN1" s="25"/>
      <c r="BO1" s="183"/>
      <c r="BP1" s="25"/>
      <c r="BQ1" s="25"/>
      <c r="BR1" s="25"/>
      <c r="BS1" s="43"/>
    </row>
    <row r="2" spans="1:71">
      <c r="A2" s="83"/>
      <c r="B2" s="27"/>
      <c r="C2" s="27"/>
      <c r="D2" s="27"/>
      <c r="E2" s="28"/>
      <c r="F2" s="28"/>
      <c r="G2" s="28"/>
      <c r="H2" s="28"/>
      <c r="I2" s="28"/>
      <c r="J2" s="458"/>
      <c r="K2" s="459"/>
      <c r="L2" s="459"/>
      <c r="M2" s="460"/>
      <c r="N2" s="460"/>
      <c r="O2" s="461"/>
      <c r="P2" s="184"/>
      <c r="Q2" s="184"/>
      <c r="R2" s="184"/>
      <c r="S2" s="32"/>
      <c r="T2" s="32"/>
      <c r="U2" s="184"/>
      <c r="V2" s="463"/>
      <c r="W2" s="463"/>
      <c r="X2" s="463"/>
      <c r="Y2" s="463"/>
      <c r="Z2" s="463"/>
      <c r="AA2" s="463"/>
      <c r="AB2" s="184"/>
      <c r="AC2" s="299"/>
      <c r="AD2" s="80"/>
      <c r="AE2" s="299"/>
      <c r="AF2" s="299"/>
      <c r="AG2" s="30"/>
      <c r="AH2" s="554"/>
      <c r="AI2" s="184"/>
      <c r="AJ2" s="184"/>
      <c r="AK2" s="32"/>
      <c r="AL2" s="32"/>
      <c r="AM2" s="32"/>
      <c r="AN2" s="32"/>
      <c r="AO2" s="32"/>
      <c r="AP2" s="184"/>
      <c r="AQ2" s="32"/>
      <c r="AR2" s="32"/>
      <c r="AS2" s="32"/>
      <c r="AT2" s="32"/>
      <c r="AU2" s="184"/>
      <c r="AV2" s="184"/>
      <c r="AW2" s="184"/>
      <c r="AX2" s="32"/>
      <c r="AY2" s="32"/>
      <c r="AZ2" s="22"/>
      <c r="BA2" s="32"/>
      <c r="BB2" s="32"/>
      <c r="BC2" s="32"/>
      <c r="BD2" s="32"/>
      <c r="BE2" s="32"/>
      <c r="BF2" s="32"/>
      <c r="BI2" s="184"/>
      <c r="BJ2" s="32"/>
      <c r="BK2" s="32"/>
      <c r="BL2" s="32"/>
      <c r="BM2" s="32"/>
      <c r="BN2" s="32"/>
      <c r="BO2" s="184"/>
      <c r="BP2" s="32"/>
      <c r="BQ2" s="32"/>
      <c r="BR2" s="32"/>
      <c r="BS2" s="184"/>
    </row>
    <row r="3" spans="1:71">
      <c r="A3" s="83"/>
      <c r="B3" s="27"/>
      <c r="C3" s="27"/>
      <c r="D3" s="27"/>
      <c r="E3" s="31"/>
      <c r="F3" s="31"/>
      <c r="G3" s="31"/>
      <c r="H3" s="31"/>
      <c r="I3" s="31"/>
      <c r="J3" s="462"/>
      <c r="K3" s="463"/>
      <c r="L3" s="463"/>
      <c r="M3" s="184"/>
      <c r="N3" s="184"/>
      <c r="O3" s="461"/>
      <c r="P3" s="184"/>
      <c r="Q3" s="184"/>
      <c r="R3" s="184"/>
      <c r="S3" s="32"/>
      <c r="T3" s="32"/>
      <c r="U3" s="184"/>
      <c r="V3" s="463"/>
      <c r="W3" s="463"/>
      <c r="X3" s="463"/>
      <c r="Y3" s="463"/>
      <c r="Z3" s="463"/>
      <c r="AA3" s="463"/>
      <c r="AB3" s="184"/>
      <c r="AC3" s="299"/>
      <c r="AD3" s="80"/>
      <c r="AE3" s="299"/>
      <c r="AF3" s="299"/>
      <c r="AG3" s="30"/>
      <c r="AH3" s="554"/>
      <c r="AI3" s="184"/>
      <c r="AJ3" s="184"/>
      <c r="AK3" s="32"/>
      <c r="AL3" s="32"/>
      <c r="AM3" s="32"/>
      <c r="AN3" s="32"/>
      <c r="AO3" s="32"/>
      <c r="AP3" s="184"/>
      <c r="AQ3" s="32"/>
      <c r="AR3" s="32"/>
      <c r="AS3" s="32"/>
      <c r="AT3" s="32"/>
      <c r="AU3" s="184"/>
      <c r="AV3" s="184"/>
      <c r="AW3" s="184"/>
      <c r="AX3" s="32"/>
      <c r="AY3" s="32"/>
      <c r="AZ3" s="22"/>
      <c r="BA3" s="32"/>
      <c r="BB3" s="32"/>
      <c r="BC3" s="32"/>
      <c r="BD3" s="32"/>
      <c r="BE3" s="32"/>
      <c r="BF3" s="32"/>
      <c r="BI3" s="184"/>
      <c r="BJ3" s="32"/>
      <c r="BK3" s="32"/>
      <c r="BL3" s="32"/>
      <c r="BM3" s="32"/>
      <c r="BN3" s="32"/>
      <c r="BO3" s="184"/>
      <c r="BP3" s="32"/>
      <c r="BQ3" s="32"/>
      <c r="BR3" s="32"/>
      <c r="BS3" s="43"/>
    </row>
    <row r="4" spans="1:71">
      <c r="A4" s="83"/>
      <c r="B4" s="27"/>
      <c r="C4" s="27"/>
      <c r="D4" s="27"/>
      <c r="E4" s="31"/>
      <c r="F4" s="31"/>
      <c r="G4" s="31"/>
      <c r="H4" s="31"/>
      <c r="I4" s="31"/>
      <c r="J4" s="462"/>
      <c r="K4" s="463"/>
      <c r="L4" s="463"/>
      <c r="M4" s="184"/>
      <c r="N4" s="184"/>
      <c r="O4" s="461"/>
      <c r="P4" s="184"/>
      <c r="Q4" s="184"/>
      <c r="R4" s="184"/>
      <c r="S4" s="32"/>
      <c r="T4" s="32"/>
      <c r="U4" s="184"/>
      <c r="V4" s="463"/>
      <c r="W4" s="463"/>
      <c r="X4" s="463"/>
      <c r="Y4" s="463"/>
      <c r="Z4" s="463"/>
      <c r="AA4" s="463"/>
      <c r="AB4" s="184"/>
      <c r="AC4" s="299"/>
      <c r="AD4" s="80"/>
      <c r="AE4" s="299"/>
      <c r="AF4" s="299"/>
      <c r="AG4" s="30"/>
      <c r="AH4" s="554"/>
      <c r="AI4" s="184"/>
      <c r="AJ4" s="184"/>
      <c r="AK4" s="32"/>
      <c r="AL4" s="32"/>
      <c r="AM4" s="32"/>
      <c r="AN4" s="32"/>
      <c r="AO4" s="32"/>
      <c r="AP4" s="184"/>
      <c r="AQ4" s="32"/>
      <c r="AR4" s="32"/>
      <c r="AS4" s="32"/>
      <c r="AT4" s="32"/>
      <c r="AU4" s="184"/>
      <c r="AV4" s="184"/>
      <c r="AW4" s="184"/>
      <c r="AX4" s="32"/>
      <c r="AY4" s="32"/>
      <c r="AZ4" s="22"/>
      <c r="BA4" s="32"/>
      <c r="BB4" s="32"/>
      <c r="BC4" s="32"/>
      <c r="BD4" s="32"/>
      <c r="BE4" s="32"/>
      <c r="BF4" s="32"/>
      <c r="BI4" s="184"/>
      <c r="BJ4" s="32"/>
      <c r="BK4" s="32"/>
      <c r="BL4" s="32"/>
      <c r="BM4" s="32"/>
      <c r="BN4" s="32"/>
      <c r="BO4" s="184"/>
      <c r="BP4" s="32"/>
      <c r="BQ4" s="32"/>
      <c r="BR4" s="32"/>
      <c r="BS4" s="43"/>
    </row>
    <row r="5" spans="1:71">
      <c r="A5" s="83"/>
      <c r="B5" s="27"/>
      <c r="C5" s="27"/>
      <c r="D5" s="27"/>
      <c r="E5" s="31"/>
      <c r="F5" s="31"/>
      <c r="G5" s="31"/>
      <c r="H5" s="31"/>
      <c r="I5" s="31"/>
      <c r="J5" s="462"/>
      <c r="K5" s="463"/>
      <c r="L5" s="463"/>
      <c r="M5" s="184"/>
      <c r="N5" s="184"/>
      <c r="O5" s="461"/>
      <c r="P5" s="184"/>
      <c r="Q5" s="184"/>
      <c r="R5" s="184"/>
      <c r="S5" s="32"/>
      <c r="T5" s="32"/>
      <c r="U5" s="184"/>
      <c r="V5" s="463"/>
      <c r="W5" s="463"/>
      <c r="X5" s="463"/>
      <c r="Y5" s="463"/>
      <c r="Z5" s="463"/>
      <c r="AA5" s="463"/>
      <c r="AB5" s="184"/>
      <c r="AC5" s="299"/>
      <c r="AD5" s="80"/>
      <c r="AE5" s="299"/>
      <c r="AF5" s="299"/>
      <c r="AG5" s="30"/>
      <c r="AH5" s="554"/>
      <c r="AI5" s="184"/>
      <c r="AJ5" s="184"/>
      <c r="AK5" s="32"/>
      <c r="AL5" s="32"/>
      <c r="AM5" s="32"/>
      <c r="AN5" s="32"/>
      <c r="AO5" s="32"/>
      <c r="AP5" s="184"/>
      <c r="AQ5" s="32"/>
      <c r="AR5" s="32"/>
      <c r="AS5" s="32"/>
      <c r="AT5" s="32"/>
      <c r="AU5" s="184"/>
      <c r="AV5" s="184"/>
      <c r="AW5" s="184"/>
      <c r="AX5" s="32"/>
      <c r="AY5" s="32"/>
      <c r="AZ5" s="22"/>
      <c r="BA5" s="32"/>
      <c r="BB5" s="32"/>
      <c r="BC5" s="32"/>
      <c r="BD5" s="32"/>
      <c r="BE5" s="32"/>
      <c r="BF5" s="32"/>
      <c r="BI5" s="184"/>
      <c r="BJ5" s="32"/>
      <c r="BK5" s="32"/>
      <c r="BL5" s="32"/>
      <c r="BM5" s="32"/>
      <c r="BN5" s="32"/>
      <c r="BO5" s="184"/>
      <c r="BP5" s="32"/>
      <c r="BQ5" s="32"/>
      <c r="BR5" s="32"/>
      <c r="BS5" s="43"/>
    </row>
    <row r="6" spans="1:71">
      <c r="A6" s="83"/>
      <c r="B6" s="27"/>
      <c r="C6" s="27"/>
      <c r="D6" s="27"/>
      <c r="E6" s="31"/>
      <c r="F6" s="31"/>
      <c r="G6" s="31"/>
      <c r="H6" s="31"/>
      <c r="I6" s="31"/>
      <c r="J6" s="462"/>
      <c r="K6" s="463"/>
      <c r="L6" s="463"/>
      <c r="M6" s="184"/>
      <c r="N6" s="184"/>
      <c r="O6" s="461"/>
      <c r="P6" s="184"/>
      <c r="Q6" s="184"/>
      <c r="R6" s="184"/>
      <c r="S6" s="32"/>
      <c r="T6" s="32"/>
      <c r="U6" s="184"/>
      <c r="V6" s="463"/>
      <c r="W6" s="463"/>
      <c r="X6" s="463"/>
      <c r="Y6" s="463"/>
      <c r="Z6" s="463"/>
      <c r="AA6" s="463"/>
      <c r="AB6" s="184"/>
      <c r="AC6" s="299"/>
      <c r="AD6" s="80"/>
      <c r="AE6" s="299"/>
      <c r="AF6" s="299"/>
      <c r="AG6" s="30"/>
      <c r="AH6" s="554"/>
      <c r="AI6" s="184"/>
      <c r="AJ6" s="184"/>
      <c r="AK6" s="32"/>
      <c r="AL6" s="32"/>
      <c r="AM6" s="32"/>
      <c r="AN6" s="32"/>
      <c r="AO6" s="32"/>
      <c r="AP6" s="184"/>
      <c r="AQ6" s="32"/>
      <c r="AR6" s="32"/>
      <c r="AS6" s="32"/>
      <c r="AT6" s="32"/>
      <c r="AU6" s="184"/>
      <c r="AV6" s="184"/>
      <c r="AW6" s="184"/>
      <c r="AX6" s="32"/>
      <c r="AY6" s="32"/>
      <c r="AZ6" s="22"/>
      <c r="BA6" s="32"/>
      <c r="BB6" s="32"/>
      <c r="BC6" s="32"/>
      <c r="BD6" s="32"/>
      <c r="BE6" s="32"/>
      <c r="BF6" s="32"/>
      <c r="BI6" s="184"/>
      <c r="BJ6" s="32"/>
      <c r="BK6" s="32"/>
      <c r="BL6" s="32"/>
      <c r="BM6" s="32"/>
      <c r="BN6" s="32"/>
      <c r="BO6" s="184"/>
      <c r="BP6" s="32"/>
      <c r="BQ6" s="32"/>
      <c r="BR6" s="32"/>
      <c r="BS6" s="43"/>
    </row>
    <row r="7" spans="1:71">
      <c r="A7" s="83"/>
      <c r="B7" s="27"/>
      <c r="C7" s="27"/>
      <c r="D7" s="27"/>
      <c r="E7" s="31"/>
      <c r="F7" s="31"/>
      <c r="G7" s="31"/>
      <c r="H7" s="31"/>
      <c r="I7" s="31"/>
      <c r="J7" s="462"/>
      <c r="K7" s="463"/>
      <c r="L7" s="463"/>
      <c r="M7" s="184"/>
      <c r="N7" s="184"/>
      <c r="O7" s="461"/>
      <c r="P7" s="184"/>
      <c r="Q7" s="184"/>
      <c r="R7" s="184"/>
      <c r="S7" s="32"/>
      <c r="T7" s="32"/>
      <c r="U7" s="184"/>
      <c r="V7" s="463"/>
      <c r="W7" s="463"/>
      <c r="X7" s="463"/>
      <c r="Y7" s="463"/>
      <c r="Z7" s="463"/>
      <c r="AA7" s="463"/>
      <c r="AB7" s="184"/>
      <c r="AC7" s="299"/>
      <c r="AD7" s="80"/>
      <c r="AE7" s="299"/>
      <c r="AF7" s="299"/>
      <c r="AG7" s="30"/>
      <c r="AH7" s="554"/>
      <c r="AI7" s="184"/>
      <c r="AJ7" s="184"/>
      <c r="AK7" s="32"/>
      <c r="AL7" s="32"/>
      <c r="AM7" s="32"/>
      <c r="AN7" s="32"/>
      <c r="AO7" s="32"/>
      <c r="AP7" s="184"/>
      <c r="AQ7" s="32"/>
      <c r="AR7" s="32"/>
      <c r="AS7" s="32"/>
      <c r="AT7" s="32"/>
      <c r="AU7" s="184"/>
      <c r="AV7" s="184"/>
      <c r="AW7" s="184"/>
      <c r="AX7" s="32"/>
      <c r="AY7" s="32"/>
      <c r="AZ7" s="22"/>
      <c r="BA7" s="32"/>
      <c r="BB7" s="32"/>
      <c r="BC7" s="32"/>
      <c r="BD7" s="32"/>
      <c r="BE7" s="32"/>
      <c r="BF7" s="32"/>
      <c r="BI7" s="184"/>
      <c r="BJ7" s="32"/>
      <c r="BK7" s="32"/>
      <c r="BL7" s="32"/>
      <c r="BM7" s="32"/>
      <c r="BN7" s="32"/>
      <c r="BO7" s="184"/>
      <c r="BP7" s="32"/>
      <c r="BQ7" s="32"/>
      <c r="BR7" s="32"/>
      <c r="BS7" s="43"/>
    </row>
    <row r="8" spans="1:71" ht="15">
      <c r="A8" s="83"/>
      <c r="B8" s="33"/>
      <c r="C8" s="33"/>
      <c r="D8" s="33"/>
      <c r="E8" s="34"/>
      <c r="F8" s="34"/>
      <c r="G8" s="34"/>
      <c r="H8" s="34"/>
      <c r="I8" s="34"/>
      <c r="J8" s="464"/>
      <c r="K8" s="465"/>
      <c r="L8" s="465"/>
      <c r="M8" s="466"/>
      <c r="N8" s="466"/>
      <c r="O8" s="461"/>
      <c r="P8" s="184"/>
      <c r="Q8" s="184"/>
      <c r="R8" s="184"/>
      <c r="S8" s="32"/>
      <c r="T8" s="32"/>
      <c r="U8" s="184"/>
      <c r="V8" s="463"/>
      <c r="W8" s="463"/>
      <c r="X8" s="463"/>
      <c r="Y8" s="463"/>
      <c r="Z8" s="463"/>
      <c r="AA8" s="463"/>
      <c r="AB8" s="184"/>
      <c r="AC8" s="299"/>
      <c r="AD8" s="80"/>
      <c r="AE8" s="299"/>
      <c r="AF8" s="299"/>
      <c r="AG8" s="30"/>
      <c r="AH8" s="554"/>
      <c r="AI8" s="184"/>
      <c r="AJ8" s="184"/>
      <c r="AK8" s="32"/>
      <c r="AL8" s="32"/>
      <c r="AM8" s="32"/>
      <c r="AN8" s="32"/>
      <c r="AO8" s="32"/>
      <c r="AP8" s="184"/>
      <c r="AQ8" s="32"/>
      <c r="AR8" s="32"/>
      <c r="AS8" s="32"/>
      <c r="AT8" s="32"/>
      <c r="AU8" s="184"/>
      <c r="AV8" s="184"/>
      <c r="AW8" s="184"/>
      <c r="AX8" s="32"/>
      <c r="AY8" s="32"/>
      <c r="AZ8" s="22"/>
      <c r="BA8" s="32"/>
      <c r="BB8" s="32"/>
      <c r="BC8" s="32"/>
      <c r="BD8" s="32"/>
      <c r="BE8" s="32"/>
      <c r="BF8" s="32"/>
      <c r="BI8" s="184"/>
      <c r="BJ8" s="32"/>
      <c r="BK8" s="32"/>
      <c r="BL8" s="32"/>
      <c r="BM8" s="32"/>
      <c r="BN8" s="32"/>
      <c r="BO8" s="184"/>
      <c r="BP8" s="32"/>
      <c r="BQ8" s="32"/>
      <c r="BR8" s="32"/>
      <c r="BS8" s="43"/>
    </row>
    <row r="9" spans="1:71" ht="15">
      <c r="A9" s="83"/>
      <c r="B9" s="27"/>
      <c r="C9" s="27"/>
      <c r="D9" s="27"/>
      <c r="E9" s="34"/>
      <c r="F9" s="34"/>
      <c r="G9" s="34"/>
      <c r="H9" s="34"/>
      <c r="I9" s="34"/>
      <c r="J9" s="464"/>
      <c r="K9" s="467"/>
      <c r="L9" s="467"/>
      <c r="M9" s="35"/>
      <c r="N9" s="35"/>
      <c r="O9" s="461"/>
      <c r="P9" s="184"/>
      <c r="Q9" s="184"/>
      <c r="R9" s="184"/>
      <c r="S9" s="32"/>
      <c r="T9" s="32"/>
      <c r="U9" s="184"/>
      <c r="V9" s="463"/>
      <c r="W9" s="463"/>
      <c r="X9" s="463"/>
      <c r="Y9" s="463"/>
      <c r="Z9" s="463"/>
      <c r="AA9" s="463"/>
      <c r="AB9" s="184"/>
      <c r="AC9" s="299"/>
      <c r="AD9" s="80"/>
      <c r="AE9" s="299"/>
      <c r="AF9" s="299"/>
      <c r="AG9" s="30"/>
      <c r="AH9" s="554"/>
      <c r="AI9" s="184"/>
      <c r="AJ9" s="184"/>
      <c r="AK9" s="32"/>
      <c r="AL9" s="32"/>
      <c r="AM9" s="32"/>
      <c r="AN9" s="32"/>
      <c r="AO9" s="32"/>
      <c r="AP9" s="184"/>
      <c r="AQ9" s="32"/>
      <c r="AR9" s="32"/>
      <c r="AS9" s="32"/>
      <c r="AT9" s="32"/>
      <c r="AU9" s="184"/>
      <c r="AV9" s="184"/>
      <c r="AW9" s="184"/>
      <c r="AX9" s="32"/>
      <c r="AY9" s="32"/>
      <c r="AZ9" s="22"/>
      <c r="BA9" s="32"/>
      <c r="BB9" s="32"/>
      <c r="BC9" s="32"/>
      <c r="BD9" s="32"/>
      <c r="BE9" s="32"/>
      <c r="BF9" s="32"/>
      <c r="BI9" s="184"/>
      <c r="BJ9" s="32"/>
      <c r="BK9" s="32"/>
      <c r="BL9" s="32"/>
      <c r="BM9" s="32"/>
      <c r="BN9" s="32"/>
      <c r="BO9" s="184"/>
      <c r="BP9" s="32"/>
      <c r="BQ9" s="32"/>
      <c r="BR9" s="32"/>
      <c r="BS9" s="43"/>
    </row>
    <row r="10" spans="1:71" ht="15">
      <c r="A10" s="83"/>
      <c r="B10" s="27"/>
      <c r="C10" s="27"/>
      <c r="D10" s="27"/>
      <c r="E10" s="34"/>
      <c r="F10" s="34"/>
      <c r="G10" s="34"/>
      <c r="H10" s="34"/>
      <c r="I10" s="34"/>
      <c r="J10" s="464"/>
      <c r="K10" s="467"/>
      <c r="L10" s="467"/>
      <c r="M10" s="35"/>
      <c r="N10" s="35"/>
      <c r="O10" s="461"/>
      <c r="P10" s="184"/>
      <c r="Q10" s="184"/>
      <c r="R10" s="184"/>
      <c r="S10" s="32"/>
      <c r="T10" s="32"/>
      <c r="U10" s="184"/>
      <c r="V10" s="463"/>
      <c r="W10" s="463"/>
      <c r="X10" s="463"/>
      <c r="Y10" s="463"/>
      <c r="Z10" s="463"/>
      <c r="AA10" s="463"/>
      <c r="AB10" s="184"/>
      <c r="AC10" s="299"/>
      <c r="AD10" s="80"/>
      <c r="AE10" s="299"/>
      <c r="AF10" s="299"/>
      <c r="AG10" s="30"/>
      <c r="AH10" s="554"/>
      <c r="AI10" s="184"/>
      <c r="AJ10" s="184"/>
      <c r="AK10" s="32"/>
      <c r="AL10" s="32"/>
      <c r="AM10" s="32"/>
      <c r="AN10" s="32"/>
      <c r="AO10" s="32"/>
      <c r="AP10" s="184"/>
      <c r="AQ10" s="32"/>
      <c r="AR10" s="32"/>
      <c r="AS10" s="32"/>
      <c r="AT10" s="32"/>
      <c r="AU10" s="184"/>
      <c r="AV10" s="184"/>
      <c r="AW10" s="184"/>
      <c r="AX10" s="32"/>
      <c r="AY10" s="32"/>
      <c r="AZ10" s="22"/>
      <c r="BA10" s="32"/>
      <c r="BB10" s="32"/>
      <c r="BC10" s="32"/>
      <c r="BD10" s="32"/>
      <c r="BE10" s="32"/>
      <c r="BF10" s="32"/>
      <c r="BI10" s="184"/>
      <c r="BJ10" s="32"/>
      <c r="BK10" s="32"/>
      <c r="BL10" s="32"/>
      <c r="BM10" s="32"/>
      <c r="BN10" s="32"/>
      <c r="BO10" s="184"/>
      <c r="BP10" s="32"/>
      <c r="BQ10" s="32"/>
      <c r="BR10" s="32"/>
      <c r="BS10" s="43"/>
    </row>
    <row r="11" spans="1:71" ht="15">
      <c r="A11" s="83"/>
      <c r="B11" s="27"/>
      <c r="C11" s="27"/>
      <c r="D11" s="27"/>
      <c r="E11" s="34"/>
      <c r="F11" s="34"/>
      <c r="G11" s="34"/>
      <c r="H11" s="34"/>
      <c r="I11" s="34"/>
      <c r="J11" s="464"/>
      <c r="K11" s="467"/>
      <c r="L11" s="467"/>
      <c r="M11" s="35"/>
      <c r="N11" s="35"/>
      <c r="O11" s="461"/>
      <c r="P11" s="184"/>
      <c r="Q11" s="184"/>
      <c r="R11" s="184"/>
      <c r="S11" s="32"/>
      <c r="T11" s="32"/>
      <c r="U11" s="184"/>
      <c r="V11" s="463"/>
      <c r="W11" s="463"/>
      <c r="X11" s="463"/>
      <c r="Y11" s="463"/>
      <c r="Z11" s="463"/>
      <c r="AA11" s="463"/>
      <c r="AB11" s="184"/>
      <c r="AC11" s="299"/>
      <c r="AD11" s="80"/>
      <c r="AE11" s="299"/>
      <c r="AF11" s="299"/>
      <c r="AG11" s="30"/>
      <c r="AH11" s="554"/>
      <c r="AI11" s="184"/>
      <c r="AJ11" s="184"/>
      <c r="AK11" s="32"/>
      <c r="AL11" s="32"/>
      <c r="AM11" s="32"/>
      <c r="AN11" s="32"/>
      <c r="AO11" s="32"/>
      <c r="AP11" s="184"/>
      <c r="AQ11" s="32"/>
      <c r="AR11" s="32"/>
      <c r="AS11" s="32"/>
      <c r="AT11" s="32"/>
      <c r="AU11" s="184"/>
      <c r="AV11" s="184"/>
      <c r="AW11" s="184"/>
      <c r="AX11" s="32"/>
      <c r="AY11" s="32"/>
      <c r="AZ11" s="22"/>
      <c r="BA11" s="32"/>
      <c r="BB11" s="32"/>
      <c r="BC11" s="32"/>
      <c r="BD11" s="32"/>
      <c r="BE11" s="32"/>
      <c r="BF11" s="32"/>
      <c r="BI11" s="184"/>
      <c r="BJ11" s="32"/>
      <c r="BK11" s="32"/>
      <c r="BL11" s="32"/>
      <c r="BM11" s="32"/>
      <c r="BN11" s="32"/>
      <c r="BO11" s="184"/>
      <c r="BP11" s="32"/>
      <c r="BQ11" s="32"/>
      <c r="BR11" s="32"/>
      <c r="BS11" s="43"/>
    </row>
    <row r="12" spans="1:71" ht="15">
      <c r="A12" s="83"/>
      <c r="B12" s="27"/>
      <c r="C12" s="27"/>
      <c r="D12" s="27"/>
      <c r="E12" s="34"/>
      <c r="F12" s="34"/>
      <c r="G12" s="34"/>
      <c r="H12" s="34"/>
      <c r="I12" s="34"/>
      <c r="J12" s="464"/>
      <c r="K12" s="467"/>
      <c r="L12" s="467"/>
      <c r="M12" s="35"/>
      <c r="N12" s="35"/>
      <c r="O12" s="461"/>
      <c r="P12" s="184"/>
      <c r="Q12" s="184"/>
      <c r="R12" s="184"/>
      <c r="S12" s="32"/>
      <c r="T12" s="32"/>
      <c r="U12" s="184"/>
      <c r="V12" s="463"/>
      <c r="W12" s="463"/>
      <c r="X12" s="463"/>
      <c r="Y12" s="463"/>
      <c r="Z12" s="463"/>
      <c r="AA12" s="463"/>
      <c r="AB12" s="184"/>
      <c r="AC12" s="299"/>
      <c r="AD12" s="80"/>
      <c r="AE12" s="299"/>
      <c r="AF12" s="299"/>
      <c r="AG12" s="30"/>
      <c r="AH12" s="554"/>
      <c r="AI12" s="184"/>
      <c r="AJ12" s="184"/>
      <c r="AK12" s="32"/>
      <c r="AL12" s="32"/>
      <c r="AM12" s="32"/>
      <c r="AN12" s="32"/>
      <c r="AO12" s="32"/>
      <c r="AP12" s="184"/>
      <c r="AQ12" s="32"/>
      <c r="AR12" s="32"/>
      <c r="AS12" s="32"/>
      <c r="AT12" s="32"/>
      <c r="AU12" s="184"/>
      <c r="AV12" s="184"/>
      <c r="AW12" s="184"/>
      <c r="AX12" s="32"/>
      <c r="AY12" s="32"/>
      <c r="AZ12" s="22"/>
      <c r="BA12" s="32"/>
      <c r="BB12" s="32"/>
      <c r="BC12" s="32"/>
      <c r="BD12" s="32"/>
      <c r="BE12" s="32"/>
      <c r="BF12" s="32"/>
      <c r="BI12" s="184"/>
      <c r="BJ12" s="32"/>
      <c r="BK12" s="32"/>
      <c r="BL12" s="32"/>
      <c r="BM12" s="32"/>
      <c r="BN12" s="32"/>
      <c r="BO12" s="184"/>
      <c r="BP12" s="32"/>
      <c r="BQ12" s="32"/>
      <c r="BR12" s="32"/>
      <c r="BS12" s="43"/>
    </row>
    <row r="13" spans="1:71" ht="15">
      <c r="A13" s="83"/>
      <c r="B13" s="27"/>
      <c r="C13" s="27"/>
      <c r="D13" s="27"/>
      <c r="E13" s="34"/>
      <c r="F13" s="34"/>
      <c r="G13" s="34"/>
      <c r="H13" s="34"/>
      <c r="I13" s="34"/>
      <c r="J13" s="464"/>
      <c r="K13" s="467"/>
      <c r="L13" s="467"/>
      <c r="M13" s="35"/>
      <c r="N13" s="35"/>
      <c r="O13" s="461"/>
      <c r="P13" s="184"/>
      <c r="Q13" s="184"/>
      <c r="R13" s="184"/>
      <c r="S13" s="32"/>
      <c r="T13" s="32"/>
      <c r="U13" s="184"/>
      <c r="V13" s="463"/>
      <c r="W13" s="463"/>
      <c r="X13" s="463"/>
      <c r="Y13" s="463"/>
      <c r="Z13" s="463"/>
      <c r="AA13" s="463"/>
      <c r="AB13" s="184"/>
      <c r="AC13" s="299"/>
      <c r="AD13" s="80"/>
      <c r="AE13" s="299"/>
      <c r="AF13" s="299"/>
      <c r="AG13" s="30"/>
      <c r="AH13" s="554"/>
      <c r="AI13" s="184"/>
      <c r="AJ13" s="184"/>
      <c r="AK13" s="32"/>
      <c r="AL13" s="32"/>
      <c r="AM13" s="32"/>
      <c r="AN13" s="32"/>
      <c r="AO13" s="32"/>
      <c r="AP13" s="184"/>
      <c r="AQ13" s="32"/>
      <c r="AR13" s="32"/>
      <c r="AS13" s="32"/>
      <c r="AT13" s="32"/>
      <c r="AU13" s="184"/>
      <c r="AV13" s="184"/>
      <c r="AW13" s="184"/>
      <c r="AX13" s="32"/>
      <c r="AY13" s="32"/>
      <c r="AZ13" s="22"/>
      <c r="BA13" s="32"/>
      <c r="BB13" s="32"/>
      <c r="BC13" s="32"/>
      <c r="BD13" s="32"/>
      <c r="BE13" s="32"/>
      <c r="BF13" s="32"/>
      <c r="BI13" s="184"/>
      <c r="BJ13" s="32"/>
      <c r="BK13" s="32"/>
      <c r="BL13" s="32"/>
      <c r="BM13" s="32"/>
      <c r="BN13" s="32"/>
      <c r="BO13" s="184"/>
      <c r="BP13" s="32"/>
      <c r="BQ13" s="32"/>
      <c r="BR13" s="32"/>
      <c r="BS13" s="43"/>
    </row>
    <row r="14" spans="1:71" ht="15">
      <c r="A14" s="83"/>
      <c r="B14" s="27"/>
      <c r="C14" s="27"/>
      <c r="D14" s="27"/>
      <c r="E14" s="34"/>
      <c r="F14" s="34"/>
      <c r="G14" s="34"/>
      <c r="H14" s="34"/>
      <c r="I14" s="34"/>
      <c r="J14" s="464"/>
      <c r="K14" s="467"/>
      <c r="L14" s="467"/>
      <c r="M14" s="35"/>
      <c r="N14" s="35"/>
      <c r="O14" s="461"/>
      <c r="P14" s="184"/>
      <c r="Q14" s="184"/>
      <c r="R14" s="184"/>
      <c r="S14" s="32"/>
      <c r="T14" s="32"/>
      <c r="U14" s="184"/>
      <c r="V14" s="463"/>
      <c r="W14" s="463"/>
      <c r="X14" s="463"/>
      <c r="Y14" s="463"/>
      <c r="Z14" s="463"/>
      <c r="AA14" s="463"/>
      <c r="AB14" s="184"/>
      <c r="AC14" s="299"/>
      <c r="AD14" s="80"/>
      <c r="AE14" s="299"/>
      <c r="AF14" s="299"/>
      <c r="AG14" s="30"/>
      <c r="AH14" s="554"/>
      <c r="AI14" s="184"/>
      <c r="AJ14" s="184"/>
      <c r="AK14" s="32"/>
      <c r="AL14" s="32"/>
      <c r="AM14" s="32"/>
      <c r="AN14" s="32"/>
      <c r="AO14" s="32"/>
      <c r="AP14" s="184"/>
      <c r="AQ14" s="32"/>
      <c r="AR14" s="32"/>
      <c r="AS14" s="32"/>
      <c r="AT14" s="32"/>
      <c r="AU14" s="184"/>
      <c r="AV14" s="184"/>
      <c r="AW14" s="184"/>
      <c r="AX14" s="32"/>
      <c r="AY14" s="32"/>
      <c r="AZ14" s="22"/>
      <c r="BA14" s="32"/>
      <c r="BB14" s="32"/>
      <c r="BC14" s="32"/>
      <c r="BD14" s="32"/>
      <c r="BE14" s="32"/>
      <c r="BF14" s="32"/>
      <c r="BI14" s="184"/>
      <c r="BJ14" s="32"/>
      <c r="BK14" s="32"/>
      <c r="BL14" s="32"/>
      <c r="BM14" s="32"/>
      <c r="BN14" s="32"/>
      <c r="BO14" s="184"/>
      <c r="BP14" s="32"/>
      <c r="BQ14" s="32"/>
      <c r="BR14" s="32"/>
      <c r="BS14" s="43"/>
    </row>
    <row r="15" spans="1:71" ht="15">
      <c r="A15" s="83"/>
      <c r="B15" s="27"/>
      <c r="C15" s="27"/>
      <c r="D15" s="27"/>
      <c r="E15" s="34"/>
      <c r="F15" s="34"/>
      <c r="G15" s="34"/>
      <c r="H15" s="34"/>
      <c r="I15" s="34"/>
      <c r="J15" s="464"/>
      <c r="K15" s="467"/>
      <c r="L15" s="467"/>
      <c r="M15" s="35"/>
      <c r="N15" s="35"/>
      <c r="O15" s="461"/>
      <c r="P15" s="184"/>
      <c r="Q15" s="184"/>
      <c r="R15" s="184"/>
      <c r="S15" s="32"/>
      <c r="T15" s="32"/>
      <c r="U15" s="184"/>
      <c r="V15" s="463"/>
      <c r="W15" s="463"/>
      <c r="X15" s="463"/>
      <c r="Y15" s="463"/>
      <c r="Z15" s="463"/>
      <c r="AA15" s="463"/>
      <c r="AB15" s="184"/>
      <c r="AC15" s="299"/>
      <c r="AD15" s="80"/>
      <c r="AE15" s="299"/>
      <c r="AF15" s="299"/>
      <c r="AG15" s="30"/>
      <c r="AH15" s="554"/>
      <c r="AI15" s="184"/>
      <c r="AJ15" s="184"/>
      <c r="AK15" s="32"/>
      <c r="AL15" s="32"/>
      <c r="AM15" s="32"/>
      <c r="AN15" s="32"/>
      <c r="AO15" s="32"/>
      <c r="AP15" s="184"/>
      <c r="AQ15" s="32"/>
      <c r="AR15" s="32"/>
      <c r="AS15" s="32"/>
      <c r="AT15" s="32"/>
      <c r="AU15" s="184"/>
      <c r="AV15" s="184"/>
      <c r="AW15" s="184"/>
      <c r="AX15" s="32"/>
      <c r="AY15" s="32"/>
      <c r="AZ15" s="22"/>
      <c r="BA15" s="32"/>
      <c r="BB15" s="32"/>
      <c r="BC15" s="32"/>
      <c r="BD15" s="32"/>
      <c r="BE15" s="32"/>
      <c r="BF15" s="32"/>
      <c r="BI15" s="184"/>
      <c r="BJ15" s="32"/>
      <c r="BK15" s="32"/>
      <c r="BL15" s="32"/>
      <c r="BM15" s="32"/>
      <c r="BN15" s="32"/>
      <c r="BO15" s="184"/>
      <c r="BP15" s="32"/>
      <c r="BQ15" s="32"/>
      <c r="BR15" s="32"/>
      <c r="BS15" s="43"/>
    </row>
    <row r="16" spans="1:71" ht="15">
      <c r="A16" s="83"/>
      <c r="B16" s="27"/>
      <c r="C16" s="27"/>
      <c r="D16" s="27"/>
      <c r="E16" s="34"/>
      <c r="F16" s="34"/>
      <c r="G16" s="34"/>
      <c r="H16" s="34"/>
      <c r="I16" s="34"/>
      <c r="J16" s="464"/>
      <c r="K16" s="467"/>
      <c r="L16" s="467"/>
      <c r="M16" s="35"/>
      <c r="N16" s="35"/>
      <c r="O16" s="461"/>
      <c r="P16" s="184"/>
      <c r="Q16" s="184"/>
      <c r="R16" s="184"/>
      <c r="S16" s="32"/>
      <c r="T16" s="32"/>
      <c r="U16" s="184"/>
      <c r="V16" s="463"/>
      <c r="W16" s="463"/>
      <c r="X16" s="463"/>
      <c r="Y16" s="463"/>
      <c r="Z16" s="463"/>
      <c r="AA16" s="463"/>
      <c r="AB16" s="184"/>
      <c r="AC16" s="299"/>
      <c r="AD16" s="80"/>
      <c r="AE16" s="299"/>
      <c r="AF16" s="299"/>
      <c r="AG16" s="30"/>
      <c r="AH16" s="554"/>
      <c r="AI16" s="184"/>
      <c r="AJ16" s="184"/>
      <c r="AK16" s="32"/>
      <c r="AL16" s="32"/>
      <c r="AM16" s="32"/>
      <c r="AN16" s="32"/>
      <c r="AO16" s="32"/>
      <c r="AP16" s="184"/>
      <c r="AQ16" s="32"/>
      <c r="AR16" s="32"/>
      <c r="AS16" s="32"/>
      <c r="AT16" s="32"/>
      <c r="AU16" s="184"/>
      <c r="AV16" s="184"/>
      <c r="AW16" s="184"/>
      <c r="AX16" s="32"/>
      <c r="AY16" s="32"/>
      <c r="AZ16" s="22"/>
      <c r="BA16" s="32"/>
      <c r="BB16" s="32"/>
      <c r="BC16" s="32"/>
      <c r="BD16" s="32"/>
      <c r="BE16" s="32"/>
      <c r="BF16" s="32"/>
      <c r="BI16" s="184"/>
      <c r="BJ16" s="32"/>
      <c r="BK16" s="32"/>
      <c r="BL16" s="32"/>
      <c r="BM16" s="32"/>
      <c r="BN16" s="32"/>
      <c r="BO16" s="184"/>
      <c r="BP16" s="32"/>
      <c r="BQ16" s="32"/>
      <c r="BR16" s="32"/>
      <c r="BS16" s="43"/>
    </row>
    <row r="17" spans="1:71" ht="15">
      <c r="A17" s="83"/>
      <c r="B17" s="27"/>
      <c r="C17" s="27"/>
      <c r="D17" s="27"/>
      <c r="E17" s="34"/>
      <c r="F17" s="34"/>
      <c r="G17" s="34"/>
      <c r="H17" s="34"/>
      <c r="I17" s="34"/>
      <c r="J17" s="464"/>
      <c r="K17" s="467"/>
      <c r="L17" s="467"/>
      <c r="M17" s="35"/>
      <c r="N17" s="35"/>
      <c r="O17" s="461"/>
      <c r="P17" s="184"/>
      <c r="Q17" s="184"/>
      <c r="R17" s="184"/>
      <c r="S17" s="32"/>
      <c r="T17" s="32"/>
      <c r="U17" s="184"/>
      <c r="V17" s="463"/>
      <c r="W17" s="463"/>
      <c r="X17" s="463"/>
      <c r="Y17" s="463"/>
      <c r="Z17" s="463"/>
      <c r="AA17" s="463"/>
      <c r="AB17" s="184"/>
      <c r="AC17" s="299"/>
      <c r="AD17" s="80"/>
      <c r="AE17" s="299"/>
      <c r="AF17" s="299"/>
      <c r="AG17" s="30"/>
      <c r="AH17" s="554"/>
      <c r="AI17" s="184"/>
      <c r="AJ17" s="184"/>
      <c r="AK17" s="32"/>
      <c r="AL17" s="32"/>
      <c r="AM17" s="32"/>
      <c r="AN17" s="32"/>
      <c r="AO17" s="32"/>
      <c r="AP17" s="184"/>
      <c r="AQ17" s="32"/>
      <c r="AR17" s="32"/>
      <c r="AS17" s="32"/>
      <c r="AT17" s="32"/>
      <c r="AU17" s="184"/>
      <c r="AV17" s="184"/>
      <c r="AW17" s="184"/>
      <c r="AX17" s="32"/>
      <c r="AY17" s="32"/>
      <c r="AZ17" s="22"/>
      <c r="BA17" s="32"/>
      <c r="BB17" s="32"/>
      <c r="BC17" s="32"/>
      <c r="BD17" s="32"/>
      <c r="BE17" s="32"/>
      <c r="BF17" s="32"/>
      <c r="BI17" s="184"/>
      <c r="BJ17" s="32"/>
      <c r="BK17" s="32"/>
      <c r="BL17" s="32"/>
      <c r="BM17" s="32"/>
      <c r="BN17" s="32"/>
      <c r="BO17" s="184"/>
      <c r="BP17" s="32"/>
      <c r="BQ17" s="32"/>
      <c r="BR17" s="32"/>
      <c r="BS17" s="43"/>
    </row>
    <row r="18" spans="1:71" ht="15">
      <c r="A18" s="83"/>
      <c r="B18" s="27"/>
      <c r="C18" s="27"/>
      <c r="D18" s="27"/>
      <c r="E18" s="34"/>
      <c r="F18" s="34"/>
      <c r="G18" s="34"/>
      <c r="H18" s="34"/>
      <c r="I18" s="34"/>
      <c r="J18" s="464"/>
      <c r="K18" s="467"/>
      <c r="L18" s="467"/>
      <c r="M18" s="35"/>
      <c r="N18" s="35"/>
      <c r="O18" s="461"/>
      <c r="P18" s="184"/>
      <c r="Q18" s="184"/>
      <c r="R18" s="184"/>
      <c r="S18" s="32"/>
      <c r="T18" s="32"/>
      <c r="U18" s="184"/>
      <c r="V18" s="463"/>
      <c r="W18" s="463"/>
      <c r="X18" s="463"/>
      <c r="Y18" s="463"/>
      <c r="Z18" s="463"/>
      <c r="AA18" s="463"/>
      <c r="AB18" s="184"/>
      <c r="AC18" s="299"/>
      <c r="AD18" s="80"/>
      <c r="AE18" s="299"/>
      <c r="AF18" s="299"/>
      <c r="AG18" s="30"/>
      <c r="AH18" s="554"/>
      <c r="AI18" s="184"/>
      <c r="AJ18" s="184"/>
      <c r="AK18" s="32"/>
      <c r="AL18" s="32"/>
      <c r="AM18" s="32"/>
      <c r="AN18" s="32"/>
      <c r="AO18" s="32"/>
      <c r="AP18" s="184"/>
      <c r="AQ18" s="32"/>
      <c r="AR18" s="32"/>
      <c r="AS18" s="32"/>
      <c r="AT18" s="32"/>
      <c r="AU18" s="184"/>
      <c r="AV18" s="184"/>
      <c r="AW18" s="184"/>
      <c r="AX18" s="32"/>
      <c r="AY18" s="32"/>
      <c r="AZ18" s="22"/>
      <c r="BA18" s="32"/>
      <c r="BB18" s="32"/>
      <c r="BC18" s="32"/>
      <c r="BD18" s="32"/>
      <c r="BE18" s="32"/>
      <c r="BF18" s="32"/>
      <c r="BI18" s="184"/>
      <c r="BJ18" s="32"/>
      <c r="BK18" s="32"/>
      <c r="BL18" s="32"/>
      <c r="BM18" s="32"/>
      <c r="BN18" s="32"/>
      <c r="BO18" s="184"/>
      <c r="BP18" s="32"/>
      <c r="BQ18" s="32"/>
      <c r="BR18" s="32"/>
      <c r="BS18" s="43"/>
    </row>
    <row r="19" spans="1:71" ht="15">
      <c r="A19" s="83"/>
      <c r="B19" s="27"/>
      <c r="C19" s="27"/>
      <c r="D19" s="27"/>
      <c r="E19" s="34"/>
      <c r="F19" s="34"/>
      <c r="G19" s="34"/>
      <c r="H19" s="34"/>
      <c r="I19" s="34"/>
      <c r="J19" s="464"/>
      <c r="K19" s="467"/>
      <c r="L19" s="467"/>
      <c r="M19" s="35"/>
      <c r="N19" s="35"/>
      <c r="O19" s="461"/>
      <c r="P19" s="184"/>
      <c r="Q19" s="184"/>
      <c r="R19" s="184"/>
      <c r="S19" s="32"/>
      <c r="T19" s="32"/>
      <c r="U19" s="184"/>
      <c r="V19" s="463"/>
      <c r="W19" s="463"/>
      <c r="X19" s="463"/>
      <c r="Y19" s="463"/>
      <c r="Z19" s="463"/>
      <c r="AA19" s="463"/>
      <c r="AB19" s="184"/>
      <c r="AC19" s="299"/>
      <c r="AD19" s="80"/>
      <c r="AE19" s="299"/>
      <c r="AF19" s="299"/>
      <c r="AG19" s="30"/>
      <c r="AH19" s="554"/>
      <c r="AI19" s="184"/>
      <c r="AJ19" s="184"/>
      <c r="AK19" s="32"/>
      <c r="AL19" s="32"/>
      <c r="AM19" s="32"/>
      <c r="AN19" s="32"/>
      <c r="AO19" s="32"/>
      <c r="AP19" s="184"/>
      <c r="AQ19" s="32"/>
      <c r="AR19" s="32"/>
      <c r="AS19" s="32"/>
      <c r="AT19" s="32"/>
      <c r="AU19" s="184"/>
      <c r="AV19" s="184"/>
      <c r="AW19" s="184"/>
      <c r="AX19" s="32"/>
      <c r="AY19" s="32"/>
      <c r="AZ19" s="22"/>
      <c r="BA19" s="32"/>
      <c r="BB19" s="32"/>
      <c r="BC19" s="32"/>
      <c r="BD19" s="32"/>
      <c r="BE19" s="32"/>
      <c r="BF19" s="32"/>
      <c r="BI19" s="184"/>
      <c r="BJ19" s="32"/>
      <c r="BK19" s="32"/>
      <c r="BL19" s="32"/>
      <c r="BM19" s="32"/>
      <c r="BN19" s="32"/>
      <c r="BO19" s="184"/>
      <c r="BP19" s="32"/>
      <c r="BQ19" s="32"/>
      <c r="BR19" s="32"/>
      <c r="BS19" s="43"/>
    </row>
    <row r="20" spans="1:71" ht="15">
      <c r="A20" s="83"/>
      <c r="B20" s="27"/>
      <c r="C20" s="27"/>
      <c r="D20" s="27"/>
      <c r="E20" s="34"/>
      <c r="F20" s="34"/>
      <c r="G20" s="34"/>
      <c r="H20" s="34"/>
      <c r="I20" s="34"/>
      <c r="J20" s="464"/>
      <c r="K20" s="467"/>
      <c r="L20" s="467"/>
      <c r="M20" s="35"/>
      <c r="N20" s="35"/>
      <c r="O20" s="461"/>
      <c r="P20" s="184"/>
      <c r="Q20" s="184"/>
      <c r="R20" s="184"/>
      <c r="S20" s="32"/>
      <c r="T20" s="32"/>
      <c r="U20" s="184"/>
      <c r="V20" s="463"/>
      <c r="W20" s="463"/>
      <c r="X20" s="463"/>
      <c r="Y20" s="463"/>
      <c r="Z20" s="463"/>
      <c r="AA20" s="463"/>
      <c r="AB20" s="184"/>
      <c r="AC20" s="299"/>
      <c r="AD20" s="80"/>
      <c r="AE20" s="299"/>
      <c r="AF20" s="299"/>
      <c r="AG20" s="30"/>
      <c r="AH20" s="554"/>
      <c r="AI20" s="184"/>
      <c r="AJ20" s="184"/>
      <c r="AK20" s="32"/>
      <c r="AL20" s="32"/>
      <c r="AM20" s="32"/>
      <c r="AN20" s="32"/>
      <c r="AO20" s="32"/>
      <c r="AP20" s="184"/>
      <c r="AQ20" s="32"/>
      <c r="AR20" s="32"/>
      <c r="AS20" s="32"/>
      <c r="AT20" s="32"/>
      <c r="AU20" s="184"/>
      <c r="AV20" s="184"/>
      <c r="AW20" s="184"/>
      <c r="AX20" s="32"/>
      <c r="AY20" s="32"/>
      <c r="AZ20" s="22"/>
      <c r="BA20" s="32"/>
      <c r="BB20" s="32"/>
      <c r="BC20" s="32"/>
      <c r="BD20" s="32"/>
      <c r="BE20" s="32"/>
      <c r="BF20" s="32"/>
      <c r="BI20" s="184"/>
      <c r="BJ20" s="32"/>
      <c r="BK20" s="32"/>
      <c r="BL20" s="32"/>
      <c r="BM20" s="32"/>
      <c r="BN20" s="32"/>
      <c r="BO20" s="184"/>
      <c r="BP20" s="32"/>
      <c r="BQ20" s="32"/>
      <c r="BR20" s="32"/>
      <c r="BS20" s="43"/>
    </row>
    <row r="21" spans="1:71" ht="15">
      <c r="A21" s="83"/>
      <c r="B21" s="27"/>
      <c r="C21" s="27"/>
      <c r="D21" s="27"/>
      <c r="E21" s="34"/>
      <c r="F21" s="34"/>
      <c r="G21" s="34"/>
      <c r="H21" s="34"/>
      <c r="I21" s="34"/>
      <c r="J21" s="464"/>
      <c r="K21" s="467"/>
      <c r="L21" s="467"/>
      <c r="M21" s="35"/>
      <c r="N21" s="35"/>
      <c r="O21" s="461"/>
      <c r="P21" s="184"/>
      <c r="Q21" s="184"/>
      <c r="R21" s="184"/>
      <c r="S21" s="32"/>
      <c r="T21" s="32"/>
      <c r="U21" s="184"/>
      <c r="V21" s="463"/>
      <c r="W21" s="463"/>
      <c r="X21" s="463"/>
      <c r="Y21" s="463"/>
      <c r="Z21" s="463"/>
      <c r="AA21" s="463"/>
      <c r="AB21" s="184"/>
      <c r="AC21" s="299"/>
      <c r="AD21" s="80"/>
      <c r="AE21" s="299"/>
      <c r="AF21" s="299"/>
      <c r="AG21" s="30"/>
      <c r="AH21" s="554"/>
      <c r="AI21" s="184"/>
      <c r="AJ21" s="184"/>
      <c r="AK21" s="32"/>
      <c r="AL21" s="32"/>
      <c r="AM21" s="32"/>
      <c r="AN21" s="32"/>
      <c r="AO21" s="32"/>
      <c r="AP21" s="184"/>
      <c r="AQ21" s="32"/>
      <c r="AR21" s="32"/>
      <c r="AS21" s="32"/>
      <c r="AT21" s="32"/>
      <c r="AU21" s="184"/>
      <c r="AV21" s="184"/>
      <c r="AW21" s="184"/>
      <c r="AX21" s="32"/>
      <c r="AY21" s="32"/>
      <c r="AZ21" s="22"/>
      <c r="BA21" s="32"/>
      <c r="BB21" s="32"/>
      <c r="BC21" s="32"/>
      <c r="BD21" s="32"/>
      <c r="BE21" s="32"/>
      <c r="BF21" s="32"/>
      <c r="BI21" s="184"/>
      <c r="BJ21" s="32"/>
      <c r="BK21" s="32"/>
      <c r="BL21" s="32"/>
      <c r="BM21" s="32"/>
      <c r="BN21" s="32"/>
      <c r="BO21" s="184"/>
      <c r="BP21" s="32"/>
      <c r="BQ21" s="32"/>
      <c r="BR21" s="32"/>
      <c r="BS21" s="43"/>
    </row>
    <row r="22" spans="1:71" ht="15">
      <c r="A22" s="83"/>
      <c r="B22" s="27"/>
      <c r="C22" s="27"/>
      <c r="D22" s="27"/>
      <c r="E22" s="34"/>
      <c r="F22" s="34" t="s">
        <v>24</v>
      </c>
      <c r="G22" s="34"/>
      <c r="H22" s="34"/>
      <c r="I22" s="34"/>
      <c r="J22" s="464"/>
      <c r="K22" s="467"/>
      <c r="L22" s="467"/>
      <c r="M22" s="35"/>
      <c r="N22" s="35"/>
      <c r="O22" s="461"/>
      <c r="P22" s="184"/>
      <c r="Q22" s="184"/>
      <c r="R22" s="184"/>
      <c r="S22" s="32"/>
      <c r="T22" s="32"/>
      <c r="U22" s="184"/>
      <c r="V22" s="463"/>
      <c r="W22" s="463"/>
      <c r="X22" s="463"/>
      <c r="Y22" s="463"/>
      <c r="Z22" s="463"/>
      <c r="AA22" s="463"/>
      <c r="AB22" s="184"/>
      <c r="AC22" s="299"/>
      <c r="AD22" s="80"/>
      <c r="AE22" s="299"/>
      <c r="AF22" s="299"/>
      <c r="AG22" s="30"/>
      <c r="AH22" s="554"/>
      <c r="AI22" s="184"/>
      <c r="AJ22" s="184"/>
      <c r="AK22" s="32"/>
      <c r="AL22" s="32"/>
      <c r="AM22" s="32"/>
      <c r="AN22" s="32"/>
      <c r="AO22" s="32"/>
      <c r="AP22" s="184"/>
      <c r="AQ22" s="32"/>
      <c r="AR22" s="32"/>
      <c r="AS22" s="32"/>
      <c r="AT22" s="32"/>
      <c r="AU22" s="184"/>
      <c r="AV22" s="184"/>
      <c r="AW22" s="184"/>
      <c r="AX22" s="32"/>
      <c r="AY22" s="32"/>
      <c r="AZ22" s="22"/>
      <c r="BA22" s="32"/>
      <c r="BB22" s="32"/>
      <c r="BC22" s="32"/>
      <c r="BD22" s="32"/>
      <c r="BE22" s="32"/>
      <c r="BF22" s="32"/>
      <c r="BI22" s="184"/>
      <c r="BJ22" s="32"/>
      <c r="BK22" s="32"/>
      <c r="BL22" s="32"/>
      <c r="BM22" s="32"/>
      <c r="BN22" s="32"/>
      <c r="BO22" s="184"/>
      <c r="BP22" s="32"/>
      <c r="BQ22" s="32"/>
      <c r="BR22" s="32"/>
      <c r="BS22" s="43"/>
    </row>
    <row r="23" spans="1:71" ht="15">
      <c r="A23" s="83"/>
      <c r="B23" s="27"/>
      <c r="C23" s="27"/>
      <c r="D23" s="27"/>
      <c r="E23" s="34"/>
      <c r="F23" s="34"/>
      <c r="G23" s="34"/>
      <c r="H23" s="34"/>
      <c r="I23" s="34"/>
      <c r="J23" s="464"/>
      <c r="K23" s="467"/>
      <c r="L23" s="467"/>
      <c r="M23" s="35"/>
      <c r="N23" s="35"/>
      <c r="O23" s="461"/>
      <c r="P23" s="184"/>
      <c r="Q23" s="184"/>
      <c r="R23" s="184"/>
      <c r="S23" s="32"/>
      <c r="T23" s="32"/>
      <c r="U23" s="184"/>
      <c r="V23" s="463"/>
      <c r="W23" s="463"/>
      <c r="X23" s="463"/>
      <c r="Y23" s="463"/>
      <c r="Z23" s="463"/>
      <c r="AA23" s="463"/>
      <c r="AB23" s="184"/>
      <c r="AC23" s="299"/>
      <c r="AD23" s="80"/>
      <c r="AE23" s="299"/>
      <c r="AF23" s="299"/>
      <c r="AG23" s="30"/>
      <c r="AH23" s="554"/>
      <c r="AI23" s="184"/>
      <c r="AJ23" s="184"/>
      <c r="AK23" s="32" t="s">
        <v>27</v>
      </c>
      <c r="AL23" s="32"/>
      <c r="AM23" s="32"/>
      <c r="AN23" s="32"/>
      <c r="AO23" s="32" t="s">
        <v>27</v>
      </c>
      <c r="AP23" s="184"/>
      <c r="AQ23" s="32"/>
      <c r="AR23" s="32"/>
      <c r="AS23" s="32"/>
      <c r="AT23" s="32"/>
      <c r="AU23" s="184"/>
      <c r="AV23" s="184"/>
      <c r="AW23" s="184"/>
      <c r="AX23" s="32"/>
      <c r="AY23" s="32"/>
      <c r="AZ23" s="22"/>
      <c r="BA23" s="32"/>
      <c r="BB23" s="32"/>
      <c r="BC23" s="32"/>
      <c r="BD23" s="32"/>
      <c r="BE23" s="32"/>
      <c r="BF23" s="32"/>
      <c r="BI23" s="184"/>
      <c r="BJ23" s="32"/>
      <c r="BK23" s="32"/>
      <c r="BL23" s="32"/>
      <c r="BM23" s="32"/>
      <c r="BN23" s="32"/>
      <c r="BO23" s="184"/>
      <c r="BP23" s="32"/>
      <c r="BQ23" s="32"/>
      <c r="BR23" s="32"/>
      <c r="BS23" s="43"/>
    </row>
    <row r="24" spans="1:71" ht="13.5">
      <c r="A24" s="83"/>
      <c r="B24" s="27"/>
      <c r="C24" s="27"/>
      <c r="D24" s="27"/>
      <c r="E24" s="34"/>
      <c r="F24" s="38"/>
      <c r="G24" s="38"/>
      <c r="H24" s="38"/>
      <c r="I24" s="38"/>
      <c r="J24" s="468"/>
      <c r="K24" s="469"/>
      <c r="L24" s="469"/>
      <c r="M24" s="43"/>
      <c r="N24" s="43"/>
      <c r="O24" s="461"/>
      <c r="P24" s="184"/>
      <c r="Q24" s="184"/>
      <c r="R24" s="184"/>
      <c r="S24" s="32"/>
      <c r="T24" s="32"/>
      <c r="U24" s="184"/>
      <c r="V24" s="463"/>
      <c r="W24" s="463"/>
      <c r="X24" s="463"/>
      <c r="Y24" s="463"/>
      <c r="Z24" s="463"/>
      <c r="AA24" s="463"/>
      <c r="AB24" s="184"/>
      <c r="AC24" s="299"/>
      <c r="AD24" s="80"/>
      <c r="AE24" s="299"/>
      <c r="AF24" s="299"/>
      <c r="AG24" s="30"/>
      <c r="AH24" s="554"/>
      <c r="AI24" s="184"/>
      <c r="AJ24" s="184"/>
      <c r="AK24" s="32"/>
      <c r="AL24" s="32"/>
      <c r="AM24" s="32"/>
      <c r="AN24" s="32"/>
      <c r="AO24" s="32"/>
      <c r="AP24" s="184"/>
      <c r="AQ24" s="32"/>
      <c r="AR24" s="32"/>
      <c r="AS24" s="32"/>
      <c r="AT24" s="32"/>
      <c r="AU24" s="184"/>
      <c r="AV24" s="184"/>
      <c r="AW24" s="184"/>
      <c r="AX24" s="32"/>
      <c r="AY24" s="32"/>
      <c r="AZ24" s="22"/>
      <c r="BA24" s="32"/>
      <c r="BB24" s="32"/>
      <c r="BC24" s="32"/>
      <c r="BD24" s="32"/>
      <c r="BE24" s="32"/>
      <c r="BF24" s="32"/>
      <c r="BI24" s="184"/>
      <c r="BJ24" s="32"/>
      <c r="BK24" s="32"/>
      <c r="BL24" s="32"/>
      <c r="BM24" s="32"/>
      <c r="BN24" s="32"/>
      <c r="BO24" s="184"/>
      <c r="BP24" s="32"/>
      <c r="BQ24" s="32"/>
      <c r="BR24" s="32"/>
      <c r="BS24" s="43"/>
    </row>
    <row r="25" spans="1:71" ht="13.5">
      <c r="A25" s="83"/>
      <c r="B25" s="27"/>
      <c r="C25" s="27"/>
      <c r="D25" s="27"/>
      <c r="E25" s="34"/>
      <c r="F25" s="38"/>
      <c r="G25" s="38"/>
      <c r="H25" s="38"/>
      <c r="I25" s="38"/>
      <c r="J25" s="468"/>
      <c r="K25" s="469"/>
      <c r="L25" s="469"/>
      <c r="M25" s="43"/>
      <c r="N25" s="43"/>
      <c r="O25" s="461"/>
      <c r="P25" s="184"/>
      <c r="Q25" s="184"/>
      <c r="R25" s="184"/>
      <c r="S25" s="32"/>
      <c r="T25" s="32"/>
      <c r="U25" s="184"/>
      <c r="V25" s="463"/>
      <c r="W25" s="463"/>
      <c r="X25" s="463"/>
      <c r="Y25" s="463"/>
      <c r="Z25" s="463"/>
      <c r="AA25" s="463"/>
      <c r="AB25" s="184"/>
      <c r="AC25" s="299"/>
      <c r="AD25" s="80"/>
      <c r="AE25" s="299"/>
      <c r="AF25" s="299"/>
      <c r="AG25" s="30"/>
      <c r="AH25" s="554"/>
      <c r="AI25" s="184"/>
      <c r="AJ25" s="184"/>
      <c r="AK25" s="32"/>
      <c r="AL25" s="32"/>
      <c r="AM25" s="32"/>
      <c r="AN25" s="32"/>
      <c r="AO25" s="32"/>
      <c r="AP25" s="184"/>
      <c r="AQ25" s="32"/>
      <c r="AR25" s="32"/>
      <c r="AS25" s="32"/>
      <c r="AT25" s="32"/>
      <c r="AU25" s="184"/>
      <c r="AV25" s="184"/>
      <c r="AW25" s="184"/>
      <c r="AX25" s="32"/>
      <c r="AY25" s="32"/>
      <c r="AZ25" s="22"/>
      <c r="BA25" s="32"/>
      <c r="BB25" s="32"/>
      <c r="BC25" s="32"/>
      <c r="BD25" s="32"/>
      <c r="BE25" s="32"/>
      <c r="BF25" s="32"/>
      <c r="BI25" s="184"/>
      <c r="BJ25" s="32"/>
      <c r="BK25" s="32"/>
      <c r="BL25" s="32"/>
      <c r="BM25" s="32"/>
      <c r="BN25" s="32"/>
      <c r="BO25" s="184"/>
      <c r="BP25" s="32"/>
      <c r="BQ25" s="32"/>
      <c r="BR25" s="32" t="s">
        <v>28</v>
      </c>
      <c r="BS25" s="43"/>
    </row>
    <row r="26" spans="1:71" ht="13.5">
      <c r="A26" s="83"/>
      <c r="B26" s="27"/>
      <c r="C26" s="27"/>
      <c r="D26" s="27"/>
      <c r="E26" s="34"/>
      <c r="F26" s="38"/>
      <c r="G26" s="38"/>
      <c r="H26" s="38"/>
      <c r="I26" s="38"/>
      <c r="J26" s="468"/>
      <c r="K26" s="469"/>
      <c r="L26" s="469"/>
      <c r="M26" s="43"/>
      <c r="N26" s="43"/>
      <c r="O26" s="461"/>
      <c r="P26" s="184"/>
      <c r="Q26" s="184"/>
      <c r="R26" s="184"/>
      <c r="S26" s="32"/>
      <c r="T26" s="32"/>
      <c r="U26" s="184"/>
      <c r="V26" s="463"/>
      <c r="W26" s="463"/>
      <c r="X26" s="463"/>
      <c r="Y26" s="463"/>
      <c r="Z26" s="463"/>
      <c r="AA26" s="463"/>
      <c r="AB26" s="184"/>
      <c r="AC26" s="299"/>
      <c r="AD26" s="80"/>
      <c r="AE26" s="299"/>
      <c r="AF26" s="299"/>
      <c r="AG26" s="30"/>
      <c r="AH26" s="554"/>
      <c r="AI26" s="184"/>
      <c r="AJ26" s="184"/>
      <c r="AK26" s="32"/>
      <c r="AL26" s="32"/>
      <c r="AM26" s="32"/>
      <c r="AN26" s="32"/>
      <c r="AO26" s="32"/>
      <c r="AP26" s="184"/>
      <c r="AQ26" s="32"/>
      <c r="AR26" s="32"/>
      <c r="AS26" s="32"/>
      <c r="AT26" s="32"/>
      <c r="AU26" s="184"/>
      <c r="AV26" s="184"/>
      <c r="AW26" s="184"/>
      <c r="AX26" s="32"/>
      <c r="AY26" s="32"/>
      <c r="AZ26" s="22"/>
      <c r="BA26" s="32"/>
      <c r="BB26" s="32"/>
      <c r="BC26" s="32"/>
      <c r="BD26" s="32"/>
      <c r="BE26" s="32"/>
      <c r="BF26" s="32"/>
      <c r="BI26" s="184"/>
      <c r="BJ26" s="32"/>
      <c r="BK26" s="32"/>
      <c r="BL26" s="32"/>
      <c r="BM26" s="32"/>
      <c r="BN26" s="32"/>
      <c r="BO26" s="184"/>
      <c r="BP26" s="32"/>
      <c r="BQ26" s="32"/>
      <c r="BR26" s="32"/>
      <c r="BS26" s="43"/>
    </row>
    <row r="27" spans="1:71" ht="13.5">
      <c r="A27" s="83"/>
      <c r="B27" s="27"/>
      <c r="C27" s="27"/>
      <c r="D27" s="27"/>
      <c r="E27" s="34"/>
      <c r="F27" s="38"/>
      <c r="G27" s="38"/>
      <c r="H27" s="38"/>
      <c r="I27" s="38"/>
      <c r="J27" s="468"/>
      <c r="K27" s="469"/>
      <c r="L27" s="469"/>
      <c r="M27" s="43"/>
      <c r="N27" s="43"/>
      <c r="O27" s="461"/>
      <c r="P27" s="184"/>
      <c r="Q27" s="184"/>
      <c r="R27" s="184"/>
      <c r="S27" s="32"/>
      <c r="T27" s="32"/>
      <c r="U27" s="184"/>
      <c r="V27" s="463"/>
      <c r="W27" s="463"/>
      <c r="X27" s="463"/>
      <c r="Y27" s="463"/>
      <c r="Z27" s="463"/>
      <c r="AA27" s="463"/>
      <c r="AB27" s="184"/>
      <c r="AC27" s="299"/>
      <c r="AD27" s="80"/>
      <c r="AE27" s="299"/>
      <c r="AF27" s="299"/>
      <c r="AG27" s="30"/>
      <c r="AH27" s="554"/>
      <c r="AI27" s="184"/>
      <c r="AJ27" s="184"/>
      <c r="AK27" s="32"/>
      <c r="AL27" s="32"/>
      <c r="AM27" s="32"/>
      <c r="AN27" s="32"/>
      <c r="AO27" s="32"/>
      <c r="AP27" s="184"/>
      <c r="AQ27" s="32"/>
      <c r="AR27" s="32"/>
      <c r="AS27" s="32"/>
      <c r="AT27" s="32"/>
      <c r="AU27" s="184"/>
      <c r="AV27" s="184"/>
      <c r="AW27" s="184"/>
      <c r="AX27" s="32"/>
      <c r="AY27" s="32"/>
      <c r="AZ27" s="22"/>
      <c r="BA27" s="32"/>
      <c r="BB27" s="32"/>
      <c r="BC27" s="32"/>
      <c r="BD27" s="32"/>
      <c r="BE27" s="32"/>
      <c r="BF27" s="32"/>
      <c r="BI27" s="184"/>
      <c r="BJ27" s="32"/>
      <c r="BK27" s="32"/>
      <c r="BL27" s="32"/>
      <c r="BM27" s="32"/>
      <c r="BN27" s="32"/>
      <c r="BO27" s="184"/>
      <c r="BP27" s="32"/>
      <c r="BQ27" s="32"/>
      <c r="BR27" s="32"/>
      <c r="BS27" s="43"/>
    </row>
    <row r="28" spans="1:71" ht="15">
      <c r="A28" s="83"/>
      <c r="B28" s="27"/>
      <c r="C28" s="27"/>
      <c r="D28" s="27"/>
      <c r="E28" s="34"/>
      <c r="F28" s="38"/>
      <c r="G28" s="38"/>
      <c r="H28" s="38"/>
      <c r="I28" s="38"/>
      <c r="J28" s="468"/>
      <c r="K28" s="469"/>
      <c r="L28" s="469"/>
      <c r="M28" s="43"/>
      <c r="N28" s="43"/>
      <c r="O28" s="461"/>
      <c r="P28" s="184"/>
      <c r="Q28" s="184"/>
      <c r="R28" s="184"/>
      <c r="S28" s="32"/>
      <c r="T28" s="32"/>
      <c r="U28" s="184"/>
      <c r="V28" s="463"/>
      <c r="W28" s="463"/>
      <c r="X28" s="463"/>
      <c r="Y28" s="463"/>
      <c r="Z28" s="463"/>
      <c r="AA28" s="463"/>
      <c r="AB28" s="184"/>
      <c r="AC28" s="299"/>
      <c r="AD28" s="80"/>
      <c r="AE28" s="299"/>
      <c r="AF28" s="299"/>
      <c r="AG28" s="30"/>
      <c r="AH28" s="554"/>
      <c r="AI28" s="184"/>
      <c r="AJ28" s="184"/>
      <c r="AK28" s="78"/>
      <c r="AL28" s="32"/>
      <c r="AM28" s="78"/>
      <c r="AN28" s="78"/>
      <c r="AO28" s="78"/>
      <c r="AP28" s="184"/>
      <c r="AQ28" s="78"/>
      <c r="AR28" s="78"/>
      <c r="AS28" s="78"/>
      <c r="AT28" s="78"/>
      <c r="AU28" s="184"/>
      <c r="AV28" s="184"/>
      <c r="AW28" s="184"/>
      <c r="AX28" s="78"/>
      <c r="AY28" s="78"/>
      <c r="AZ28" s="22"/>
      <c r="BA28" s="78"/>
      <c r="BB28" s="78"/>
      <c r="BC28" s="78"/>
      <c r="BD28" s="78"/>
      <c r="BE28" s="78"/>
      <c r="BF28" s="78"/>
      <c r="BI28" s="184"/>
      <c r="BJ28" s="32"/>
      <c r="BK28" s="78"/>
      <c r="BL28" s="78"/>
      <c r="BM28" s="78"/>
      <c r="BN28" s="78"/>
      <c r="BO28" s="184"/>
      <c r="BP28" s="78"/>
      <c r="BQ28" s="78"/>
      <c r="BR28" s="78"/>
      <c r="BS28" s="43"/>
    </row>
    <row r="29" spans="1:71" ht="13.5">
      <c r="A29" s="83"/>
      <c r="B29" s="27"/>
      <c r="C29" s="27"/>
      <c r="D29" s="27"/>
      <c r="E29" s="34"/>
      <c r="F29" s="38"/>
      <c r="G29" s="38"/>
      <c r="H29" s="38"/>
      <c r="I29" s="38"/>
      <c r="J29" s="468"/>
      <c r="K29" s="469"/>
      <c r="L29" s="469"/>
      <c r="M29" s="43"/>
      <c r="N29" s="43"/>
      <c r="O29" s="461"/>
      <c r="P29" s="184"/>
      <c r="Q29" s="184"/>
      <c r="R29" s="184"/>
      <c r="S29" s="32"/>
      <c r="T29" s="32"/>
      <c r="U29" s="184"/>
      <c r="V29" s="463"/>
      <c r="W29" s="463"/>
      <c r="X29" s="463"/>
      <c r="Y29" s="463"/>
      <c r="Z29" s="463"/>
      <c r="AA29" s="463"/>
      <c r="AB29" s="184"/>
      <c r="AC29" s="299"/>
      <c r="AD29" s="80"/>
      <c r="AE29" s="299"/>
      <c r="AF29" s="299"/>
      <c r="AG29" s="30"/>
      <c r="AH29" s="554"/>
      <c r="AI29" s="184"/>
      <c r="AJ29" s="184"/>
      <c r="AK29" s="32"/>
      <c r="AL29" s="32"/>
      <c r="AM29" s="32"/>
      <c r="AN29" s="32"/>
      <c r="AO29" s="32"/>
      <c r="AP29" s="184"/>
      <c r="AQ29" s="32"/>
      <c r="AR29" s="32"/>
      <c r="AS29" s="32"/>
      <c r="AT29" s="32"/>
      <c r="AU29" s="184"/>
      <c r="AV29" s="184"/>
      <c r="AW29" s="184"/>
      <c r="AX29" s="32"/>
      <c r="AY29" s="32"/>
      <c r="AZ29" s="22"/>
      <c r="BA29" s="32"/>
      <c r="BB29" s="32"/>
      <c r="BC29" s="32"/>
      <c r="BD29" s="32"/>
      <c r="BE29" s="32"/>
      <c r="BF29" s="32"/>
      <c r="BI29" s="184"/>
      <c r="BJ29" s="32"/>
      <c r="BK29" s="32"/>
      <c r="BL29" s="32"/>
      <c r="BM29" s="32"/>
      <c r="BN29" s="32"/>
      <c r="BO29" s="184"/>
      <c r="BP29" s="32"/>
      <c r="BQ29" s="32"/>
      <c r="BR29" s="32"/>
      <c r="BS29" s="43"/>
    </row>
    <row r="30" spans="1:71">
      <c r="A30" s="83"/>
      <c r="B30" s="27"/>
      <c r="C30" s="27"/>
      <c r="D30" s="27"/>
      <c r="E30" s="38"/>
      <c r="F30" s="38"/>
      <c r="G30" s="38"/>
      <c r="H30" s="38"/>
      <c r="I30" s="38"/>
      <c r="J30" s="468"/>
      <c r="K30" s="469"/>
      <c r="L30" s="469"/>
      <c r="M30" s="43"/>
      <c r="N30" s="43"/>
      <c r="O30" s="461"/>
      <c r="P30" s="184"/>
      <c r="Q30" s="184"/>
      <c r="R30" s="184"/>
      <c r="S30" s="32"/>
      <c r="T30" s="32"/>
      <c r="U30" s="184"/>
      <c r="V30" s="463"/>
      <c r="W30" s="463"/>
      <c r="X30" s="463"/>
      <c r="Y30" s="463"/>
      <c r="Z30" s="463"/>
      <c r="AA30" s="463"/>
      <c r="AB30" s="184"/>
      <c r="AC30" s="299"/>
      <c r="AD30" s="80"/>
      <c r="AE30" s="299"/>
      <c r="AF30" s="299"/>
      <c r="AG30" s="30"/>
      <c r="AH30" s="554"/>
      <c r="AI30" s="184"/>
      <c r="AJ30" s="184"/>
      <c r="AK30" s="32"/>
      <c r="AL30" s="32"/>
      <c r="AM30" s="32"/>
      <c r="AN30" s="32"/>
      <c r="AO30" s="32"/>
      <c r="AP30" s="184"/>
      <c r="AQ30" s="32"/>
      <c r="AR30" s="32"/>
      <c r="AS30" s="32"/>
      <c r="AT30" s="32"/>
      <c r="AU30" s="184"/>
      <c r="AV30" s="184"/>
      <c r="AW30" s="184"/>
      <c r="AX30" s="32"/>
      <c r="AY30" s="32"/>
      <c r="AZ30" s="22"/>
      <c r="BA30" s="32"/>
      <c r="BB30" s="32"/>
      <c r="BC30" s="32"/>
      <c r="BD30" s="32"/>
      <c r="BE30" s="32"/>
      <c r="BF30" s="32"/>
      <c r="BI30" s="184"/>
      <c r="BJ30" s="32"/>
      <c r="BK30" s="32"/>
      <c r="BL30" s="32"/>
      <c r="BM30" s="32"/>
      <c r="BN30" s="32"/>
      <c r="BO30" s="184"/>
      <c r="BP30" s="32"/>
      <c r="BQ30" s="32"/>
      <c r="BR30" s="32"/>
      <c r="BS30" s="43"/>
    </row>
    <row r="31" spans="1:71" s="8" customFormat="1">
      <c r="A31" s="433"/>
      <c r="B31" s="39"/>
      <c r="C31" s="39"/>
      <c r="D31" s="39"/>
      <c r="E31" s="38"/>
      <c r="F31" s="38"/>
      <c r="G31" s="38"/>
      <c r="H31" s="38"/>
      <c r="I31" s="38"/>
      <c r="J31" s="470"/>
      <c r="K31" s="471"/>
      <c r="L31" s="471"/>
      <c r="O31" s="472"/>
      <c r="S31" s="40"/>
      <c r="T31" s="40"/>
      <c r="V31" s="511"/>
      <c r="W31" s="511"/>
      <c r="X31" s="511"/>
      <c r="Y31" s="511"/>
      <c r="Z31" s="511"/>
      <c r="AA31" s="511"/>
      <c r="AB31" s="187"/>
      <c r="AC31" s="300"/>
      <c r="AD31" s="528"/>
      <c r="AE31" s="300"/>
      <c r="AF31" s="300"/>
      <c r="AG31" s="41"/>
      <c r="AH31" s="554"/>
      <c r="AI31" s="187"/>
      <c r="AJ31" s="187"/>
      <c r="AK31" s="79">
        <f>COUNTIF(AK$36,"&gt;0")</f>
        <v>1</v>
      </c>
      <c r="AL31" s="79"/>
      <c r="AM31" s="79"/>
      <c r="AN31" s="79"/>
      <c r="AO31" s="79">
        <f>COUNTIF(AO$36,"&gt;0")</f>
        <v>1</v>
      </c>
      <c r="AP31" s="79"/>
      <c r="AQ31" s="79"/>
      <c r="AR31" s="79"/>
      <c r="AS31" s="79"/>
      <c r="AT31" s="79"/>
      <c r="AU31" s="79"/>
      <c r="AV31" s="79"/>
      <c r="AW31" s="79"/>
      <c r="AX31" s="79"/>
      <c r="AY31" s="79"/>
      <c r="AZ31" s="40"/>
      <c r="BA31" s="79"/>
      <c r="BB31" s="79"/>
      <c r="BC31" s="79"/>
      <c r="BD31" s="79"/>
      <c r="BE31" s="79"/>
      <c r="BF31" s="79"/>
      <c r="BI31" s="187"/>
      <c r="BJ31" s="79"/>
      <c r="BK31" s="79"/>
      <c r="BL31" s="79"/>
      <c r="BM31" s="79"/>
      <c r="BN31" s="79"/>
      <c r="BO31" s="79"/>
      <c r="BP31" s="79"/>
      <c r="BQ31" s="79"/>
      <c r="BR31" s="79"/>
    </row>
    <row r="32" spans="1:71">
      <c r="A32" s="83"/>
      <c r="B32" s="42"/>
      <c r="C32" s="42"/>
      <c r="D32" s="42"/>
      <c r="E32" s="38"/>
      <c r="F32" s="38"/>
      <c r="G32" s="38"/>
      <c r="H32" s="38"/>
      <c r="I32" s="38"/>
      <c r="J32" s="468"/>
      <c r="K32" s="469"/>
      <c r="L32" s="469"/>
      <c r="M32" s="43"/>
      <c r="N32" s="43"/>
      <c r="O32" s="473"/>
      <c r="P32" s="43"/>
      <c r="Q32" s="43"/>
      <c r="R32" s="43"/>
      <c r="S32" s="37"/>
      <c r="T32" s="37"/>
      <c r="U32" s="43"/>
      <c r="V32" s="463"/>
      <c r="W32" s="463"/>
      <c r="X32" s="463"/>
      <c r="Y32" s="463"/>
      <c r="Z32" s="463"/>
      <c r="AA32" s="463"/>
      <c r="AB32" s="184"/>
      <c r="AC32" s="529" t="s">
        <v>29</v>
      </c>
      <c r="AF32" s="530"/>
      <c r="AG32" s="30"/>
      <c r="AH32" s="554"/>
      <c r="AI32" s="80" t="s">
        <v>30</v>
      </c>
      <c r="AJ32" s="80"/>
      <c r="AK32" s="37"/>
      <c r="AL32" s="32"/>
      <c r="AM32" s="80"/>
      <c r="AN32" s="80"/>
      <c r="AO32" s="80"/>
      <c r="AP32" s="184"/>
      <c r="AQ32" s="80"/>
      <c r="AR32" s="80"/>
      <c r="AS32" s="80"/>
      <c r="AT32" s="80"/>
      <c r="AU32" s="184"/>
      <c r="AV32" s="184"/>
      <c r="AW32" s="184"/>
      <c r="AX32" s="80"/>
      <c r="AY32" s="80"/>
      <c r="AZ32" s="37"/>
      <c r="BA32" s="80"/>
      <c r="BB32" s="80"/>
      <c r="BC32" s="80"/>
      <c r="BD32" s="80"/>
      <c r="BE32" s="80"/>
      <c r="BF32" s="80"/>
      <c r="BG32" s="43"/>
      <c r="BH32" s="43"/>
      <c r="BI32" s="80"/>
      <c r="BJ32" s="32"/>
      <c r="BK32" s="80"/>
      <c r="BL32" s="80"/>
      <c r="BM32" s="80"/>
      <c r="BN32" s="80"/>
      <c r="BO32" s="184"/>
      <c r="BP32" s="80"/>
      <c r="BQ32" s="80"/>
      <c r="BR32" s="80"/>
      <c r="BS32" s="43"/>
    </row>
    <row r="33" spans="1:71" ht="13.5" customHeight="1">
      <c r="A33" s="83"/>
      <c r="B33" s="42"/>
      <c r="C33" s="42"/>
      <c r="D33" s="42"/>
      <c r="E33" s="38"/>
      <c r="F33" s="38"/>
      <c r="G33" s="1523" t="s">
        <v>31</v>
      </c>
      <c r="H33" s="1524"/>
      <c r="I33" s="434" t="s">
        <v>31</v>
      </c>
      <c r="J33" s="43"/>
      <c r="K33" s="43"/>
      <c r="L33" s="43"/>
      <c r="M33" s="43"/>
      <c r="N33" s="43"/>
      <c r="O33" s="473"/>
      <c r="P33" s="43"/>
      <c r="Q33" s="43"/>
      <c r="R33" s="43"/>
      <c r="S33" s="37"/>
      <c r="T33" s="37"/>
      <c r="U33" s="43"/>
      <c r="V33" s="463"/>
      <c r="W33" s="463"/>
      <c r="X33" s="463"/>
      <c r="Y33" s="463"/>
      <c r="Z33" s="463"/>
      <c r="AA33" s="463"/>
      <c r="AB33" s="184"/>
      <c r="AC33" s="301" t="s">
        <v>32</v>
      </c>
      <c r="AD33" s="531"/>
      <c r="AE33" s="532">
        <f>COUNTIFS(X:X,"vp1a",AF:AF,"green")</f>
        <v>21</v>
      </c>
      <c r="AF33" s="530"/>
      <c r="AG33" s="44"/>
      <c r="AH33" s="555"/>
      <c r="AI33" s="1525" t="s">
        <v>33</v>
      </c>
      <c r="AJ33" s="1525"/>
      <c r="AK33" s="1525"/>
      <c r="AL33" s="1525"/>
      <c r="AM33" s="1525"/>
      <c r="AN33" s="1525"/>
      <c r="AO33" s="1525"/>
      <c r="AP33" s="1525"/>
      <c r="AQ33" s="1525"/>
      <c r="AR33" s="1525"/>
      <c r="AS33" s="1525"/>
      <c r="AT33" s="1525"/>
      <c r="AU33" s="596"/>
      <c r="AV33" s="596"/>
      <c r="AW33" s="596"/>
      <c r="AX33" s="80"/>
      <c r="AY33" s="80"/>
      <c r="AZ33" s="37"/>
      <c r="BA33" s="80"/>
      <c r="BB33" s="80"/>
      <c r="BC33" s="80"/>
      <c r="BD33" s="80"/>
      <c r="BE33" s="80"/>
      <c r="BF33" s="80"/>
      <c r="BG33" s="43"/>
      <c r="BH33" s="43"/>
      <c r="BO33" s="596"/>
      <c r="BP33" s="80"/>
      <c r="BQ33" s="80"/>
      <c r="BR33" s="80"/>
      <c r="BS33" s="43"/>
    </row>
    <row r="34" spans="1:71" ht="13.5">
      <c r="A34" s="83"/>
      <c r="B34" s="42"/>
      <c r="C34" s="42"/>
      <c r="D34" s="42"/>
      <c r="E34" s="31"/>
      <c r="F34" s="34"/>
      <c r="G34" s="435" t="s">
        <v>34</v>
      </c>
      <c r="H34" s="436" t="s">
        <v>35</v>
      </c>
      <c r="I34" s="474" t="s">
        <v>36</v>
      </c>
      <c r="J34" s="475" t="s">
        <v>37</v>
      </c>
      <c r="K34" s="476" t="s">
        <v>38</v>
      </c>
      <c r="L34" s="476"/>
      <c r="M34" s="476" t="s">
        <v>39</v>
      </c>
      <c r="N34" s="477"/>
      <c r="O34" s="473"/>
      <c r="Q34" s="43"/>
      <c r="R34" s="43"/>
      <c r="T34" s="492"/>
      <c r="U34" s="429"/>
      <c r="V34" s="429"/>
      <c r="W34" s="429"/>
      <c r="X34" s="512" t="s">
        <v>29</v>
      </c>
      <c r="Y34" s="512" t="s">
        <v>40</v>
      </c>
      <c r="Z34" s="469"/>
      <c r="AA34" s="469"/>
      <c r="AB34" s="43"/>
      <c r="AC34" s="301" t="s">
        <v>41</v>
      </c>
      <c r="AD34" s="531"/>
      <c r="AE34" s="532">
        <f>COUNTIFS(X:X,"vp1a",AF:AF,"yellow")</f>
        <v>61</v>
      </c>
      <c r="AF34" s="530"/>
      <c r="AG34" s="44"/>
      <c r="AH34" s="555"/>
      <c r="AI34" s="556" t="s">
        <v>42</v>
      </c>
      <c r="AJ34" s="556"/>
      <c r="AK34" s="557">
        <v>41442</v>
      </c>
      <c r="AL34" s="557">
        <v>41449</v>
      </c>
      <c r="AM34" s="557">
        <v>41465</v>
      </c>
      <c r="AN34" s="557">
        <v>41454</v>
      </c>
      <c r="AO34" s="557">
        <v>41451</v>
      </c>
      <c r="AP34" s="557">
        <v>41485</v>
      </c>
      <c r="AQ34" s="557">
        <v>41474</v>
      </c>
      <c r="AR34" s="557">
        <v>41479</v>
      </c>
      <c r="AS34" s="557">
        <v>41480</v>
      </c>
      <c r="AT34" s="557">
        <v>41478</v>
      </c>
      <c r="AU34" s="557">
        <v>41487</v>
      </c>
      <c r="AV34" s="557">
        <v>41494</v>
      </c>
      <c r="AW34" s="557">
        <v>41494</v>
      </c>
      <c r="AX34" s="557"/>
      <c r="AY34" s="598"/>
      <c r="AZ34" s="37"/>
      <c r="BA34" s="557">
        <v>41452</v>
      </c>
      <c r="BB34" s="557"/>
      <c r="BC34" s="557"/>
      <c r="BD34" s="557"/>
      <c r="BE34" s="557"/>
      <c r="BF34" s="598"/>
      <c r="BG34" s="43"/>
      <c r="BH34" s="43"/>
      <c r="BI34" s="557">
        <v>41436</v>
      </c>
      <c r="BJ34" s="557">
        <v>41443</v>
      </c>
      <c r="BK34" s="557">
        <v>41439</v>
      </c>
      <c r="BL34" s="557">
        <v>41447</v>
      </c>
      <c r="BM34" s="557">
        <v>41445</v>
      </c>
      <c r="BN34" s="557">
        <v>41464</v>
      </c>
      <c r="BO34" s="557">
        <v>41494</v>
      </c>
      <c r="BP34" s="557">
        <v>41492</v>
      </c>
      <c r="BQ34" s="557">
        <v>41492</v>
      </c>
      <c r="BR34" s="614"/>
      <c r="BS34" s="43"/>
    </row>
    <row r="35" spans="1:71" ht="13.5">
      <c r="A35" s="83"/>
      <c r="B35" s="42"/>
      <c r="C35" s="42"/>
      <c r="D35" s="42"/>
      <c r="E35" s="31"/>
      <c r="F35" s="34"/>
      <c r="G35" s="1574">
        <f>BR41-I35</f>
        <v>20</v>
      </c>
      <c r="H35" s="1575"/>
      <c r="I35" s="1556">
        <f>COUNT(BA41:BF41)</f>
        <v>1</v>
      </c>
      <c r="J35" s="478"/>
      <c r="K35" s="476"/>
      <c r="L35" s="476"/>
      <c r="M35" s="476"/>
      <c r="N35" s="477"/>
      <c r="O35" s="473"/>
      <c r="Q35" s="43"/>
      <c r="R35" s="43"/>
      <c r="T35" s="492"/>
      <c r="U35" s="429"/>
      <c r="V35" s="429"/>
      <c r="W35" s="429"/>
      <c r="X35" s="512"/>
      <c r="Y35" s="512"/>
      <c r="Z35" s="469"/>
      <c r="AA35" s="469"/>
      <c r="AB35" s="43"/>
      <c r="AC35" s="301" t="s">
        <v>43</v>
      </c>
      <c r="AD35" s="531"/>
      <c r="AE35" s="532">
        <f>COUNTIFS(X:X,"vp1a",AF:AF,"red")</f>
        <v>11</v>
      </c>
      <c r="AF35" s="530"/>
      <c r="AG35" s="44"/>
      <c r="AH35" s="555"/>
      <c r="AI35" s="556" t="s">
        <v>44</v>
      </c>
      <c r="AJ35" s="556"/>
      <c r="AK35" s="557">
        <v>41437</v>
      </c>
      <c r="AL35" s="557">
        <v>41440</v>
      </c>
      <c r="AM35" s="557">
        <v>41440</v>
      </c>
      <c r="AN35" s="557">
        <v>41422</v>
      </c>
      <c r="AO35" s="557">
        <v>41409</v>
      </c>
      <c r="AP35" s="557">
        <v>41442</v>
      </c>
      <c r="AQ35" s="557">
        <v>41442</v>
      </c>
      <c r="AR35" s="557">
        <v>41449</v>
      </c>
      <c r="AS35" s="557">
        <v>41449</v>
      </c>
      <c r="AT35" s="557">
        <v>41449</v>
      </c>
      <c r="AU35" s="557">
        <v>41459</v>
      </c>
      <c r="AV35" s="557">
        <v>41449</v>
      </c>
      <c r="AW35" s="557">
        <v>41442</v>
      </c>
      <c r="AX35" s="557"/>
      <c r="AY35" s="598"/>
      <c r="AZ35" s="37"/>
      <c r="BA35" s="557"/>
      <c r="BB35" s="557"/>
      <c r="BC35" s="557"/>
      <c r="BD35" s="557"/>
      <c r="BE35" s="557"/>
      <c r="BF35" s="598"/>
      <c r="BG35" s="43"/>
      <c r="BH35" s="43"/>
      <c r="BI35" s="557">
        <v>41430</v>
      </c>
      <c r="BJ35" s="557">
        <v>41432</v>
      </c>
      <c r="BK35" s="557">
        <v>41432</v>
      </c>
      <c r="BL35" s="557">
        <v>41432</v>
      </c>
      <c r="BM35" s="557">
        <v>41440</v>
      </c>
      <c r="BN35" s="557">
        <v>41440</v>
      </c>
      <c r="BO35" s="557">
        <v>41440</v>
      </c>
      <c r="BP35" s="557">
        <v>41456</v>
      </c>
      <c r="BQ35" s="557"/>
      <c r="BR35" s="614"/>
      <c r="BS35" s="43"/>
    </row>
    <row r="36" spans="1:71" s="429" customFormat="1" ht="15.75">
      <c r="A36" s="437"/>
      <c r="B36" s="438"/>
      <c r="C36" s="438"/>
      <c r="D36" s="438"/>
      <c r="E36" s="439" t="s">
        <v>45</v>
      </c>
      <c r="F36" s="440"/>
      <c r="G36" s="1576"/>
      <c r="H36" s="1577"/>
      <c r="I36" s="1557"/>
      <c r="J36" s="479"/>
      <c r="K36" s="480"/>
      <c r="L36" s="480"/>
      <c r="M36" s="481"/>
      <c r="N36" s="482"/>
      <c r="S36" s="513"/>
      <c r="T36" s="301" t="s">
        <v>46</v>
      </c>
      <c r="U36" s="514"/>
      <c r="V36" s="515"/>
      <c r="W36" s="515"/>
      <c r="X36" s="516">
        <f>COUNTIFS(K:K,"open",X:X,"vp1a")</f>
        <v>2</v>
      </c>
      <c r="Y36" s="516">
        <f>COUNTIFS(K:K,"open",Y:Y,"vp1b")</f>
        <v>3</v>
      </c>
      <c r="AC36" s="301" t="s">
        <v>47</v>
      </c>
      <c r="AD36" s="513"/>
      <c r="AG36" s="558"/>
      <c r="AI36" s="556" t="s">
        <v>48</v>
      </c>
      <c r="AJ36" s="556"/>
      <c r="AK36" s="557">
        <v>41439</v>
      </c>
      <c r="AL36" s="557">
        <v>41446</v>
      </c>
      <c r="AM36" s="557">
        <v>41446</v>
      </c>
      <c r="AN36" s="557">
        <v>41447</v>
      </c>
      <c r="AO36" s="557">
        <v>41449</v>
      </c>
      <c r="AP36" s="557">
        <v>41450</v>
      </c>
      <c r="AQ36" s="557">
        <v>41451</v>
      </c>
      <c r="AR36" s="557">
        <v>41461</v>
      </c>
      <c r="AS36" s="557">
        <v>41461</v>
      </c>
      <c r="AT36" s="557">
        <v>41465</v>
      </c>
      <c r="AU36" s="557">
        <v>41467</v>
      </c>
      <c r="AV36" s="557">
        <v>41458</v>
      </c>
      <c r="AW36" s="557">
        <v>41451</v>
      </c>
      <c r="AX36" s="557"/>
      <c r="AY36" s="598"/>
      <c r="AZ36" s="513"/>
      <c r="BA36" s="557"/>
      <c r="BB36" s="557"/>
      <c r="BC36" s="557"/>
      <c r="BD36" s="557"/>
      <c r="BE36" s="557"/>
      <c r="BF36" s="598"/>
      <c r="BI36" s="557">
        <v>41435</v>
      </c>
      <c r="BJ36" s="557">
        <v>41436</v>
      </c>
      <c r="BK36" s="557">
        <v>41437</v>
      </c>
      <c r="BL36" s="557">
        <v>41440</v>
      </c>
      <c r="BM36" s="557">
        <v>41443</v>
      </c>
      <c r="BN36" s="557">
        <v>41444</v>
      </c>
      <c r="BO36" s="557">
        <v>41444</v>
      </c>
      <c r="BP36" s="557">
        <v>41465</v>
      </c>
      <c r="BQ36" s="557">
        <v>41470</v>
      </c>
      <c r="BR36" s="615"/>
    </row>
    <row r="37" spans="1:71" ht="15.75" customHeight="1">
      <c r="A37" s="83"/>
      <c r="B37" s="42"/>
      <c r="C37" s="42"/>
      <c r="D37" s="42"/>
      <c r="E37" s="1568" t="s">
        <v>49</v>
      </c>
      <c r="F37" s="441" t="s">
        <v>50</v>
      </c>
      <c r="G37" s="442">
        <f>MAX(BI41:BO41)</f>
        <v>12</v>
      </c>
      <c r="H37" s="443">
        <f>MAX(AK41:AX41)</f>
        <v>20</v>
      </c>
      <c r="I37" s="483">
        <f>MAX(BA41:BE41)</f>
        <v>22</v>
      </c>
      <c r="J37" s="484"/>
      <c r="K37" s="480"/>
      <c r="L37" s="480"/>
      <c r="M37" s="481"/>
      <c r="N37" s="482"/>
      <c r="O37" s="473"/>
      <c r="Q37" s="43"/>
      <c r="R37" s="43"/>
      <c r="T37" s="301" t="s">
        <v>51</v>
      </c>
      <c r="U37" s="517"/>
      <c r="V37" s="517"/>
      <c r="W37" s="517"/>
      <c r="X37" s="516">
        <f>COUNTIFS(K:K,"pending",X:X,"vp1a")</f>
        <v>67</v>
      </c>
      <c r="Y37" s="516">
        <f>COUNTIFS(K:K,"pending",Y:Y,"vp1b")</f>
        <v>17</v>
      </c>
      <c r="Z37" s="469"/>
      <c r="AA37" s="469"/>
      <c r="AB37" s="43"/>
      <c r="AC37" s="301" t="s">
        <v>52</v>
      </c>
      <c r="AD37" s="531"/>
      <c r="AE37" s="533">
        <f>COUNTIFS(M:M,"Des",X:X,"vp1a")</f>
        <v>47</v>
      </c>
      <c r="AF37" s="534"/>
      <c r="AG37" s="558"/>
      <c r="AH37" s="559"/>
      <c r="AI37" s="1545" t="s">
        <v>53</v>
      </c>
      <c r="AJ37" s="560"/>
      <c r="AK37" s="1551">
        <v>71076</v>
      </c>
      <c r="AL37" s="1551">
        <v>71060</v>
      </c>
      <c r="AM37" s="1551">
        <v>71098</v>
      </c>
      <c r="AN37" s="1551">
        <v>71035</v>
      </c>
      <c r="AO37" s="1551">
        <v>71077</v>
      </c>
      <c r="AP37" s="1551">
        <v>71090</v>
      </c>
      <c r="AQ37" s="1551">
        <v>71083</v>
      </c>
      <c r="AR37" s="1551">
        <v>71099</v>
      </c>
      <c r="AS37" s="1551">
        <v>71029</v>
      </c>
      <c r="AT37" s="1551">
        <v>71030</v>
      </c>
      <c r="AU37" s="1558">
        <v>82565</v>
      </c>
      <c r="AV37" s="1558">
        <v>71062</v>
      </c>
      <c r="AW37" s="1558">
        <v>71083</v>
      </c>
      <c r="AX37" s="1558"/>
      <c r="AY37" s="599"/>
      <c r="AZ37" s="37"/>
      <c r="BA37" s="1558">
        <v>82536</v>
      </c>
      <c r="BB37" s="1558"/>
      <c r="BC37" s="1558"/>
      <c r="BD37" s="1558"/>
      <c r="BE37" s="1551"/>
      <c r="BF37" s="599"/>
      <c r="BG37" s="37"/>
      <c r="BH37" s="37"/>
      <c r="BI37" s="1558">
        <v>71067</v>
      </c>
      <c r="BJ37" s="1558">
        <v>71073</v>
      </c>
      <c r="BK37" s="1558">
        <v>71048</v>
      </c>
      <c r="BL37" s="1558">
        <v>71033</v>
      </c>
      <c r="BM37" s="1558">
        <v>71052</v>
      </c>
      <c r="BN37" s="1558">
        <v>71086</v>
      </c>
      <c r="BO37" s="1558">
        <v>71086</v>
      </c>
      <c r="BP37" s="1558">
        <v>82569</v>
      </c>
      <c r="BQ37" s="1558">
        <v>71069</v>
      </c>
      <c r="BR37" s="1571" t="s">
        <v>54</v>
      </c>
      <c r="BS37" s="43"/>
    </row>
    <row r="38" spans="1:71" ht="25.5" customHeight="1">
      <c r="A38" s="83"/>
      <c r="B38" s="42"/>
      <c r="C38" s="42"/>
      <c r="D38" s="42"/>
      <c r="E38" s="1569"/>
      <c r="F38" s="441" t="s">
        <v>55</v>
      </c>
      <c r="G38" s="442">
        <f>MIN(BI41:BO41)</f>
        <v>3</v>
      </c>
      <c r="H38" s="443">
        <f>MIN(AK41:AX41)</f>
        <v>7</v>
      </c>
      <c r="I38" s="483">
        <f>MIN(BA41:BE41)</f>
        <v>22</v>
      </c>
      <c r="J38" s="484"/>
      <c r="K38" s="480"/>
      <c r="L38" s="480"/>
      <c r="M38" s="481"/>
      <c r="N38" s="482"/>
      <c r="O38" s="473"/>
      <c r="Q38" s="43"/>
      <c r="R38" s="43"/>
      <c r="T38" s="301" t="s">
        <v>56</v>
      </c>
      <c r="U38" s="514"/>
      <c r="V38" s="515"/>
      <c r="W38" s="515"/>
      <c r="X38" s="516">
        <f>COUNTIFS(K:K,"closed",X:X,"vp1a")</f>
        <v>16</v>
      </c>
      <c r="Y38" s="516">
        <f>COUNTIFS(K:K,"closed",Y:Y,"vp1b")</f>
        <v>2</v>
      </c>
      <c r="Z38" s="469"/>
      <c r="AA38" s="469"/>
      <c r="AB38" s="43"/>
      <c r="AC38" s="301" t="s">
        <v>57</v>
      </c>
      <c r="AD38" s="531"/>
      <c r="AE38" s="533">
        <f>COUNTIFS(M:M,"man",X:X,"vp1a")</f>
        <v>25</v>
      </c>
      <c r="AF38" s="535"/>
      <c r="AG38" s="558"/>
      <c r="AH38" s="559"/>
      <c r="AI38" s="1546"/>
      <c r="AJ38" s="561"/>
      <c r="AK38" s="1552"/>
      <c r="AL38" s="1552"/>
      <c r="AM38" s="1552"/>
      <c r="AN38" s="1552"/>
      <c r="AO38" s="1552"/>
      <c r="AP38" s="1552"/>
      <c r="AQ38" s="1552"/>
      <c r="AR38" s="1552"/>
      <c r="AS38" s="1552"/>
      <c r="AT38" s="1552"/>
      <c r="AU38" s="1558"/>
      <c r="AV38" s="1558"/>
      <c r="AW38" s="1558"/>
      <c r="AX38" s="1558"/>
      <c r="AY38" s="599"/>
      <c r="AZ38" s="37"/>
      <c r="BA38" s="1558"/>
      <c r="BB38" s="1558"/>
      <c r="BC38" s="1558"/>
      <c r="BD38" s="1558"/>
      <c r="BE38" s="1552"/>
      <c r="BF38" s="599"/>
      <c r="BG38" s="37"/>
      <c r="BH38" s="37"/>
      <c r="BI38" s="1558"/>
      <c r="BJ38" s="1558"/>
      <c r="BK38" s="1558"/>
      <c r="BL38" s="1558"/>
      <c r="BM38" s="1558"/>
      <c r="BN38" s="1558"/>
      <c r="BO38" s="1558"/>
      <c r="BP38" s="1558"/>
      <c r="BQ38" s="1558"/>
      <c r="BR38" s="1572"/>
      <c r="BS38" s="43"/>
    </row>
    <row r="39" spans="1:71" ht="17.25">
      <c r="A39" s="83"/>
      <c r="B39" s="42"/>
      <c r="C39" s="42"/>
      <c r="D39" s="42"/>
      <c r="E39" s="1569"/>
      <c r="F39" s="441" t="s">
        <v>58</v>
      </c>
      <c r="G39" s="442">
        <f>AVERAGE(BI41:BO41)</f>
        <v>9.5714285714285694</v>
      </c>
      <c r="H39" s="443">
        <f>AVERAGE(AK41:AX41)</f>
        <v>14.0769230769231</v>
      </c>
      <c r="I39" s="483">
        <f>AVERAGE(BA41:BE41)</f>
        <v>22</v>
      </c>
      <c r="J39" s="485"/>
      <c r="K39" s="480"/>
      <c r="L39" s="480"/>
      <c r="M39" s="481"/>
      <c r="N39" s="482"/>
      <c r="O39" s="473"/>
      <c r="Q39" s="43"/>
      <c r="R39" s="43"/>
      <c r="T39" s="301" t="s">
        <v>59</v>
      </c>
      <c r="X39" s="516">
        <f>COUNTIFS(K:K,"new",X:X,"vp1a")</f>
        <v>8</v>
      </c>
      <c r="Y39" s="516">
        <f>COUNTIFS(K:K,"new",Y:Y,"vp1b")</f>
        <v>0</v>
      </c>
      <c r="Z39" s="469"/>
      <c r="AA39" s="469"/>
      <c r="AB39" s="43"/>
      <c r="AC39" s="302" t="s">
        <v>60</v>
      </c>
      <c r="AD39" s="302"/>
      <c r="AE39" s="533">
        <f>COUNTIFS(M:M,"Sup Q",X:X,"vp1a")</f>
        <v>20</v>
      </c>
      <c r="AF39" s="530"/>
      <c r="AG39" s="44"/>
      <c r="AH39" s="559"/>
      <c r="AI39" s="1547"/>
      <c r="AJ39" s="562"/>
      <c r="AK39" s="563" t="s">
        <v>61</v>
      </c>
      <c r="AL39" s="563" t="s">
        <v>61</v>
      </c>
      <c r="AM39" s="563" t="s">
        <v>61</v>
      </c>
      <c r="AN39" s="563" t="s">
        <v>61</v>
      </c>
      <c r="AO39" s="563" t="s">
        <v>61</v>
      </c>
      <c r="AP39" s="563" t="s">
        <v>61</v>
      </c>
      <c r="AQ39" s="563" t="s">
        <v>61</v>
      </c>
      <c r="AR39" s="563" t="s">
        <v>61</v>
      </c>
      <c r="AS39" s="563" t="s">
        <v>61</v>
      </c>
      <c r="AT39" s="563" t="s">
        <v>61</v>
      </c>
      <c r="AU39" s="563" t="s">
        <v>61</v>
      </c>
      <c r="AV39" s="563" t="s">
        <v>61</v>
      </c>
      <c r="AW39" s="563" t="s">
        <v>61</v>
      </c>
      <c r="AX39" s="563"/>
      <c r="AY39" s="599"/>
      <c r="AZ39" s="37"/>
      <c r="BA39" s="563" t="s">
        <v>61</v>
      </c>
      <c r="BB39" s="563"/>
      <c r="BC39" s="563"/>
      <c r="BD39" s="563"/>
      <c r="BE39" s="563"/>
      <c r="BF39" s="599"/>
      <c r="BG39" s="37"/>
      <c r="BH39" s="37"/>
      <c r="BI39" s="563" t="s">
        <v>61</v>
      </c>
      <c r="BJ39" s="563" t="s">
        <v>61</v>
      </c>
      <c r="BK39" s="563" t="s">
        <v>61</v>
      </c>
      <c r="BL39" s="563" t="s">
        <v>61</v>
      </c>
      <c r="BM39" s="563" t="s">
        <v>61</v>
      </c>
      <c r="BN39" s="563" t="s">
        <v>61</v>
      </c>
      <c r="BO39" s="563" t="s">
        <v>61</v>
      </c>
      <c r="BP39" s="563" t="s">
        <v>61</v>
      </c>
      <c r="BQ39" s="563" t="s">
        <v>61</v>
      </c>
      <c r="BR39" s="1573"/>
      <c r="BS39" s="43"/>
    </row>
    <row r="40" spans="1:71">
      <c r="A40" s="83"/>
      <c r="B40" s="42"/>
      <c r="C40" s="42"/>
      <c r="D40" s="42"/>
      <c r="E40" s="1569"/>
      <c r="F40" s="441" t="s">
        <v>62</v>
      </c>
      <c r="G40" s="444">
        <v>7</v>
      </c>
      <c r="H40" s="445">
        <v>7</v>
      </c>
      <c r="I40" s="486">
        <v>7</v>
      </c>
      <c r="J40" s="479">
        <v>2</v>
      </c>
      <c r="K40" s="480">
        <v>0.5</v>
      </c>
      <c r="L40" s="480"/>
      <c r="M40" s="480">
        <v>0.15</v>
      </c>
      <c r="N40" s="487"/>
      <c r="O40" s="473"/>
      <c r="Q40" s="43"/>
      <c r="R40" s="43"/>
      <c r="T40" s="518" t="s">
        <v>63</v>
      </c>
      <c r="U40" s="519"/>
      <c r="V40" s="520"/>
      <c r="W40" s="520"/>
      <c r="X40" s="521">
        <f>SUBTOTAL(9,X36:X39)</f>
        <v>93</v>
      </c>
      <c r="Y40" s="521">
        <f>SUM(Y36:Y39)</f>
        <v>22</v>
      </c>
      <c r="Z40" s="469"/>
      <c r="AA40" s="469"/>
      <c r="AB40" s="43"/>
      <c r="AC40" s="301" t="s">
        <v>64</v>
      </c>
      <c r="AD40" s="531"/>
      <c r="AE40" s="533">
        <f>COUNTIFS(M:M,"Man Q",X:X,"vp1a")</f>
        <v>0</v>
      </c>
      <c r="AF40" s="530"/>
      <c r="AG40" s="44"/>
      <c r="AH40" s="559"/>
      <c r="AI40" s="524" t="s">
        <v>65</v>
      </c>
      <c r="AJ40" s="564"/>
      <c r="AK40" s="565">
        <v>71076</v>
      </c>
      <c r="AL40" s="565">
        <f t="shared" ref="AL40:AW40" si="0">AL37</f>
        <v>71060</v>
      </c>
      <c r="AM40" s="565">
        <f t="shared" si="0"/>
        <v>71098</v>
      </c>
      <c r="AN40" s="565">
        <f t="shared" si="0"/>
        <v>71035</v>
      </c>
      <c r="AO40" s="565">
        <f t="shared" si="0"/>
        <v>71077</v>
      </c>
      <c r="AP40" s="565">
        <f t="shared" si="0"/>
        <v>71090</v>
      </c>
      <c r="AQ40" s="565">
        <f t="shared" si="0"/>
        <v>71083</v>
      </c>
      <c r="AR40" s="565">
        <f t="shared" si="0"/>
        <v>71099</v>
      </c>
      <c r="AS40" s="565">
        <f t="shared" si="0"/>
        <v>71029</v>
      </c>
      <c r="AT40" s="565">
        <f t="shared" si="0"/>
        <v>71030</v>
      </c>
      <c r="AU40" s="565">
        <f t="shared" si="0"/>
        <v>82565</v>
      </c>
      <c r="AV40" s="565">
        <f t="shared" si="0"/>
        <v>71062</v>
      </c>
      <c r="AW40" s="565">
        <f t="shared" si="0"/>
        <v>71083</v>
      </c>
      <c r="AX40" s="565"/>
      <c r="AY40" s="600"/>
      <c r="AZ40" s="37"/>
      <c r="BA40" s="565">
        <f>BA37</f>
        <v>82536</v>
      </c>
      <c r="BB40" s="565">
        <f>BB37</f>
        <v>0</v>
      </c>
      <c r="BC40" s="565">
        <f>BC37</f>
        <v>0</v>
      </c>
      <c r="BD40" s="565">
        <f>BD37</f>
        <v>0</v>
      </c>
      <c r="BE40" s="565">
        <f>BE37</f>
        <v>0</v>
      </c>
      <c r="BF40" s="600"/>
      <c r="BG40" s="43"/>
      <c r="BH40" s="43"/>
      <c r="BI40" s="565">
        <f t="shared" ref="BI40:BQ40" si="1">BI37</f>
        <v>71067</v>
      </c>
      <c r="BJ40" s="565">
        <f t="shared" si="1"/>
        <v>71073</v>
      </c>
      <c r="BK40" s="565">
        <f t="shared" si="1"/>
        <v>71048</v>
      </c>
      <c r="BL40" s="565">
        <f t="shared" si="1"/>
        <v>71033</v>
      </c>
      <c r="BM40" s="565">
        <f t="shared" si="1"/>
        <v>71052</v>
      </c>
      <c r="BN40" s="565">
        <f t="shared" si="1"/>
        <v>71086</v>
      </c>
      <c r="BO40" s="565">
        <f t="shared" si="1"/>
        <v>71086</v>
      </c>
      <c r="BP40" s="565">
        <f t="shared" si="1"/>
        <v>82569</v>
      </c>
      <c r="BQ40" s="565">
        <f t="shared" si="1"/>
        <v>71069</v>
      </c>
      <c r="BR40" s="616"/>
      <c r="BS40" s="43"/>
    </row>
    <row r="41" spans="1:71">
      <c r="A41" s="83"/>
      <c r="B41" s="63"/>
      <c r="C41" s="63"/>
      <c r="D41" s="63"/>
      <c r="E41" s="1570"/>
      <c r="F41" s="441" t="s">
        <v>66</v>
      </c>
      <c r="G41" s="446"/>
      <c r="H41" s="447"/>
      <c r="I41" s="488"/>
      <c r="J41" s="489"/>
      <c r="K41" s="490"/>
      <c r="L41" s="490"/>
      <c r="M41" s="491"/>
      <c r="N41" s="492"/>
      <c r="O41" s="473"/>
      <c r="Q41" s="43"/>
      <c r="R41" s="43"/>
      <c r="X41" s="469"/>
      <c r="Y41" s="469"/>
      <c r="Z41" s="469"/>
      <c r="AA41" s="469"/>
      <c r="AB41" s="43"/>
      <c r="AC41" s="536"/>
      <c r="AD41" s="537"/>
      <c r="AE41" s="538"/>
      <c r="AF41" s="530"/>
      <c r="AG41" s="44"/>
      <c r="AH41" s="559"/>
      <c r="AI41" s="566" t="s">
        <v>67</v>
      </c>
      <c r="AJ41" s="566"/>
      <c r="AK41" s="567">
        <v>16</v>
      </c>
      <c r="AL41" s="567">
        <v>17</v>
      </c>
      <c r="AM41" s="567">
        <f t="shared" ref="AM41:AW41" si="2">IF(AM40="","",SUM(AM49:AM131))</f>
        <v>17</v>
      </c>
      <c r="AN41" s="567">
        <f t="shared" si="2"/>
        <v>19</v>
      </c>
      <c r="AO41" s="567">
        <f t="shared" si="2"/>
        <v>20</v>
      </c>
      <c r="AP41" s="567">
        <f t="shared" si="2"/>
        <v>14</v>
      </c>
      <c r="AQ41" s="567">
        <f t="shared" si="2"/>
        <v>19</v>
      </c>
      <c r="AR41" s="567">
        <f t="shared" si="2"/>
        <v>13</v>
      </c>
      <c r="AS41" s="567">
        <f t="shared" si="2"/>
        <v>13</v>
      </c>
      <c r="AT41" s="567">
        <f t="shared" si="2"/>
        <v>13</v>
      </c>
      <c r="AU41" s="567">
        <f t="shared" si="2"/>
        <v>7</v>
      </c>
      <c r="AV41" s="567">
        <f t="shared" si="2"/>
        <v>7</v>
      </c>
      <c r="AW41" s="567">
        <f t="shared" si="2"/>
        <v>8</v>
      </c>
      <c r="AX41" s="567"/>
      <c r="AY41" s="575"/>
      <c r="AZ41" s="37"/>
      <c r="BA41" s="567">
        <f>IF(BA40="","",SUM(BA49:BA131))</f>
        <v>22</v>
      </c>
      <c r="BB41" s="567"/>
      <c r="BC41" s="567"/>
      <c r="BD41" s="567"/>
      <c r="BE41" s="567"/>
      <c r="BF41" s="575"/>
      <c r="BG41" s="43"/>
      <c r="BH41" s="43"/>
      <c r="BI41" s="567">
        <v>9</v>
      </c>
      <c r="BJ41" s="567">
        <v>11</v>
      </c>
      <c r="BK41" s="567">
        <v>12</v>
      </c>
      <c r="BL41" s="567">
        <f t="shared" ref="BL41:BQ41" si="3">IF(BL40="","",SUM(BL49:BL131))</f>
        <v>12</v>
      </c>
      <c r="BM41" s="567">
        <f t="shared" si="3"/>
        <v>8</v>
      </c>
      <c r="BN41" s="567">
        <f t="shared" si="3"/>
        <v>12</v>
      </c>
      <c r="BO41" s="567">
        <f t="shared" si="3"/>
        <v>3</v>
      </c>
      <c r="BP41" s="567">
        <f t="shared" si="3"/>
        <v>8</v>
      </c>
      <c r="BQ41" s="567">
        <f t="shared" si="3"/>
        <v>4</v>
      </c>
      <c r="BR41" s="567">
        <f>COUNT(AK41:BO41)</f>
        <v>21</v>
      </c>
      <c r="BS41" s="43"/>
    </row>
    <row r="42" spans="1:71">
      <c r="A42" s="83"/>
      <c r="B42" s="63"/>
      <c r="C42" s="63"/>
      <c r="D42" s="63"/>
      <c r="E42" s="448"/>
      <c r="F42" s="448"/>
      <c r="G42" s="448"/>
      <c r="H42" s="38"/>
      <c r="I42" s="38"/>
      <c r="J42" s="493"/>
      <c r="K42" s="494"/>
      <c r="L42" s="494"/>
      <c r="M42" s="494"/>
      <c r="N42" s="494"/>
      <c r="O42" s="495"/>
      <c r="P42" s="496"/>
      <c r="Q42" s="496"/>
      <c r="R42" s="496"/>
      <c r="S42" s="522"/>
      <c r="T42" s="522"/>
      <c r="U42" s="522"/>
      <c r="V42" s="522"/>
      <c r="W42" s="522"/>
      <c r="X42" s="522"/>
      <c r="Y42" s="522"/>
      <c r="Z42" s="522"/>
      <c r="AA42" s="522"/>
      <c r="AB42" s="539"/>
      <c r="AC42" s="494"/>
      <c r="AD42" s="496"/>
      <c r="AE42" s="494"/>
      <c r="AF42" s="494"/>
      <c r="AG42" s="568"/>
      <c r="AH42" s="569"/>
      <c r="AI42" s="570" t="s">
        <v>62</v>
      </c>
      <c r="AJ42" s="570"/>
      <c r="AK42" s="571">
        <v>7</v>
      </c>
      <c r="AL42" s="571">
        <v>7</v>
      </c>
      <c r="AM42" s="571">
        <v>7</v>
      </c>
      <c r="AN42" s="571">
        <v>7</v>
      </c>
      <c r="AO42" s="571">
        <v>7</v>
      </c>
      <c r="AP42" s="571">
        <v>7</v>
      </c>
      <c r="AQ42" s="571">
        <v>7</v>
      </c>
      <c r="AR42" s="571">
        <v>7</v>
      </c>
      <c r="AS42" s="571">
        <v>7</v>
      </c>
      <c r="AT42" s="571">
        <v>7</v>
      </c>
      <c r="AU42" s="571">
        <v>7</v>
      </c>
      <c r="AV42" s="571">
        <v>7</v>
      </c>
      <c r="AW42" s="571">
        <v>7</v>
      </c>
      <c r="AX42" s="601">
        <v>7</v>
      </c>
      <c r="AY42" s="601"/>
      <c r="AZ42" s="37"/>
      <c r="BA42" s="601">
        <v>7</v>
      </c>
      <c r="BB42" s="601">
        <v>7</v>
      </c>
      <c r="BC42" s="601">
        <v>7</v>
      </c>
      <c r="BD42" s="601">
        <v>7</v>
      </c>
      <c r="BE42" s="601">
        <v>7</v>
      </c>
      <c r="BF42" s="571"/>
      <c r="BG42" s="43"/>
      <c r="BH42" s="43"/>
      <c r="BI42" s="601">
        <v>7</v>
      </c>
      <c r="BJ42" s="601">
        <v>7</v>
      </c>
      <c r="BK42" s="601">
        <v>7</v>
      </c>
      <c r="BL42" s="601">
        <v>7</v>
      </c>
      <c r="BM42" s="601">
        <v>7</v>
      </c>
      <c r="BN42" s="601">
        <v>7</v>
      </c>
      <c r="BO42" s="601">
        <v>7</v>
      </c>
      <c r="BP42" s="601">
        <v>7</v>
      </c>
      <c r="BQ42" s="601">
        <v>7</v>
      </c>
      <c r="BR42" s="571"/>
      <c r="BS42" s="43"/>
    </row>
    <row r="43" spans="1:71">
      <c r="A43" s="83"/>
      <c r="B43" s="63"/>
      <c r="C43" s="63"/>
      <c r="D43" s="63"/>
      <c r="E43" s="448"/>
      <c r="F43" s="448"/>
      <c r="G43" s="448"/>
      <c r="H43" s="38"/>
      <c r="I43" s="38"/>
      <c r="J43" s="493"/>
      <c r="K43" s="494"/>
      <c r="L43" s="494"/>
      <c r="M43" s="494"/>
      <c r="N43" s="494"/>
      <c r="O43" s="495"/>
      <c r="P43" s="496"/>
      <c r="Q43" s="496"/>
      <c r="R43" s="496"/>
      <c r="S43" s="522"/>
      <c r="T43" s="522"/>
      <c r="U43" s="522"/>
      <c r="V43" s="522"/>
      <c r="W43" s="522"/>
      <c r="X43" s="522"/>
      <c r="Y43" s="522"/>
      <c r="Z43" s="522"/>
      <c r="AA43" s="522"/>
      <c r="AB43" s="539"/>
      <c r="AC43" s="494"/>
      <c r="AD43" s="496"/>
      <c r="AE43" s="494"/>
      <c r="AF43" s="494"/>
      <c r="AG43" s="568"/>
      <c r="AH43" s="569"/>
      <c r="AI43" s="572"/>
      <c r="AJ43" s="572"/>
      <c r="AK43" s="573" t="s">
        <v>28</v>
      </c>
      <c r="AL43" s="574"/>
      <c r="AM43" s="575"/>
      <c r="AN43" s="575"/>
      <c r="AO43" s="575"/>
      <c r="AP43" s="574"/>
      <c r="AQ43" s="575"/>
      <c r="AR43" s="575"/>
      <c r="AS43" s="575"/>
      <c r="AT43" s="575"/>
      <c r="AU43" s="574"/>
      <c r="AV43" s="574"/>
      <c r="AW43" s="574"/>
      <c r="AX43" s="573"/>
      <c r="AY43" s="573"/>
      <c r="AZ43" s="37"/>
      <c r="BA43" s="573"/>
      <c r="BB43" s="573"/>
      <c r="BC43" s="573"/>
      <c r="BD43" s="573"/>
      <c r="BE43" s="573"/>
      <c r="BF43" s="573"/>
      <c r="BG43" s="43"/>
      <c r="BH43" s="43"/>
      <c r="BI43" s="606"/>
      <c r="BJ43" s="574"/>
      <c r="BK43" s="573"/>
      <c r="BL43" s="573"/>
      <c r="BM43" s="573"/>
      <c r="BN43" s="573"/>
      <c r="BO43" s="574"/>
      <c r="BP43" s="573"/>
      <c r="BQ43" s="573"/>
      <c r="BR43" s="573"/>
      <c r="BS43" s="43"/>
    </row>
    <row r="44" spans="1:71">
      <c r="A44" s="83"/>
      <c r="B44" s="63"/>
      <c r="C44" s="63"/>
      <c r="D44" s="63"/>
      <c r="E44" s="448"/>
      <c r="F44" s="448"/>
      <c r="G44" s="448"/>
      <c r="H44" s="38"/>
      <c r="I44" s="38"/>
      <c r="J44" s="493"/>
      <c r="K44" s="494"/>
      <c r="L44" s="494"/>
      <c r="M44" s="494"/>
      <c r="N44" s="494"/>
      <c r="O44" s="495"/>
      <c r="P44" s="496"/>
      <c r="Q44" s="496"/>
      <c r="R44" s="496"/>
      <c r="S44" s="522"/>
      <c r="T44" s="522"/>
      <c r="U44" s="522"/>
      <c r="V44" s="522"/>
      <c r="W44" s="522"/>
      <c r="X44" s="522"/>
      <c r="Y44" s="522"/>
      <c r="Z44" s="522"/>
      <c r="AA44" s="522"/>
      <c r="AB44" s="539"/>
      <c r="AC44" s="494"/>
      <c r="AD44" s="496"/>
      <c r="AE44" s="494"/>
      <c r="AF44" s="494"/>
      <c r="AG44" s="568"/>
      <c r="AH44" s="569"/>
      <c r="AI44" s="572"/>
      <c r="AJ44" s="572"/>
      <c r="AK44" s="576"/>
      <c r="AL44" s="577"/>
      <c r="AM44" s="578"/>
      <c r="AN44" s="578"/>
      <c r="AO44" s="578"/>
      <c r="AP44" s="577"/>
      <c r="AQ44" s="578"/>
      <c r="AR44" s="578"/>
      <c r="AS44" s="578"/>
      <c r="AT44" s="578"/>
      <c r="AU44" s="577"/>
      <c r="AV44" s="577"/>
      <c r="AW44" s="577"/>
      <c r="AX44" s="576"/>
      <c r="AY44" s="576"/>
      <c r="AZ44" s="37"/>
      <c r="BA44" s="576"/>
      <c r="BB44" s="576"/>
      <c r="BC44" s="576"/>
      <c r="BD44" s="576"/>
      <c r="BE44" s="576"/>
      <c r="BF44" s="576"/>
      <c r="BG44" s="43"/>
      <c r="BH44" s="43"/>
      <c r="BI44" s="607"/>
      <c r="BJ44" s="577"/>
      <c r="BK44" s="576"/>
      <c r="BL44" s="576"/>
      <c r="BM44" s="576"/>
      <c r="BN44" s="576"/>
      <c r="BO44" s="577"/>
      <c r="BP44" s="576"/>
      <c r="BQ44" s="576"/>
      <c r="BR44" s="573"/>
      <c r="BS44" s="43"/>
    </row>
    <row r="45" spans="1:71" ht="36.75" customHeight="1">
      <c r="A45" s="1559" t="s">
        <v>68</v>
      </c>
      <c r="B45" s="1562" t="s">
        <v>69</v>
      </c>
      <c r="C45" s="211"/>
      <c r="D45" s="1565" t="s">
        <v>70</v>
      </c>
      <c r="E45" s="1578" t="s">
        <v>71</v>
      </c>
      <c r="F45" s="1579"/>
      <c r="G45" s="1579"/>
      <c r="H45" s="1580"/>
      <c r="I45" s="497"/>
      <c r="J45" s="1526" t="s">
        <v>72</v>
      </c>
      <c r="K45" s="1527"/>
      <c r="L45" s="1528"/>
      <c r="M45" s="1527"/>
      <c r="N45" s="1527"/>
      <c r="O45" s="1527"/>
      <c r="P45" s="1528"/>
      <c r="Q45" s="1528"/>
      <c r="R45" s="1528"/>
      <c r="S45" s="1528"/>
      <c r="T45" s="1528"/>
      <c r="U45" s="1528"/>
      <c r="V45" s="1528"/>
      <c r="W45" s="1528"/>
      <c r="X45" s="1527"/>
      <c r="Y45" s="1528"/>
      <c r="Z45" s="1527"/>
      <c r="AA45" s="1527"/>
      <c r="AB45" s="1527"/>
      <c r="AC45" s="1528"/>
      <c r="AD45" s="1528"/>
      <c r="AE45" s="1529"/>
      <c r="AF45" s="540"/>
      <c r="AG45" s="579"/>
      <c r="AH45" s="1543" t="s">
        <v>73</v>
      </c>
      <c r="AI45" s="68" t="s">
        <v>74</v>
      </c>
      <c r="AJ45" s="1548" t="s">
        <v>75</v>
      </c>
      <c r="AK45" s="581" t="s">
        <v>76</v>
      </c>
      <c r="AL45" s="581" t="s">
        <v>77</v>
      </c>
      <c r="AM45" s="581" t="s">
        <v>77</v>
      </c>
      <c r="AN45" s="581" t="s">
        <v>76</v>
      </c>
      <c r="AO45" s="581" t="s">
        <v>77</v>
      </c>
      <c r="AP45" s="581" t="s">
        <v>77</v>
      </c>
      <c r="AQ45" s="581" t="s">
        <v>77</v>
      </c>
      <c r="AR45" s="581" t="s">
        <v>77</v>
      </c>
      <c r="AS45" s="581" t="s">
        <v>77</v>
      </c>
      <c r="AT45" s="581" t="s">
        <v>77</v>
      </c>
      <c r="AU45" s="581" t="s">
        <v>77</v>
      </c>
      <c r="AV45" s="581" t="s">
        <v>76</v>
      </c>
      <c r="AW45" s="581" t="s">
        <v>77</v>
      </c>
      <c r="AX45" s="602"/>
      <c r="AY45" s="603"/>
      <c r="AZ45" s="37"/>
      <c r="BA45" s="602"/>
      <c r="BB45" s="602"/>
      <c r="BC45" s="602"/>
      <c r="BD45" s="602"/>
      <c r="BE45" s="602"/>
      <c r="BF45" s="608"/>
      <c r="BG45" s="43"/>
      <c r="BH45" s="43"/>
      <c r="BI45" s="602" t="s">
        <v>78</v>
      </c>
      <c r="BJ45" s="602" t="s">
        <v>78</v>
      </c>
      <c r="BK45" s="602" t="s">
        <v>78</v>
      </c>
      <c r="BL45" s="602" t="s">
        <v>78</v>
      </c>
      <c r="BM45" s="602" t="s">
        <v>78</v>
      </c>
      <c r="BN45" s="602" t="s">
        <v>78</v>
      </c>
      <c r="BO45" s="602" t="s">
        <v>78</v>
      </c>
      <c r="BP45" s="602" t="s">
        <v>78</v>
      </c>
      <c r="BQ45" s="602" t="s">
        <v>78</v>
      </c>
      <c r="BR45" s="617"/>
      <c r="BS45" s="43"/>
    </row>
    <row r="46" spans="1:71" ht="15" customHeight="1">
      <c r="A46" s="1560"/>
      <c r="B46" s="1563"/>
      <c r="C46" s="221"/>
      <c r="D46" s="1566"/>
      <c r="E46" s="1581"/>
      <c r="F46" s="1582"/>
      <c r="G46" s="1582"/>
      <c r="H46" s="1583"/>
      <c r="I46" s="499"/>
      <c r="J46" s="1534" t="s">
        <v>79</v>
      </c>
      <c r="K46" s="1536" t="s">
        <v>80</v>
      </c>
      <c r="L46" s="500"/>
      <c r="M46" s="1536" t="s">
        <v>81</v>
      </c>
      <c r="N46" s="500"/>
      <c r="O46" s="1538" t="s">
        <v>82</v>
      </c>
      <c r="P46" s="501"/>
      <c r="Q46" s="498"/>
      <c r="R46" s="498"/>
      <c r="S46" s="1527" t="s">
        <v>83</v>
      </c>
      <c r="T46" s="1527"/>
      <c r="U46" s="1527"/>
      <c r="V46" s="1527"/>
      <c r="W46" s="1527"/>
      <c r="X46" s="1528"/>
      <c r="Y46" s="1527"/>
      <c r="Z46" s="1526" t="s">
        <v>84</v>
      </c>
      <c r="AA46" s="1530"/>
      <c r="AB46" s="541"/>
      <c r="AC46" s="1536" t="s">
        <v>85</v>
      </c>
      <c r="AD46" s="542"/>
      <c r="AE46" s="1536" t="s">
        <v>86</v>
      </c>
      <c r="AF46" s="500"/>
      <c r="AG46" s="1541" t="s">
        <v>87</v>
      </c>
      <c r="AH46" s="1544"/>
      <c r="AI46" s="582"/>
      <c r="AJ46" s="1549"/>
      <c r="AK46" s="583" t="s">
        <v>88</v>
      </c>
      <c r="AL46" s="584" t="s">
        <v>88</v>
      </c>
      <c r="AM46" s="584" t="s">
        <v>88</v>
      </c>
      <c r="AN46" s="584" t="s">
        <v>88</v>
      </c>
      <c r="AO46" s="584" t="s">
        <v>88</v>
      </c>
      <c r="AP46" s="597" t="s">
        <v>89</v>
      </c>
      <c r="AQ46" s="584" t="s">
        <v>88</v>
      </c>
      <c r="AR46" s="584" t="s">
        <v>88</v>
      </c>
      <c r="AS46" s="584" t="s">
        <v>88</v>
      </c>
      <c r="AT46" s="584" t="s">
        <v>89</v>
      </c>
      <c r="AU46" s="597" t="s">
        <v>89</v>
      </c>
      <c r="AV46" s="597" t="s">
        <v>89</v>
      </c>
      <c r="AW46" s="597" t="s">
        <v>89</v>
      </c>
      <c r="AX46" s="584"/>
      <c r="AY46" s="604"/>
      <c r="AZ46" s="605"/>
      <c r="BA46" s="307"/>
      <c r="BB46" s="307"/>
      <c r="BC46" s="307"/>
      <c r="BD46" s="307"/>
      <c r="BE46" s="307"/>
      <c r="BF46" s="609"/>
      <c r="BG46" s="605"/>
      <c r="BH46" s="605"/>
      <c r="BI46" s="583" t="s">
        <v>88</v>
      </c>
      <c r="BJ46" s="597" t="s">
        <v>88</v>
      </c>
      <c r="BK46" s="583" t="s">
        <v>88</v>
      </c>
      <c r="BL46" s="584" t="s">
        <v>88</v>
      </c>
      <c r="BM46" s="584" t="s">
        <v>88</v>
      </c>
      <c r="BN46" s="584" t="s">
        <v>88</v>
      </c>
      <c r="BO46" s="597" t="s">
        <v>89</v>
      </c>
      <c r="BP46" s="584" t="s">
        <v>88</v>
      </c>
      <c r="BQ46" s="584" t="s">
        <v>88</v>
      </c>
      <c r="BR46" s="618"/>
      <c r="BS46" s="43"/>
    </row>
    <row r="47" spans="1:71" s="430" customFormat="1" ht="54.75" customHeight="1">
      <c r="A47" s="1561"/>
      <c r="B47" s="1564"/>
      <c r="C47" s="449" t="s">
        <v>90</v>
      </c>
      <c r="D47" s="1567"/>
      <c r="E47" s="1584"/>
      <c r="F47" s="1585"/>
      <c r="G47" s="1585"/>
      <c r="H47" s="1586"/>
      <c r="I47" s="499"/>
      <c r="J47" s="1535"/>
      <c r="K47" s="1537"/>
      <c r="L47" s="502"/>
      <c r="M47" s="1537"/>
      <c r="N47" s="386" t="s">
        <v>91</v>
      </c>
      <c r="O47" s="1539"/>
      <c r="P47" s="503" t="s">
        <v>92</v>
      </c>
      <c r="Q47" s="523" t="s">
        <v>93</v>
      </c>
      <c r="R47" s="523"/>
      <c r="S47" s="202" t="s">
        <v>94</v>
      </c>
      <c r="T47" s="202" t="s">
        <v>95</v>
      </c>
      <c r="U47" s="523" t="s">
        <v>96</v>
      </c>
      <c r="V47" s="524" t="s">
        <v>97</v>
      </c>
      <c r="W47" s="524" t="s">
        <v>98</v>
      </c>
      <c r="X47" s="524" t="s">
        <v>99</v>
      </c>
      <c r="Y47" s="524" t="s">
        <v>40</v>
      </c>
      <c r="Z47" s="543" t="s">
        <v>100</v>
      </c>
      <c r="AA47" s="543" t="s">
        <v>101</v>
      </c>
      <c r="AB47" s="544" t="s">
        <v>102</v>
      </c>
      <c r="AC47" s="1540"/>
      <c r="AD47" s="544" t="s">
        <v>103</v>
      </c>
      <c r="AE47" s="1540"/>
      <c r="AF47" s="545" t="s">
        <v>104</v>
      </c>
      <c r="AG47" s="1542"/>
      <c r="AH47" s="580"/>
      <c r="AI47" s="585"/>
      <c r="AJ47" s="1550"/>
      <c r="AK47" s="586"/>
      <c r="AL47" s="587"/>
      <c r="AM47" s="588"/>
      <c r="AN47" s="588"/>
      <c r="AO47" s="588"/>
      <c r="AP47" s="588"/>
      <c r="AQ47" s="588"/>
      <c r="AR47" s="588"/>
      <c r="AS47" s="588"/>
      <c r="AT47" s="588"/>
      <c r="AU47" s="588"/>
      <c r="AV47" s="588"/>
      <c r="AW47" s="588"/>
      <c r="AX47" s="587"/>
      <c r="AY47" s="604"/>
      <c r="AZ47" s="605"/>
      <c r="BA47" s="307"/>
      <c r="BB47" s="307"/>
      <c r="BC47" s="307"/>
      <c r="BD47" s="307"/>
      <c r="BE47" s="307"/>
      <c r="BF47" s="609"/>
      <c r="BG47" s="605"/>
      <c r="BH47" s="605"/>
      <c r="BI47" s="610"/>
      <c r="BJ47" s="588"/>
      <c r="BK47" s="587"/>
      <c r="BL47" s="587"/>
      <c r="BM47" s="587"/>
      <c r="BN47" s="587"/>
      <c r="BO47" s="588"/>
      <c r="BP47" s="587"/>
      <c r="BQ47" s="587"/>
      <c r="BR47" s="619"/>
      <c r="BS47" s="43"/>
    </row>
    <row r="48" spans="1:71" s="431" customFormat="1" ht="43.5">
      <c r="A48" s="450" t="str">
        <f t="shared" ref="A48:I48" si="4">A45</f>
        <v>Chunk Team</v>
      </c>
      <c r="B48" s="450" t="str">
        <f t="shared" si="4"/>
        <v>#</v>
      </c>
      <c r="C48" s="450"/>
      <c r="D48" s="450"/>
      <c r="E48" s="450" t="str">
        <f t="shared" si="4"/>
        <v>Issue Description</v>
      </c>
      <c r="F48" s="450">
        <f t="shared" si="4"/>
        <v>0</v>
      </c>
      <c r="G48" s="450">
        <f t="shared" si="4"/>
        <v>0</v>
      </c>
      <c r="H48" s="450">
        <f t="shared" si="4"/>
        <v>0</v>
      </c>
      <c r="I48" s="450">
        <f t="shared" si="4"/>
        <v>0</v>
      </c>
      <c r="J48" s="450" t="str">
        <f>J46</f>
        <v>AIM</v>
      </c>
      <c r="K48" s="450" t="str">
        <f>K46</f>
        <v>AIMS
Status</v>
      </c>
      <c r="L48" s="450">
        <f>L46</f>
        <v>0</v>
      </c>
      <c r="M48" s="450" t="str">
        <f>M46</f>
        <v>AIM Type</v>
      </c>
      <c r="N48" s="504"/>
      <c r="O48" s="450" t="str">
        <f>O46</f>
        <v>CR / 8D</v>
      </c>
      <c r="P48" s="450">
        <f>P45</f>
        <v>0</v>
      </c>
      <c r="Q48" s="450">
        <f>Q45</f>
        <v>0</v>
      </c>
      <c r="R48" s="450"/>
      <c r="S48" s="450" t="str">
        <f>S47</f>
        <v>Static</v>
      </c>
      <c r="T48" s="450" t="str">
        <f>T47</f>
        <v>4-Post</v>
      </c>
      <c r="U48" s="450" t="str">
        <f>U47</f>
        <v>Track</v>
      </c>
      <c r="V48" s="450" t="str">
        <f>V47</f>
        <v>TEFP</v>
      </c>
      <c r="W48" s="450"/>
      <c r="X48" s="450" t="str">
        <f>X47</f>
        <v>VP1a</v>
      </c>
      <c r="Y48" s="450" t="str">
        <f>Y47</f>
        <v>VP1b</v>
      </c>
      <c r="Z48" s="450" t="str">
        <f>Z47</f>
        <v>FoE
PP phase</v>
      </c>
      <c r="AA48" s="450" t="str">
        <f>AA47</f>
        <v>FNA
TT phase</v>
      </c>
      <c r="AB48" s="546"/>
      <c r="AC48" s="450" t="str">
        <f>AC46</f>
        <v>ICA Target Fix Point</v>
      </c>
      <c r="AD48" s="547"/>
      <c r="AE48" s="450" t="str">
        <f>AE46</f>
        <v>PCA Target Fix Point</v>
      </c>
      <c r="AF48" s="450" t="str">
        <f>AF47</f>
        <v>ICA status</v>
      </c>
      <c r="AG48" s="546" t="str">
        <f>AG46</f>
        <v>Perm. Fix Validated</v>
      </c>
      <c r="AH48" s="589" t="s">
        <v>105</v>
      </c>
      <c r="AI48" s="587" t="str">
        <f>AI45</f>
        <v>Responsible Engineer</v>
      </c>
      <c r="AJ48" s="587" t="str">
        <f>AJ45</f>
        <v>Sub Total</v>
      </c>
      <c r="AK48" s="587">
        <f t="shared" ref="AK48:AU48" si="5">AK40</f>
        <v>71076</v>
      </c>
      <c r="AL48" s="587">
        <f t="shared" si="5"/>
        <v>71060</v>
      </c>
      <c r="AM48" s="587">
        <f t="shared" si="5"/>
        <v>71098</v>
      </c>
      <c r="AN48" s="587">
        <f t="shared" si="5"/>
        <v>71035</v>
      </c>
      <c r="AO48" s="587">
        <f t="shared" si="5"/>
        <v>71077</v>
      </c>
      <c r="AP48" s="587">
        <f t="shared" si="5"/>
        <v>71090</v>
      </c>
      <c r="AQ48" s="587">
        <f t="shared" si="5"/>
        <v>71083</v>
      </c>
      <c r="AR48" s="587">
        <f t="shared" si="5"/>
        <v>71099</v>
      </c>
      <c r="AS48" s="587">
        <f t="shared" si="5"/>
        <v>71029</v>
      </c>
      <c r="AT48" s="587">
        <f t="shared" si="5"/>
        <v>71030</v>
      </c>
      <c r="AU48" s="587">
        <f t="shared" si="5"/>
        <v>82565</v>
      </c>
      <c r="AV48" s="587">
        <v>0</v>
      </c>
      <c r="AW48" s="587"/>
      <c r="AX48" s="587" t="s">
        <v>105</v>
      </c>
      <c r="AY48" s="604"/>
      <c r="AZ48" s="605"/>
      <c r="BA48" s="307"/>
      <c r="BB48" s="307"/>
      <c r="BC48" s="307"/>
      <c r="BD48" s="307"/>
      <c r="BE48" s="307"/>
      <c r="BF48" s="609"/>
      <c r="BG48" s="605"/>
      <c r="BH48" s="605"/>
      <c r="BI48" s="587">
        <f t="shared" ref="BI48:BN48" si="6">BI40</f>
        <v>71067</v>
      </c>
      <c r="BJ48" s="587">
        <f t="shared" si="6"/>
        <v>71073</v>
      </c>
      <c r="BK48" s="587">
        <f t="shared" si="6"/>
        <v>71048</v>
      </c>
      <c r="BL48" s="587">
        <f t="shared" si="6"/>
        <v>71033</v>
      </c>
      <c r="BM48" s="587">
        <f t="shared" si="6"/>
        <v>71052</v>
      </c>
      <c r="BN48" s="587">
        <f t="shared" si="6"/>
        <v>71086</v>
      </c>
      <c r="BO48" s="587"/>
      <c r="BP48" s="587"/>
      <c r="BQ48" s="587"/>
      <c r="BR48" s="619"/>
      <c r="BS48" s="620"/>
    </row>
    <row r="49" spans="1:71" s="430" customFormat="1" ht="85.5" customHeight="1">
      <c r="A49" s="451" t="s">
        <v>106</v>
      </c>
      <c r="B49" s="86">
        <v>229</v>
      </c>
      <c r="C49" s="215">
        <v>617</v>
      </c>
      <c r="D49" s="215" t="s">
        <v>107</v>
      </c>
      <c r="E49" s="1531" t="s">
        <v>108</v>
      </c>
      <c r="F49" s="1532"/>
      <c r="G49" s="1532"/>
      <c r="H49" s="1533"/>
      <c r="I49" s="454"/>
      <c r="J49" s="505">
        <v>3339745</v>
      </c>
      <c r="K49" s="506" t="s">
        <v>109</v>
      </c>
      <c r="L49" s="506" t="s">
        <v>110</v>
      </c>
      <c r="M49" s="507" t="s">
        <v>111</v>
      </c>
      <c r="N49" s="507" t="s">
        <v>112</v>
      </c>
      <c r="O49" s="508" t="s">
        <v>113</v>
      </c>
      <c r="P49" s="509"/>
      <c r="Q49" s="525"/>
      <c r="R49" s="525"/>
      <c r="S49" s="526" t="s">
        <v>114</v>
      </c>
      <c r="T49" s="526"/>
      <c r="U49" s="526"/>
      <c r="V49" s="526"/>
      <c r="W49" s="526"/>
      <c r="X49" s="526" t="s">
        <v>99</v>
      </c>
      <c r="Y49" s="526"/>
      <c r="Z49" s="526"/>
      <c r="AA49" s="526"/>
      <c r="AB49" s="548" t="s">
        <v>115</v>
      </c>
      <c r="AC49" s="549">
        <v>41451</v>
      </c>
      <c r="AD49" s="550" t="s">
        <v>116</v>
      </c>
      <c r="AE49" s="551">
        <v>41572</v>
      </c>
      <c r="AF49" s="551" t="s">
        <v>117</v>
      </c>
      <c r="AG49" s="590" t="s">
        <v>118</v>
      </c>
      <c r="AH49" s="591" t="s">
        <v>119</v>
      </c>
      <c r="AI49" s="505" t="s">
        <v>120</v>
      </c>
      <c r="AJ49" s="592">
        <f t="shared" ref="AJ49:AJ80" si="7">COUNTIF(AK49:BR49,"1")</f>
        <v>0</v>
      </c>
      <c r="AK49" s="307"/>
      <c r="AL49" s="307"/>
      <c r="AM49" s="307"/>
      <c r="AN49" s="307"/>
      <c r="AO49" s="307" t="s">
        <v>121</v>
      </c>
      <c r="AP49" s="307"/>
      <c r="AQ49" s="307" t="s">
        <v>121</v>
      </c>
      <c r="AR49" s="307" t="s">
        <v>121</v>
      </c>
      <c r="AS49" s="307" t="s">
        <v>121</v>
      </c>
      <c r="AT49" s="307" t="s">
        <v>121</v>
      </c>
      <c r="AU49" s="307" t="s">
        <v>121</v>
      </c>
      <c r="AV49" s="307"/>
      <c r="AW49" s="307"/>
      <c r="AX49" s="592"/>
      <c r="AY49" s="604"/>
      <c r="AZ49" s="605"/>
      <c r="BA49" s="307"/>
      <c r="BB49" s="307"/>
      <c r="BC49" s="307"/>
      <c r="BD49" s="307"/>
      <c r="BE49" s="307"/>
      <c r="BF49" s="609"/>
      <c r="BG49" s="605"/>
      <c r="BH49" s="605"/>
      <c r="BI49" s="611" t="s">
        <v>122</v>
      </c>
      <c r="BJ49" s="592" t="s">
        <v>122</v>
      </c>
      <c r="BK49" s="611" t="s">
        <v>122</v>
      </c>
      <c r="BL49" s="612"/>
      <c r="BM49" s="307" t="s">
        <v>121</v>
      </c>
      <c r="BN49" s="307" t="s">
        <v>121</v>
      </c>
      <c r="BO49" s="307"/>
      <c r="BP49" s="307"/>
      <c r="BQ49" s="307"/>
      <c r="BR49" s="86"/>
      <c r="BS49" s="609">
        <f t="shared" ref="BS49:BS80" si="8">COUNT(BI49:BO49)</f>
        <v>0</v>
      </c>
    </row>
    <row r="50" spans="1:71" s="430" customFormat="1" ht="129.75" customHeight="1">
      <c r="A50" s="451">
        <v>6</v>
      </c>
      <c r="B50" s="86">
        <v>230</v>
      </c>
      <c r="C50" s="215">
        <v>618</v>
      </c>
      <c r="D50" s="215" t="s">
        <v>123</v>
      </c>
      <c r="E50" s="1531" t="s">
        <v>124</v>
      </c>
      <c r="F50" s="1532"/>
      <c r="G50" s="1532"/>
      <c r="H50" s="1533"/>
      <c r="I50" s="454"/>
      <c r="J50" s="505">
        <v>3345773</v>
      </c>
      <c r="K50" s="506" t="s">
        <v>109</v>
      </c>
      <c r="L50" s="506" t="s">
        <v>125</v>
      </c>
      <c r="M50" s="507" t="s">
        <v>111</v>
      </c>
      <c r="N50" s="507" t="s">
        <v>126</v>
      </c>
      <c r="O50" s="508" t="s">
        <v>127</v>
      </c>
      <c r="P50" s="509"/>
      <c r="Q50" s="525"/>
      <c r="R50" s="525"/>
      <c r="S50" s="526"/>
      <c r="T50" s="526" t="s">
        <v>114</v>
      </c>
      <c r="U50" s="526" t="s">
        <v>114</v>
      </c>
      <c r="V50" s="526"/>
      <c r="W50" s="526"/>
      <c r="X50" s="526" t="s">
        <v>99</v>
      </c>
      <c r="Y50" s="526"/>
      <c r="Z50" s="526" t="s">
        <v>128</v>
      </c>
      <c r="AA50" s="526" t="s">
        <v>129</v>
      </c>
      <c r="AB50" s="548" t="s">
        <v>130</v>
      </c>
      <c r="AC50" s="549">
        <v>41450</v>
      </c>
      <c r="AD50" s="550" t="s">
        <v>131</v>
      </c>
      <c r="AE50" s="551">
        <v>41551</v>
      </c>
      <c r="AF50" s="549" t="s">
        <v>132</v>
      </c>
      <c r="AG50" s="590" t="s">
        <v>133</v>
      </c>
      <c r="AH50" s="591" t="s">
        <v>134</v>
      </c>
      <c r="AI50" s="505" t="s">
        <v>135</v>
      </c>
      <c r="AJ50" s="592">
        <f t="shared" si="7"/>
        <v>7</v>
      </c>
      <c r="AK50" s="307"/>
      <c r="AL50" s="307"/>
      <c r="AM50" s="307"/>
      <c r="AN50" s="307"/>
      <c r="AO50" s="307"/>
      <c r="AP50" s="307"/>
      <c r="AQ50" s="307"/>
      <c r="AR50" s="307"/>
      <c r="AS50" s="307"/>
      <c r="AT50" s="307"/>
      <c r="AU50" s="307"/>
      <c r="AV50" s="307" t="s">
        <v>136</v>
      </c>
      <c r="AW50" s="307" t="s">
        <v>136</v>
      </c>
      <c r="AX50" s="592"/>
      <c r="AY50" s="604"/>
      <c r="AZ50" s="605"/>
      <c r="BA50" s="307"/>
      <c r="BB50" s="307"/>
      <c r="BC50" s="307"/>
      <c r="BD50" s="307"/>
      <c r="BE50" s="307"/>
      <c r="BF50" s="609"/>
      <c r="BG50" s="605"/>
      <c r="BH50" s="605"/>
      <c r="BI50" s="611">
        <v>1</v>
      </c>
      <c r="BJ50" s="592">
        <v>1</v>
      </c>
      <c r="BK50" s="611">
        <v>1</v>
      </c>
      <c r="BL50" s="307">
        <v>1</v>
      </c>
      <c r="BM50" s="307"/>
      <c r="BN50" s="86">
        <v>1</v>
      </c>
      <c r="BO50" s="307"/>
      <c r="BP50" s="307">
        <v>1</v>
      </c>
      <c r="BQ50" s="307">
        <v>1</v>
      </c>
      <c r="BR50" s="86"/>
      <c r="BS50" s="609">
        <f t="shared" si="8"/>
        <v>5</v>
      </c>
    </row>
    <row r="51" spans="1:71" s="430" customFormat="1" ht="114" customHeight="1">
      <c r="A51" s="451" t="s">
        <v>137</v>
      </c>
      <c r="B51" s="86">
        <v>231</v>
      </c>
      <c r="C51" s="215">
        <v>619</v>
      </c>
      <c r="D51" s="215"/>
      <c r="E51" s="1531" t="s">
        <v>138</v>
      </c>
      <c r="F51" s="1532"/>
      <c r="G51" s="1532"/>
      <c r="H51" s="1533"/>
      <c r="I51" s="454"/>
      <c r="J51" s="505">
        <v>3340359</v>
      </c>
      <c r="K51" s="510" t="s">
        <v>139</v>
      </c>
      <c r="L51" s="506" t="s">
        <v>140</v>
      </c>
      <c r="M51" s="505" t="s">
        <v>9</v>
      </c>
      <c r="N51" s="505"/>
      <c r="O51" s="508" t="s">
        <v>141</v>
      </c>
      <c r="P51" s="509"/>
      <c r="Q51" s="525"/>
      <c r="R51" s="525"/>
      <c r="S51" s="526" t="s">
        <v>114</v>
      </c>
      <c r="T51" s="526"/>
      <c r="U51" s="526"/>
      <c r="V51" s="526"/>
      <c r="W51" s="526"/>
      <c r="X51" s="526" t="s">
        <v>99</v>
      </c>
      <c r="Y51" s="526"/>
      <c r="Z51" s="526" t="s">
        <v>142</v>
      </c>
      <c r="AA51" s="526" t="s">
        <v>143</v>
      </c>
      <c r="AB51" s="548" t="s">
        <v>130</v>
      </c>
      <c r="AC51" s="549">
        <v>41471</v>
      </c>
      <c r="AD51" s="550" t="s">
        <v>144</v>
      </c>
      <c r="AE51" s="549">
        <v>41488</v>
      </c>
      <c r="AF51" s="549" t="s">
        <v>132</v>
      </c>
      <c r="AG51" s="590" t="s">
        <v>145</v>
      </c>
      <c r="AH51" s="593" t="s">
        <v>146</v>
      </c>
      <c r="AI51" s="505" t="s">
        <v>147</v>
      </c>
      <c r="AJ51" s="592">
        <f t="shared" si="7"/>
        <v>8</v>
      </c>
      <c r="AK51" s="307"/>
      <c r="AL51" s="307"/>
      <c r="AM51" s="307">
        <v>1</v>
      </c>
      <c r="AN51" s="307">
        <v>1</v>
      </c>
      <c r="AO51" s="307"/>
      <c r="AP51" s="307"/>
      <c r="AQ51" s="307" t="s">
        <v>121</v>
      </c>
      <c r="AR51" s="307" t="s">
        <v>121</v>
      </c>
      <c r="AS51" s="307" t="s">
        <v>121</v>
      </c>
      <c r="AT51" s="307" t="s">
        <v>121</v>
      </c>
      <c r="AU51" s="307" t="s">
        <v>121</v>
      </c>
      <c r="AV51" s="307"/>
      <c r="AW51" s="307"/>
      <c r="AX51" s="592"/>
      <c r="AY51" s="604"/>
      <c r="AZ51" s="605"/>
      <c r="BA51" s="307"/>
      <c r="BB51" s="307"/>
      <c r="BC51" s="307"/>
      <c r="BD51" s="307"/>
      <c r="BE51" s="307"/>
      <c r="BF51" s="609"/>
      <c r="BG51" s="605"/>
      <c r="BH51" s="605"/>
      <c r="BI51" s="611">
        <v>1</v>
      </c>
      <c r="BJ51" s="592">
        <v>1</v>
      </c>
      <c r="BK51" s="611">
        <v>1</v>
      </c>
      <c r="BL51" s="307">
        <v>1</v>
      </c>
      <c r="BM51" s="307"/>
      <c r="BN51" s="86">
        <v>1</v>
      </c>
      <c r="BO51" s="307"/>
      <c r="BP51" s="307">
        <v>1</v>
      </c>
      <c r="BQ51" s="307"/>
      <c r="BR51" s="86"/>
      <c r="BS51" s="609">
        <f t="shared" si="8"/>
        <v>5</v>
      </c>
    </row>
    <row r="52" spans="1:71" s="430" customFormat="1" ht="131.25" customHeight="1">
      <c r="A52" s="451" t="s">
        <v>148</v>
      </c>
      <c r="B52" s="86">
        <v>232</v>
      </c>
      <c r="C52" s="215">
        <v>620</v>
      </c>
      <c r="D52" s="215" t="s">
        <v>123</v>
      </c>
      <c r="E52" s="1531" t="s">
        <v>149</v>
      </c>
      <c r="F52" s="1532"/>
      <c r="G52" s="1532"/>
      <c r="H52" s="1533"/>
      <c r="I52" s="454"/>
      <c r="J52" s="505">
        <v>3339184</v>
      </c>
      <c r="K52" s="506" t="s">
        <v>109</v>
      </c>
      <c r="L52" s="506" t="s">
        <v>150</v>
      </c>
      <c r="M52" s="505" t="s">
        <v>151</v>
      </c>
      <c r="N52" s="505" t="s">
        <v>152</v>
      </c>
      <c r="O52" s="508" t="s">
        <v>153</v>
      </c>
      <c r="P52" s="509"/>
      <c r="Q52" s="525"/>
      <c r="R52" s="525"/>
      <c r="S52" s="526"/>
      <c r="T52" s="526" t="s">
        <v>114</v>
      </c>
      <c r="U52" s="526" t="s">
        <v>114</v>
      </c>
      <c r="V52" s="526"/>
      <c r="W52" s="526"/>
      <c r="X52" s="526" t="s">
        <v>99</v>
      </c>
      <c r="Y52" s="526"/>
      <c r="Z52" s="526"/>
      <c r="AA52" s="526"/>
      <c r="AB52" s="548" t="s">
        <v>154</v>
      </c>
      <c r="AC52" s="549">
        <v>41460</v>
      </c>
      <c r="AD52" s="550" t="s">
        <v>155</v>
      </c>
      <c r="AE52" s="551">
        <v>41540</v>
      </c>
      <c r="AF52" s="551" t="s">
        <v>117</v>
      </c>
      <c r="AG52" s="590" t="s">
        <v>156</v>
      </c>
      <c r="AH52" s="591" t="s">
        <v>157</v>
      </c>
      <c r="AI52" s="505" t="s">
        <v>158</v>
      </c>
      <c r="AJ52" s="592">
        <f t="shared" si="7"/>
        <v>15</v>
      </c>
      <c r="AK52" s="307">
        <v>1</v>
      </c>
      <c r="AL52" s="307">
        <v>1</v>
      </c>
      <c r="AM52" s="307">
        <v>1</v>
      </c>
      <c r="AN52" s="307">
        <v>1</v>
      </c>
      <c r="AO52" s="307">
        <v>1</v>
      </c>
      <c r="AP52" s="307">
        <v>1</v>
      </c>
      <c r="AQ52" s="307" t="s">
        <v>121</v>
      </c>
      <c r="AR52" s="307" t="s">
        <v>121</v>
      </c>
      <c r="AS52" s="307" t="s">
        <v>121</v>
      </c>
      <c r="AT52" s="307" t="s">
        <v>121</v>
      </c>
      <c r="AU52" s="307" t="s">
        <v>121</v>
      </c>
      <c r="AV52" s="307" t="s">
        <v>136</v>
      </c>
      <c r="AW52" s="307" t="s">
        <v>136</v>
      </c>
      <c r="AX52" s="592"/>
      <c r="AY52" s="604"/>
      <c r="AZ52" s="605"/>
      <c r="BA52" s="307" t="s">
        <v>121</v>
      </c>
      <c r="BB52" s="307"/>
      <c r="BC52" s="307"/>
      <c r="BD52" s="307"/>
      <c r="BE52" s="307"/>
      <c r="BF52" s="609"/>
      <c r="BG52" s="605"/>
      <c r="BH52" s="605"/>
      <c r="BI52" s="611">
        <v>1</v>
      </c>
      <c r="BJ52" s="592">
        <v>1</v>
      </c>
      <c r="BK52" s="611">
        <v>1</v>
      </c>
      <c r="BL52" s="307">
        <v>1</v>
      </c>
      <c r="BM52" s="307">
        <v>1</v>
      </c>
      <c r="BN52" s="86">
        <v>1</v>
      </c>
      <c r="BO52" s="307">
        <v>1</v>
      </c>
      <c r="BP52" s="307">
        <v>1</v>
      </c>
      <c r="BQ52" s="307">
        <v>1</v>
      </c>
      <c r="BR52" s="86"/>
      <c r="BS52" s="609">
        <f t="shared" si="8"/>
        <v>7</v>
      </c>
    </row>
    <row r="53" spans="1:71" s="430" customFormat="1" ht="36" customHeight="1">
      <c r="A53" s="451">
        <v>5</v>
      </c>
      <c r="B53" s="86">
        <v>233</v>
      </c>
      <c r="C53" s="215">
        <v>621</v>
      </c>
      <c r="D53" s="215" t="s">
        <v>159</v>
      </c>
      <c r="E53" s="1531" t="s">
        <v>160</v>
      </c>
      <c r="F53" s="1532"/>
      <c r="G53" s="1532"/>
      <c r="H53" s="1533"/>
      <c r="I53" s="454"/>
      <c r="J53" s="505">
        <v>3340009</v>
      </c>
      <c r="K53" s="506" t="s">
        <v>109</v>
      </c>
      <c r="L53" s="506" t="s">
        <v>161</v>
      </c>
      <c r="M53" s="507" t="s">
        <v>111</v>
      </c>
      <c r="N53" s="507" t="s">
        <v>162</v>
      </c>
      <c r="O53" s="508" t="s">
        <v>163</v>
      </c>
      <c r="P53" s="509"/>
      <c r="Q53" s="525"/>
      <c r="R53" s="525"/>
      <c r="S53" s="526"/>
      <c r="T53" s="526" t="s">
        <v>114</v>
      </c>
      <c r="U53" s="526" t="s">
        <v>114</v>
      </c>
      <c r="V53" s="526"/>
      <c r="W53" s="526"/>
      <c r="X53" s="526" t="s">
        <v>99</v>
      </c>
      <c r="Y53" s="526"/>
      <c r="Z53" s="526"/>
      <c r="AA53" s="526"/>
      <c r="AB53" s="548" t="s">
        <v>164</v>
      </c>
      <c r="AC53" s="549">
        <v>41440</v>
      </c>
      <c r="AD53" s="550" t="s">
        <v>165</v>
      </c>
      <c r="AE53" s="551">
        <v>41516</v>
      </c>
      <c r="AF53" s="549" t="s">
        <v>132</v>
      </c>
      <c r="AG53" s="590" t="s">
        <v>166</v>
      </c>
      <c r="AH53" s="591" t="s">
        <v>167</v>
      </c>
      <c r="AI53" s="505" t="s">
        <v>168</v>
      </c>
      <c r="AJ53" s="592">
        <f t="shared" si="7"/>
        <v>0</v>
      </c>
      <c r="AK53" s="307" t="s">
        <v>121</v>
      </c>
      <c r="AL53" s="307" t="s">
        <v>121</v>
      </c>
      <c r="AM53" s="307" t="s">
        <v>121</v>
      </c>
      <c r="AN53" s="307" t="s">
        <v>121</v>
      </c>
      <c r="AO53" s="307" t="s">
        <v>121</v>
      </c>
      <c r="AP53" s="307"/>
      <c r="AQ53" s="307" t="s">
        <v>121</v>
      </c>
      <c r="AR53" s="307" t="s">
        <v>121</v>
      </c>
      <c r="AS53" s="307" t="s">
        <v>121</v>
      </c>
      <c r="AT53" s="307" t="s">
        <v>121</v>
      </c>
      <c r="AU53" s="307" t="s">
        <v>121</v>
      </c>
      <c r="AV53" s="307"/>
      <c r="AW53" s="307"/>
      <c r="AX53" s="592"/>
      <c r="AY53" s="604"/>
      <c r="AZ53" s="605"/>
      <c r="BA53" s="307"/>
      <c r="BB53" s="307"/>
      <c r="BC53" s="307"/>
      <c r="BD53" s="307"/>
      <c r="BE53" s="307"/>
      <c r="BF53" s="609"/>
      <c r="BG53" s="605"/>
      <c r="BH53" s="605"/>
      <c r="BI53" s="611" t="s">
        <v>122</v>
      </c>
      <c r="BJ53" s="612" t="s">
        <v>122</v>
      </c>
      <c r="BK53" s="613" t="s">
        <v>121</v>
      </c>
      <c r="BL53" s="612"/>
      <c r="BM53" s="612"/>
      <c r="BN53" s="86"/>
      <c r="BO53" s="307"/>
      <c r="BP53" s="307"/>
      <c r="BQ53" s="307"/>
      <c r="BR53" s="86"/>
      <c r="BS53" s="609">
        <f t="shared" si="8"/>
        <v>0</v>
      </c>
    </row>
    <row r="54" spans="1:71" s="430" customFormat="1" ht="60" customHeight="1">
      <c r="A54" s="451" t="s">
        <v>137</v>
      </c>
      <c r="B54" s="86">
        <v>234</v>
      </c>
      <c r="C54" s="215">
        <v>622</v>
      </c>
      <c r="D54" s="215"/>
      <c r="E54" s="1531" t="s">
        <v>169</v>
      </c>
      <c r="F54" s="1532"/>
      <c r="G54" s="1532"/>
      <c r="H54" s="1533"/>
      <c r="I54" s="454"/>
      <c r="J54" s="505">
        <v>3340939</v>
      </c>
      <c r="K54" s="506" t="s">
        <v>109</v>
      </c>
      <c r="L54" s="506" t="s">
        <v>170</v>
      </c>
      <c r="M54" s="505" t="s">
        <v>151</v>
      </c>
      <c r="N54" s="505" t="s">
        <v>171</v>
      </c>
      <c r="O54" s="508">
        <v>194036</v>
      </c>
      <c r="P54" s="509"/>
      <c r="Q54" s="525"/>
      <c r="R54" s="525"/>
      <c r="S54" s="526"/>
      <c r="T54" s="526" t="s">
        <v>114</v>
      </c>
      <c r="U54" s="526"/>
      <c r="V54" s="526"/>
      <c r="W54" s="526"/>
      <c r="X54" s="526" t="s">
        <v>99</v>
      </c>
      <c r="Y54" s="526"/>
      <c r="Z54" s="526" t="s">
        <v>172</v>
      </c>
      <c r="AA54" s="526" t="s">
        <v>173</v>
      </c>
      <c r="AB54" s="548" t="s">
        <v>174</v>
      </c>
      <c r="AC54" s="549">
        <v>41440</v>
      </c>
      <c r="AD54" s="550" t="s">
        <v>175</v>
      </c>
      <c r="AE54" s="549">
        <v>41517</v>
      </c>
      <c r="AF54" s="551" t="s">
        <v>117</v>
      </c>
      <c r="AG54" s="590" t="s">
        <v>176</v>
      </c>
      <c r="AH54" s="729" t="s">
        <v>177</v>
      </c>
      <c r="AI54" s="505" t="s">
        <v>178</v>
      </c>
      <c r="AJ54" s="592">
        <f t="shared" si="7"/>
        <v>1</v>
      </c>
      <c r="AK54" s="307" t="s">
        <v>121</v>
      </c>
      <c r="AL54" s="307" t="s">
        <v>121</v>
      </c>
      <c r="AM54" s="307" t="s">
        <v>121</v>
      </c>
      <c r="AN54" s="307" t="s">
        <v>121</v>
      </c>
      <c r="AO54" s="307" t="s">
        <v>121</v>
      </c>
      <c r="AP54" s="307"/>
      <c r="AQ54" s="307" t="s">
        <v>121</v>
      </c>
      <c r="AR54" s="307" t="s">
        <v>121</v>
      </c>
      <c r="AS54" s="307" t="s">
        <v>121</v>
      </c>
      <c r="AT54" s="307" t="s">
        <v>121</v>
      </c>
      <c r="AU54" s="307" t="s">
        <v>121</v>
      </c>
      <c r="AV54" s="307"/>
      <c r="AW54" s="307"/>
      <c r="AX54" s="592"/>
      <c r="AY54" s="604"/>
      <c r="AZ54" s="605"/>
      <c r="BA54" s="307"/>
      <c r="BB54" s="307"/>
      <c r="BC54" s="307"/>
      <c r="BD54" s="307"/>
      <c r="BE54" s="307"/>
      <c r="BF54" s="609"/>
      <c r="BG54" s="605"/>
      <c r="BH54" s="605"/>
      <c r="BI54" s="611" t="s">
        <v>122</v>
      </c>
      <c r="BJ54" s="612" t="s">
        <v>122</v>
      </c>
      <c r="BK54" s="613" t="s">
        <v>121</v>
      </c>
      <c r="BL54" s="612"/>
      <c r="BM54" s="612"/>
      <c r="BN54" s="86">
        <v>1</v>
      </c>
      <c r="BO54" s="307"/>
      <c r="BP54" s="307"/>
      <c r="BQ54" s="307"/>
      <c r="BR54" s="86"/>
      <c r="BS54" s="609">
        <f t="shared" si="8"/>
        <v>1</v>
      </c>
    </row>
    <row r="55" spans="1:71" s="430" customFormat="1" ht="146.25" customHeight="1">
      <c r="A55" s="451" t="s">
        <v>179</v>
      </c>
      <c r="B55" s="86">
        <v>235</v>
      </c>
      <c r="C55" s="215">
        <v>623</v>
      </c>
      <c r="D55" s="215" t="s">
        <v>123</v>
      </c>
      <c r="E55" s="1531" t="s">
        <v>180</v>
      </c>
      <c r="F55" s="1532"/>
      <c r="G55" s="1532"/>
      <c r="H55" s="1533"/>
      <c r="I55" s="454"/>
      <c r="J55" s="505">
        <v>3339717</v>
      </c>
      <c r="K55" s="506" t="s">
        <v>109</v>
      </c>
      <c r="L55" s="506" t="s">
        <v>181</v>
      </c>
      <c r="M55" s="505" t="s">
        <v>151</v>
      </c>
      <c r="N55" s="505"/>
      <c r="O55" s="508" t="s">
        <v>182</v>
      </c>
      <c r="P55" s="509"/>
      <c r="Q55" s="525"/>
      <c r="R55" s="525"/>
      <c r="S55" s="526"/>
      <c r="T55" s="526" t="s">
        <v>114</v>
      </c>
      <c r="U55" s="526"/>
      <c r="V55" s="526"/>
      <c r="W55" s="526"/>
      <c r="X55" s="526" t="s">
        <v>99</v>
      </c>
      <c r="Y55" s="526"/>
      <c r="Z55" s="526"/>
      <c r="AA55" s="526"/>
      <c r="AB55" s="548" t="s">
        <v>183</v>
      </c>
      <c r="AC55" s="549">
        <v>41440</v>
      </c>
      <c r="AD55" s="550" t="s">
        <v>184</v>
      </c>
      <c r="AE55" s="551">
        <v>41498</v>
      </c>
      <c r="AF55" s="551" t="s">
        <v>117</v>
      </c>
      <c r="AG55" s="590" t="s">
        <v>185</v>
      </c>
      <c r="AH55" s="591" t="s">
        <v>157</v>
      </c>
      <c r="AI55" s="505" t="s">
        <v>186</v>
      </c>
      <c r="AJ55" s="592">
        <f t="shared" si="7"/>
        <v>13</v>
      </c>
      <c r="AK55" s="307">
        <v>1</v>
      </c>
      <c r="AL55" s="307"/>
      <c r="AM55" s="594">
        <v>1</v>
      </c>
      <c r="AN55" s="594">
        <v>1</v>
      </c>
      <c r="AO55" s="594">
        <v>1</v>
      </c>
      <c r="AP55" s="307">
        <v>1</v>
      </c>
      <c r="AQ55" s="594">
        <v>1</v>
      </c>
      <c r="AR55" s="594">
        <v>1</v>
      </c>
      <c r="AS55" s="594">
        <v>1</v>
      </c>
      <c r="AT55" s="594">
        <v>1</v>
      </c>
      <c r="AU55" s="307">
        <v>1</v>
      </c>
      <c r="AV55" s="307" t="s">
        <v>136</v>
      </c>
      <c r="AW55" s="307" t="s">
        <v>136</v>
      </c>
      <c r="AX55" s="592"/>
      <c r="AY55" s="604"/>
      <c r="AZ55" s="605"/>
      <c r="BA55" s="307"/>
      <c r="BB55" s="307"/>
      <c r="BC55" s="307"/>
      <c r="BD55" s="307"/>
      <c r="BE55" s="307"/>
      <c r="BF55" s="609"/>
      <c r="BG55" s="605"/>
      <c r="BH55" s="605"/>
      <c r="BI55" s="611" t="s">
        <v>122</v>
      </c>
      <c r="BJ55" s="613" t="s">
        <v>122</v>
      </c>
      <c r="BK55" s="613" t="s">
        <v>121</v>
      </c>
      <c r="BL55" s="613">
        <v>1</v>
      </c>
      <c r="BM55" s="613">
        <v>1</v>
      </c>
      <c r="BN55" s="621">
        <v>1</v>
      </c>
      <c r="BO55" s="307" t="s">
        <v>136</v>
      </c>
      <c r="BP55" s="307"/>
      <c r="BQ55" s="307"/>
      <c r="BR55" s="86"/>
      <c r="BS55" s="609">
        <f t="shared" si="8"/>
        <v>3</v>
      </c>
    </row>
    <row r="56" spans="1:71" s="430" customFormat="1" ht="60" customHeight="1">
      <c r="A56" s="451" t="s">
        <v>187</v>
      </c>
      <c r="B56" s="86">
        <v>236</v>
      </c>
      <c r="C56" s="215">
        <v>625</v>
      </c>
      <c r="D56" s="215" t="s">
        <v>123</v>
      </c>
      <c r="E56" s="1531" t="s">
        <v>188</v>
      </c>
      <c r="F56" s="1532"/>
      <c r="G56" s="1532"/>
      <c r="H56" s="1533"/>
      <c r="I56" s="454"/>
      <c r="J56" s="505">
        <v>3339404</v>
      </c>
      <c r="K56" s="510" t="s">
        <v>139</v>
      </c>
      <c r="L56" s="506" t="s">
        <v>189</v>
      </c>
      <c r="M56" s="505" t="s">
        <v>151</v>
      </c>
      <c r="N56" s="505"/>
      <c r="O56" s="508"/>
      <c r="P56" s="509"/>
      <c r="Q56" s="525"/>
      <c r="R56" s="525"/>
      <c r="S56" s="526"/>
      <c r="T56" s="526"/>
      <c r="U56" s="526" t="s">
        <v>114</v>
      </c>
      <c r="V56" s="526" t="s">
        <v>114</v>
      </c>
      <c r="W56" s="526"/>
      <c r="X56" s="526" t="s">
        <v>99</v>
      </c>
      <c r="Y56" s="526"/>
      <c r="Z56" s="526"/>
      <c r="AA56" s="526"/>
      <c r="AB56" s="548" t="s">
        <v>190</v>
      </c>
      <c r="AC56" s="549">
        <v>41451</v>
      </c>
      <c r="AD56" s="550" t="s">
        <v>191</v>
      </c>
      <c r="AE56" s="549">
        <v>41473</v>
      </c>
      <c r="AF56" s="549" t="s">
        <v>132</v>
      </c>
      <c r="AG56" s="590"/>
      <c r="AH56" s="591" t="s">
        <v>192</v>
      </c>
      <c r="AI56" s="505" t="s">
        <v>193</v>
      </c>
      <c r="AJ56" s="592">
        <f t="shared" si="7"/>
        <v>4</v>
      </c>
      <c r="AK56" s="307"/>
      <c r="AL56" s="307" t="s">
        <v>121</v>
      </c>
      <c r="AM56" s="307" t="s">
        <v>121</v>
      </c>
      <c r="AN56" s="307" t="s">
        <v>121</v>
      </c>
      <c r="AO56" s="307" t="s">
        <v>121</v>
      </c>
      <c r="AP56" s="307"/>
      <c r="AQ56" s="307"/>
      <c r="AR56" s="307"/>
      <c r="AS56" s="307"/>
      <c r="AT56" s="307"/>
      <c r="AU56" s="307"/>
      <c r="AV56" s="307"/>
      <c r="AW56" s="307"/>
      <c r="AX56" s="592"/>
      <c r="AY56" s="604"/>
      <c r="AZ56" s="605"/>
      <c r="BA56" s="307"/>
      <c r="BB56" s="307"/>
      <c r="BC56" s="307"/>
      <c r="BD56" s="307"/>
      <c r="BE56" s="307"/>
      <c r="BF56" s="609"/>
      <c r="BG56" s="605"/>
      <c r="BH56" s="605"/>
      <c r="BI56" s="611">
        <v>1</v>
      </c>
      <c r="BJ56" s="592">
        <v>1</v>
      </c>
      <c r="BK56" s="611"/>
      <c r="BL56" s="307">
        <v>1</v>
      </c>
      <c r="BM56" s="307"/>
      <c r="BN56" s="86"/>
      <c r="BO56" s="307"/>
      <c r="BP56" s="307">
        <v>1</v>
      </c>
      <c r="BQ56" s="307"/>
      <c r="BR56" s="86"/>
      <c r="BS56" s="609">
        <f t="shared" si="8"/>
        <v>3</v>
      </c>
    </row>
    <row r="57" spans="1:71" s="430" customFormat="1" ht="96" customHeight="1">
      <c r="A57" s="451" t="s">
        <v>179</v>
      </c>
      <c r="B57" s="86">
        <v>239</v>
      </c>
      <c r="C57" s="215">
        <v>684</v>
      </c>
      <c r="D57" s="215"/>
      <c r="E57" s="1531" t="s">
        <v>194</v>
      </c>
      <c r="F57" s="1532"/>
      <c r="G57" s="1532"/>
      <c r="H57" s="1533"/>
      <c r="I57" s="454"/>
      <c r="J57" s="505">
        <v>3340942</v>
      </c>
      <c r="K57" s="506" t="s">
        <v>109</v>
      </c>
      <c r="L57" s="506" t="s">
        <v>195</v>
      </c>
      <c r="M57" s="505" t="s">
        <v>151</v>
      </c>
      <c r="N57" s="505"/>
      <c r="O57" s="508">
        <v>194027</v>
      </c>
      <c r="P57" s="509"/>
      <c r="Q57" s="525"/>
      <c r="R57" s="525"/>
      <c r="S57" s="526"/>
      <c r="T57" s="526" t="s">
        <v>114</v>
      </c>
      <c r="U57" s="526" t="s">
        <v>114</v>
      </c>
      <c r="V57" s="526"/>
      <c r="W57" s="526"/>
      <c r="X57" s="526" t="s">
        <v>99</v>
      </c>
      <c r="Y57" s="526"/>
      <c r="Z57" s="526"/>
      <c r="AA57" s="526"/>
      <c r="AB57" s="548" t="s">
        <v>196</v>
      </c>
      <c r="AC57" s="549">
        <v>41484</v>
      </c>
      <c r="AD57" s="550" t="s">
        <v>197</v>
      </c>
      <c r="AE57" s="551">
        <v>41515</v>
      </c>
      <c r="AF57" s="551" t="s">
        <v>117</v>
      </c>
      <c r="AG57" s="730" t="s">
        <v>198</v>
      </c>
      <c r="AH57" s="591" t="s">
        <v>157</v>
      </c>
      <c r="AI57" s="505" t="s">
        <v>199</v>
      </c>
      <c r="AJ57" s="592">
        <f t="shared" si="7"/>
        <v>2</v>
      </c>
      <c r="AK57" s="307">
        <v>1</v>
      </c>
      <c r="AL57" s="307"/>
      <c r="AM57" s="307"/>
      <c r="AN57" s="307"/>
      <c r="AO57" s="307"/>
      <c r="AP57" s="307"/>
      <c r="AQ57" s="307"/>
      <c r="AR57" s="307"/>
      <c r="AS57" s="307"/>
      <c r="AT57" s="307"/>
      <c r="AU57" s="307"/>
      <c r="AV57" s="307"/>
      <c r="AW57" s="307"/>
      <c r="AX57" s="592"/>
      <c r="AY57" s="604"/>
      <c r="AZ57" s="605"/>
      <c r="BA57" s="307"/>
      <c r="BB57" s="307"/>
      <c r="BC57" s="307"/>
      <c r="BD57" s="307"/>
      <c r="BE57" s="307"/>
      <c r="BF57" s="609"/>
      <c r="BG57" s="605"/>
      <c r="BH57" s="605"/>
      <c r="BI57" s="611"/>
      <c r="BJ57" s="592">
        <v>1</v>
      </c>
      <c r="BK57" s="611"/>
      <c r="BL57" s="307"/>
      <c r="BM57" s="307"/>
      <c r="BN57" s="86"/>
      <c r="BO57" s="307"/>
      <c r="BP57" s="307"/>
      <c r="BQ57" s="307"/>
      <c r="BR57" s="86"/>
      <c r="BS57" s="609">
        <f t="shared" si="8"/>
        <v>1</v>
      </c>
    </row>
    <row r="58" spans="1:71" s="430" customFormat="1" ht="48" customHeight="1">
      <c r="A58" s="451" t="s">
        <v>187</v>
      </c>
      <c r="B58" s="86">
        <v>240</v>
      </c>
      <c r="C58" s="215">
        <v>784</v>
      </c>
      <c r="D58" s="215"/>
      <c r="E58" s="1531" t="s">
        <v>200</v>
      </c>
      <c r="F58" s="1532"/>
      <c r="G58" s="1532"/>
      <c r="H58" s="1533"/>
      <c r="I58" s="454"/>
      <c r="J58" s="505">
        <v>3341892</v>
      </c>
      <c r="K58" s="510" t="s">
        <v>139</v>
      </c>
      <c r="L58" s="506" t="s">
        <v>201</v>
      </c>
      <c r="M58" s="505" t="s">
        <v>202</v>
      </c>
      <c r="N58" s="505"/>
      <c r="O58" s="508"/>
      <c r="P58" s="509"/>
      <c r="Q58" s="525"/>
      <c r="R58" s="525"/>
      <c r="S58" s="526"/>
      <c r="T58" s="526"/>
      <c r="U58" s="526" t="s">
        <v>114</v>
      </c>
      <c r="V58" s="526"/>
      <c r="W58" s="526"/>
      <c r="X58" s="526" t="s">
        <v>99</v>
      </c>
      <c r="Y58" s="526"/>
      <c r="Z58" s="526" t="s">
        <v>203</v>
      </c>
      <c r="AA58" s="526" t="s">
        <v>204</v>
      </c>
      <c r="AB58" s="548" t="s">
        <v>130</v>
      </c>
      <c r="AC58" s="549">
        <v>41466</v>
      </c>
      <c r="AD58" s="550" t="s">
        <v>205</v>
      </c>
      <c r="AE58" s="549">
        <v>41485</v>
      </c>
      <c r="AF58" s="549" t="s">
        <v>132</v>
      </c>
      <c r="AG58" s="590" t="s">
        <v>206</v>
      </c>
      <c r="AH58" s="591" t="s">
        <v>207</v>
      </c>
      <c r="AI58" s="505" t="s">
        <v>208</v>
      </c>
      <c r="AJ58" s="592">
        <f t="shared" si="7"/>
        <v>1</v>
      </c>
      <c r="AK58" s="307"/>
      <c r="AL58" s="307"/>
      <c r="AM58" s="307"/>
      <c r="AN58" s="307"/>
      <c r="AO58" s="307"/>
      <c r="AP58" s="307"/>
      <c r="AQ58" s="307" t="s">
        <v>121</v>
      </c>
      <c r="AR58" s="307" t="s">
        <v>121</v>
      </c>
      <c r="AS58" s="307" t="s">
        <v>121</v>
      </c>
      <c r="AT58" s="307" t="s">
        <v>121</v>
      </c>
      <c r="AU58" s="307" t="s">
        <v>121</v>
      </c>
      <c r="AV58" s="307"/>
      <c r="AW58" s="307"/>
      <c r="AX58" s="592"/>
      <c r="AY58" s="604"/>
      <c r="AZ58" s="605"/>
      <c r="BA58" s="307"/>
      <c r="BB58" s="307"/>
      <c r="BC58" s="307"/>
      <c r="BD58" s="307"/>
      <c r="BE58" s="307"/>
      <c r="BF58" s="609"/>
      <c r="BG58" s="605"/>
      <c r="BH58" s="605"/>
      <c r="BI58" s="611"/>
      <c r="BJ58" s="592">
        <v>1</v>
      </c>
      <c r="BK58" s="611"/>
      <c r="BL58" s="307"/>
      <c r="BM58" s="307"/>
      <c r="BN58" s="86"/>
      <c r="BO58" s="307"/>
      <c r="BP58" s="307"/>
      <c r="BQ58" s="307"/>
      <c r="BR58" s="86"/>
      <c r="BS58" s="609">
        <f t="shared" si="8"/>
        <v>1</v>
      </c>
    </row>
    <row r="59" spans="1:71" s="430" customFormat="1" ht="85.5" customHeight="1">
      <c r="A59" s="451" t="s">
        <v>209</v>
      </c>
      <c r="B59" s="86">
        <v>243</v>
      </c>
      <c r="C59" s="215">
        <v>689</v>
      </c>
      <c r="D59" s="215" t="s">
        <v>159</v>
      </c>
      <c r="E59" s="1531" t="s">
        <v>210</v>
      </c>
      <c r="F59" s="1532"/>
      <c r="G59" s="1532"/>
      <c r="H59" s="1533"/>
      <c r="I59" s="454"/>
      <c r="J59" s="505">
        <v>3340589</v>
      </c>
      <c r="K59" s="506" t="s">
        <v>109</v>
      </c>
      <c r="L59" s="506" t="s">
        <v>211</v>
      </c>
      <c r="M59" s="507" t="s">
        <v>111</v>
      </c>
      <c r="N59" s="505" t="s">
        <v>212</v>
      </c>
      <c r="O59" s="508" t="s">
        <v>213</v>
      </c>
      <c r="P59" s="509"/>
      <c r="Q59" s="525"/>
      <c r="R59" s="525"/>
      <c r="S59" s="526"/>
      <c r="T59" s="526" t="s">
        <v>114</v>
      </c>
      <c r="U59" s="526"/>
      <c r="V59" s="526"/>
      <c r="W59" s="526"/>
      <c r="X59" s="526" t="s">
        <v>99</v>
      </c>
      <c r="Y59" s="526"/>
      <c r="Z59" s="526"/>
      <c r="AA59" s="526"/>
      <c r="AB59" s="548" t="s">
        <v>214</v>
      </c>
      <c r="AC59" s="549">
        <v>41480</v>
      </c>
      <c r="AD59" s="550" t="s">
        <v>215</v>
      </c>
      <c r="AE59" s="551">
        <v>41535</v>
      </c>
      <c r="AF59" s="551" t="s">
        <v>117</v>
      </c>
      <c r="AG59" s="590"/>
      <c r="AH59" s="591" t="s">
        <v>216</v>
      </c>
      <c r="AI59" s="505" t="s">
        <v>120</v>
      </c>
      <c r="AJ59" s="592">
        <f t="shared" si="7"/>
        <v>3</v>
      </c>
      <c r="AK59" s="307"/>
      <c r="AL59" s="307"/>
      <c r="AM59" s="307"/>
      <c r="AN59" s="307"/>
      <c r="AO59" s="307"/>
      <c r="AP59" s="307"/>
      <c r="AQ59" s="307">
        <v>1</v>
      </c>
      <c r="AR59" s="307"/>
      <c r="AS59" s="307"/>
      <c r="AT59" s="307"/>
      <c r="AU59" s="307"/>
      <c r="AV59" s="307"/>
      <c r="AW59" s="307"/>
      <c r="AX59" s="592"/>
      <c r="AY59" s="604"/>
      <c r="AZ59" s="605"/>
      <c r="BA59" s="307"/>
      <c r="BB59" s="307"/>
      <c r="BC59" s="307"/>
      <c r="BD59" s="307"/>
      <c r="BE59" s="307"/>
      <c r="BF59" s="609"/>
      <c r="BG59" s="605"/>
      <c r="BH59" s="605"/>
      <c r="BI59" s="611"/>
      <c r="BJ59" s="592">
        <v>1</v>
      </c>
      <c r="BK59" s="611"/>
      <c r="BL59" s="307"/>
      <c r="BM59" s="307"/>
      <c r="BN59" s="86"/>
      <c r="BO59" s="307"/>
      <c r="BP59" s="307">
        <v>1</v>
      </c>
      <c r="BQ59" s="307"/>
      <c r="BR59" s="86"/>
      <c r="BS59" s="609">
        <f t="shared" si="8"/>
        <v>1</v>
      </c>
    </row>
    <row r="60" spans="1:71" s="430" customFormat="1" ht="108" customHeight="1">
      <c r="A60" s="451" t="s">
        <v>179</v>
      </c>
      <c r="B60" s="86">
        <v>93</v>
      </c>
      <c r="C60" s="215">
        <v>704</v>
      </c>
      <c r="D60" s="215"/>
      <c r="E60" s="1531" t="s">
        <v>217</v>
      </c>
      <c r="F60" s="1532"/>
      <c r="G60" s="1532"/>
      <c r="H60" s="1533"/>
      <c r="I60" s="454"/>
      <c r="J60" s="505">
        <v>3340944</v>
      </c>
      <c r="K60" s="506" t="s">
        <v>109</v>
      </c>
      <c r="L60" s="506" t="s">
        <v>218</v>
      </c>
      <c r="M60" s="505" t="s">
        <v>151</v>
      </c>
      <c r="N60" s="505"/>
      <c r="O60" s="508">
        <v>194129</v>
      </c>
      <c r="P60" s="509"/>
      <c r="Q60" s="525"/>
      <c r="R60" s="525"/>
      <c r="S60" s="526"/>
      <c r="T60" s="526" t="s">
        <v>114</v>
      </c>
      <c r="U60" s="526" t="s">
        <v>114</v>
      </c>
      <c r="V60" s="526"/>
      <c r="W60" s="526"/>
      <c r="X60" s="526" t="s">
        <v>99</v>
      </c>
      <c r="Y60" s="526"/>
      <c r="Z60" s="526"/>
      <c r="AA60" s="526"/>
      <c r="AB60" s="548" t="s">
        <v>219</v>
      </c>
      <c r="AC60" s="549">
        <v>41459</v>
      </c>
      <c r="AD60" s="731" t="s">
        <v>220</v>
      </c>
      <c r="AE60" s="551" t="s">
        <v>37</v>
      </c>
      <c r="AF60" s="551" t="s">
        <v>117</v>
      </c>
      <c r="AG60" s="590" t="s">
        <v>221</v>
      </c>
      <c r="AH60" s="591" t="s">
        <v>157</v>
      </c>
      <c r="AI60" s="505" t="s">
        <v>222</v>
      </c>
      <c r="AJ60" s="592">
        <f t="shared" si="7"/>
        <v>12</v>
      </c>
      <c r="AK60" s="307">
        <v>1</v>
      </c>
      <c r="AL60" s="307">
        <v>1</v>
      </c>
      <c r="AM60" s="307">
        <v>1</v>
      </c>
      <c r="AN60" s="307">
        <v>1</v>
      </c>
      <c r="AO60" s="307">
        <v>1</v>
      </c>
      <c r="AP60" s="307">
        <v>1</v>
      </c>
      <c r="AQ60" s="307" t="s">
        <v>121</v>
      </c>
      <c r="AR60" s="307" t="s">
        <v>121</v>
      </c>
      <c r="AS60" s="307" t="s">
        <v>121</v>
      </c>
      <c r="AT60" s="307" t="s">
        <v>121</v>
      </c>
      <c r="AU60" s="307" t="s">
        <v>121</v>
      </c>
      <c r="AV60" s="594">
        <v>1</v>
      </c>
      <c r="AW60" s="307">
        <v>1</v>
      </c>
      <c r="AX60" s="592"/>
      <c r="AY60" s="604"/>
      <c r="AZ60" s="605"/>
      <c r="BA60" s="307" t="s">
        <v>121</v>
      </c>
      <c r="BB60" s="307"/>
      <c r="BC60" s="307"/>
      <c r="BD60" s="307"/>
      <c r="BE60" s="307"/>
      <c r="BF60" s="609"/>
      <c r="BG60" s="605"/>
      <c r="BH60" s="605"/>
      <c r="BI60" s="611"/>
      <c r="BJ60" s="592">
        <v>1</v>
      </c>
      <c r="BK60" s="611">
        <v>1</v>
      </c>
      <c r="BL60" s="307"/>
      <c r="BM60" s="307"/>
      <c r="BN60" s="86">
        <v>1</v>
      </c>
      <c r="BO60" s="307" t="s">
        <v>136</v>
      </c>
      <c r="BP60" s="307">
        <v>1</v>
      </c>
      <c r="BQ60" s="307"/>
      <c r="BR60" s="86"/>
      <c r="BS60" s="609">
        <f t="shared" si="8"/>
        <v>3</v>
      </c>
    </row>
    <row r="61" spans="1:71" s="430" customFormat="1" ht="120" customHeight="1">
      <c r="A61" s="451" t="s">
        <v>106</v>
      </c>
      <c r="B61" s="86">
        <v>4</v>
      </c>
      <c r="C61" s="215">
        <v>733</v>
      </c>
      <c r="D61" s="215"/>
      <c r="E61" s="1531" t="s">
        <v>223</v>
      </c>
      <c r="F61" s="1532"/>
      <c r="G61" s="1532"/>
      <c r="H61" s="1533"/>
      <c r="I61" s="454"/>
      <c r="J61" s="505">
        <v>3340580</v>
      </c>
      <c r="K61" s="506" t="s">
        <v>109</v>
      </c>
      <c r="L61" s="506" t="s">
        <v>224</v>
      </c>
      <c r="M61" s="505" t="s">
        <v>202</v>
      </c>
      <c r="N61" s="505"/>
      <c r="O61" s="508"/>
      <c r="P61" s="509"/>
      <c r="Q61" s="525"/>
      <c r="R61" s="525"/>
      <c r="S61" s="526" t="s">
        <v>114</v>
      </c>
      <c r="T61" s="526" t="s">
        <v>114</v>
      </c>
      <c r="U61" s="526" t="s">
        <v>114</v>
      </c>
      <c r="V61" s="526"/>
      <c r="W61" s="526"/>
      <c r="X61" s="526" t="s">
        <v>99</v>
      </c>
      <c r="Y61" s="526" t="s">
        <v>40</v>
      </c>
      <c r="Z61" s="526" t="s">
        <v>225</v>
      </c>
      <c r="AA61" s="526" t="s">
        <v>226</v>
      </c>
      <c r="AB61" s="548" t="s">
        <v>227</v>
      </c>
      <c r="AC61" s="549">
        <v>41458</v>
      </c>
      <c r="AD61" s="550" t="s">
        <v>228</v>
      </c>
      <c r="AE61" s="551" t="s">
        <v>37</v>
      </c>
      <c r="AF61" s="551" t="s">
        <v>117</v>
      </c>
      <c r="AG61" s="590" t="s">
        <v>229</v>
      </c>
      <c r="AH61" s="591" t="s">
        <v>230</v>
      </c>
      <c r="AI61" s="505" t="s">
        <v>231</v>
      </c>
      <c r="AJ61" s="592">
        <f t="shared" si="7"/>
        <v>2</v>
      </c>
      <c r="AK61" s="307" t="s">
        <v>122</v>
      </c>
      <c r="AL61" s="307"/>
      <c r="AM61" s="307"/>
      <c r="AN61" s="307"/>
      <c r="AO61" s="307"/>
      <c r="AP61" s="307"/>
      <c r="AQ61" s="307" t="s">
        <v>121</v>
      </c>
      <c r="AR61" s="307" t="s">
        <v>121</v>
      </c>
      <c r="AS61" s="307" t="s">
        <v>121</v>
      </c>
      <c r="AT61" s="307" t="s">
        <v>121</v>
      </c>
      <c r="AU61" s="307" t="s">
        <v>121</v>
      </c>
      <c r="AV61" s="307"/>
      <c r="AW61" s="307">
        <v>1</v>
      </c>
      <c r="AX61" s="592"/>
      <c r="AY61" s="604"/>
      <c r="AZ61" s="605"/>
      <c r="BA61" s="594">
        <v>1</v>
      </c>
      <c r="BB61" s="307"/>
      <c r="BC61" s="307"/>
      <c r="BD61" s="307"/>
      <c r="BE61" s="307"/>
      <c r="BF61" s="609"/>
      <c r="BG61" s="605"/>
      <c r="BH61" s="605"/>
      <c r="BI61" s="611"/>
      <c r="BJ61" s="592"/>
      <c r="BK61" s="611"/>
      <c r="BL61" s="307" t="s">
        <v>121</v>
      </c>
      <c r="BM61" s="307"/>
      <c r="BN61" s="86"/>
      <c r="BO61" s="307" t="s">
        <v>136</v>
      </c>
      <c r="BP61" s="307"/>
      <c r="BQ61" s="307"/>
      <c r="BR61" s="86"/>
      <c r="BS61" s="609">
        <f t="shared" si="8"/>
        <v>0</v>
      </c>
    </row>
    <row r="62" spans="1:71" s="430" customFormat="1" ht="120" customHeight="1">
      <c r="A62" s="451" t="s">
        <v>106</v>
      </c>
      <c r="B62" s="86">
        <v>5</v>
      </c>
      <c r="C62" s="215">
        <v>734</v>
      </c>
      <c r="D62" s="215"/>
      <c r="E62" s="1531" t="s">
        <v>232</v>
      </c>
      <c r="F62" s="1532"/>
      <c r="G62" s="1532"/>
      <c r="H62" s="1533"/>
      <c r="I62" s="454"/>
      <c r="J62" s="505">
        <v>3340580</v>
      </c>
      <c r="K62" s="506" t="s">
        <v>109</v>
      </c>
      <c r="L62" s="506" t="s">
        <v>224</v>
      </c>
      <c r="M62" s="505" t="s">
        <v>202</v>
      </c>
      <c r="N62" s="505"/>
      <c r="O62" s="508"/>
      <c r="P62" s="509"/>
      <c r="Q62" s="525"/>
      <c r="R62" s="525"/>
      <c r="S62" s="526" t="s">
        <v>114</v>
      </c>
      <c r="T62" s="526" t="s">
        <v>114</v>
      </c>
      <c r="U62" s="526" t="s">
        <v>114</v>
      </c>
      <c r="V62" s="526"/>
      <c r="W62" s="526"/>
      <c r="X62" s="526" t="s">
        <v>99</v>
      </c>
      <c r="Y62" s="526"/>
      <c r="Z62" s="526" t="s">
        <v>225</v>
      </c>
      <c r="AA62" s="526" t="s">
        <v>226</v>
      </c>
      <c r="AB62" s="548" t="s">
        <v>233</v>
      </c>
      <c r="AC62" s="549">
        <v>41458</v>
      </c>
      <c r="AD62" s="550" t="s">
        <v>228</v>
      </c>
      <c r="AE62" s="549" t="s">
        <v>37</v>
      </c>
      <c r="AF62" s="551" t="s">
        <v>117</v>
      </c>
      <c r="AG62" s="590" t="s">
        <v>234</v>
      </c>
      <c r="AH62" s="591" t="s">
        <v>230</v>
      </c>
      <c r="AI62" s="505" t="s">
        <v>235</v>
      </c>
      <c r="AJ62" s="592">
        <f t="shared" si="7"/>
        <v>0</v>
      </c>
      <c r="AK62" s="307" t="s">
        <v>122</v>
      </c>
      <c r="AL62" s="307"/>
      <c r="AM62" s="307"/>
      <c r="AN62" s="307"/>
      <c r="AO62" s="307"/>
      <c r="AP62" s="307"/>
      <c r="AQ62" s="307" t="s">
        <v>121</v>
      </c>
      <c r="AR62" s="307" t="s">
        <v>121</v>
      </c>
      <c r="AS62" s="307" t="s">
        <v>121</v>
      </c>
      <c r="AT62" s="307" t="s">
        <v>121</v>
      </c>
      <c r="AU62" s="307" t="s">
        <v>121</v>
      </c>
      <c r="AV62" s="307"/>
      <c r="AW62" s="307"/>
      <c r="AX62" s="592"/>
      <c r="AY62" s="604"/>
      <c r="AZ62" s="605"/>
      <c r="BA62" s="307"/>
      <c r="BB62" s="307"/>
      <c r="BC62" s="307"/>
      <c r="BD62" s="307"/>
      <c r="BE62" s="307"/>
      <c r="BF62" s="609"/>
      <c r="BG62" s="605"/>
      <c r="BH62" s="605"/>
      <c r="BI62" s="611"/>
      <c r="BJ62" s="592"/>
      <c r="BK62" s="611"/>
      <c r="BL62" s="307"/>
      <c r="BM62" s="307"/>
      <c r="BN62" s="86"/>
      <c r="BO62" s="307"/>
      <c r="BP62" s="307"/>
      <c r="BQ62" s="307"/>
      <c r="BR62" s="86"/>
      <c r="BS62" s="609">
        <f t="shared" si="8"/>
        <v>0</v>
      </c>
    </row>
    <row r="63" spans="1:71" s="430" customFormat="1" ht="120" customHeight="1">
      <c r="A63" s="451" t="s">
        <v>187</v>
      </c>
      <c r="B63" s="86">
        <v>11</v>
      </c>
      <c r="C63" s="215">
        <v>735</v>
      </c>
      <c r="D63" s="215"/>
      <c r="E63" s="1531" t="s">
        <v>236</v>
      </c>
      <c r="F63" s="1532"/>
      <c r="G63" s="1532"/>
      <c r="H63" s="1533"/>
      <c r="I63" s="454"/>
      <c r="J63" s="505">
        <v>3340577</v>
      </c>
      <c r="K63" s="506" t="s">
        <v>109</v>
      </c>
      <c r="L63" s="506" t="s">
        <v>237</v>
      </c>
      <c r="M63" s="505" t="s">
        <v>202</v>
      </c>
      <c r="N63" s="505"/>
      <c r="O63" s="508"/>
      <c r="P63" s="509"/>
      <c r="Q63" s="525"/>
      <c r="R63" s="525"/>
      <c r="S63" s="526" t="s">
        <v>114</v>
      </c>
      <c r="T63" s="526" t="s">
        <v>114</v>
      </c>
      <c r="U63" s="526" t="s">
        <v>114</v>
      </c>
      <c r="V63" s="526"/>
      <c r="W63" s="526"/>
      <c r="X63" s="526" t="s">
        <v>99</v>
      </c>
      <c r="Y63" s="526"/>
      <c r="Z63" s="526" t="s">
        <v>238</v>
      </c>
      <c r="AA63" s="526" t="s">
        <v>239</v>
      </c>
      <c r="AB63" s="548" t="s">
        <v>233</v>
      </c>
      <c r="AC63" s="549">
        <v>41458</v>
      </c>
      <c r="AD63" s="550" t="s">
        <v>228</v>
      </c>
      <c r="AE63" s="552" t="s">
        <v>240</v>
      </c>
      <c r="AF63" s="551" t="s">
        <v>117</v>
      </c>
      <c r="AG63" s="590" t="s">
        <v>241</v>
      </c>
      <c r="AH63" s="591" t="s">
        <v>230</v>
      </c>
      <c r="AI63" s="505" t="s">
        <v>242</v>
      </c>
      <c r="AJ63" s="592">
        <f t="shared" si="7"/>
        <v>1</v>
      </c>
      <c r="AK63" s="307" t="s">
        <v>122</v>
      </c>
      <c r="AL63" s="307"/>
      <c r="AM63" s="307"/>
      <c r="AN63" s="307"/>
      <c r="AO63" s="307"/>
      <c r="AP63" s="307">
        <v>1</v>
      </c>
      <c r="AQ63" s="307" t="s">
        <v>121</v>
      </c>
      <c r="AR63" s="307" t="s">
        <v>121</v>
      </c>
      <c r="AS63" s="307" t="s">
        <v>121</v>
      </c>
      <c r="AT63" s="307" t="s">
        <v>121</v>
      </c>
      <c r="AU63" s="307" t="s">
        <v>121</v>
      </c>
      <c r="AV63" s="307" t="s">
        <v>136</v>
      </c>
      <c r="AW63" s="307" t="s">
        <v>136</v>
      </c>
      <c r="AX63" s="592"/>
      <c r="AY63" s="604"/>
      <c r="AZ63" s="605"/>
      <c r="BA63" s="307"/>
      <c r="BB63" s="307"/>
      <c r="BC63" s="307"/>
      <c r="BD63" s="307"/>
      <c r="BE63" s="307"/>
      <c r="BF63" s="609"/>
      <c r="BG63" s="605"/>
      <c r="BH63" s="605"/>
      <c r="BI63" s="611"/>
      <c r="BJ63" s="592"/>
      <c r="BK63" s="611"/>
      <c r="BL63" s="307"/>
      <c r="BM63" s="307"/>
      <c r="BN63" s="86"/>
      <c r="BO63" s="307" t="s">
        <v>136</v>
      </c>
      <c r="BP63" s="307"/>
      <c r="BQ63" s="307"/>
      <c r="BR63" s="86"/>
      <c r="BS63" s="609">
        <f t="shared" si="8"/>
        <v>0</v>
      </c>
    </row>
    <row r="64" spans="1:71" s="430" customFormat="1" ht="120" customHeight="1">
      <c r="A64" s="451" t="s">
        <v>187</v>
      </c>
      <c r="B64" s="86">
        <v>59</v>
      </c>
      <c r="C64" s="215">
        <v>736</v>
      </c>
      <c r="D64" s="215" t="s">
        <v>123</v>
      </c>
      <c r="E64" s="1531" t="s">
        <v>243</v>
      </c>
      <c r="F64" s="1532"/>
      <c r="G64" s="1532"/>
      <c r="H64" s="1533"/>
      <c r="I64" s="454"/>
      <c r="J64" s="505">
        <v>3341861</v>
      </c>
      <c r="K64" s="506" t="s">
        <v>109</v>
      </c>
      <c r="L64" s="506" t="s">
        <v>244</v>
      </c>
      <c r="M64" s="507" t="s">
        <v>111</v>
      </c>
      <c r="N64" s="507" t="s">
        <v>245</v>
      </c>
      <c r="O64" s="508" t="s">
        <v>246</v>
      </c>
      <c r="P64" s="509"/>
      <c r="Q64" s="525"/>
      <c r="R64" s="525"/>
      <c r="S64" s="526"/>
      <c r="T64" s="526" t="s">
        <v>114</v>
      </c>
      <c r="U64" s="526" t="s">
        <v>114</v>
      </c>
      <c r="V64" s="526"/>
      <c r="W64" s="526"/>
      <c r="X64" s="526" t="s">
        <v>99</v>
      </c>
      <c r="Y64" s="526" t="s">
        <v>40</v>
      </c>
      <c r="Z64" s="526" t="s">
        <v>172</v>
      </c>
      <c r="AA64" s="526" t="s">
        <v>247</v>
      </c>
      <c r="AB64" s="548" t="s">
        <v>248</v>
      </c>
      <c r="AC64" s="549">
        <v>41535</v>
      </c>
      <c r="AD64" s="550" t="s">
        <v>249</v>
      </c>
      <c r="AE64" s="551">
        <v>41517</v>
      </c>
      <c r="AF64" s="551" t="s">
        <v>117</v>
      </c>
      <c r="AG64" s="595" t="s">
        <v>250</v>
      </c>
      <c r="AH64" s="591" t="s">
        <v>251</v>
      </c>
      <c r="AI64" s="505" t="s">
        <v>252</v>
      </c>
      <c r="AJ64" s="592">
        <f t="shared" si="7"/>
        <v>5</v>
      </c>
      <c r="AK64" s="307">
        <v>1</v>
      </c>
      <c r="AL64" s="307"/>
      <c r="AM64" s="307"/>
      <c r="AN64" s="307">
        <v>1</v>
      </c>
      <c r="AO64" s="307"/>
      <c r="AP64" s="307"/>
      <c r="AQ64" s="307"/>
      <c r="AR64" s="307">
        <v>1</v>
      </c>
      <c r="AS64" s="307">
        <v>1</v>
      </c>
      <c r="AT64" s="307"/>
      <c r="AU64" s="307"/>
      <c r="AV64" s="307"/>
      <c r="AW64" s="307"/>
      <c r="AX64" s="592"/>
      <c r="AY64" s="604"/>
      <c r="AZ64" s="605"/>
      <c r="BA64" s="307">
        <v>1</v>
      </c>
      <c r="BB64" s="307"/>
      <c r="BC64" s="307"/>
      <c r="BD64" s="307"/>
      <c r="BE64" s="307"/>
      <c r="BF64" s="609"/>
      <c r="BG64" s="605"/>
      <c r="BH64" s="605"/>
      <c r="BI64" s="611"/>
      <c r="BJ64" s="592"/>
      <c r="BK64" s="611"/>
      <c r="BL64" s="307"/>
      <c r="BM64" s="307"/>
      <c r="BN64" s="86"/>
      <c r="BO64" s="307"/>
      <c r="BP64" s="307"/>
      <c r="BQ64" s="307"/>
      <c r="BR64" s="86"/>
      <c r="BS64" s="609">
        <f t="shared" si="8"/>
        <v>0</v>
      </c>
    </row>
    <row r="65" spans="1:71" s="430" customFormat="1" ht="96" customHeight="1">
      <c r="A65" s="451" t="s">
        <v>106</v>
      </c>
      <c r="B65" s="86">
        <v>66</v>
      </c>
      <c r="C65" s="215">
        <v>737</v>
      </c>
      <c r="D65" s="215"/>
      <c r="E65" s="1531" t="s">
        <v>253</v>
      </c>
      <c r="F65" s="1532"/>
      <c r="G65" s="1532"/>
      <c r="H65" s="1533"/>
      <c r="I65" s="454"/>
      <c r="J65" s="505">
        <v>3340578</v>
      </c>
      <c r="K65" s="506" t="s">
        <v>109</v>
      </c>
      <c r="L65" s="506" t="s">
        <v>254</v>
      </c>
      <c r="M65" s="505" t="s">
        <v>202</v>
      </c>
      <c r="N65" s="625">
        <v>41486</v>
      </c>
      <c r="O65" s="508"/>
      <c r="P65" s="509"/>
      <c r="Q65" s="525"/>
      <c r="R65" s="525"/>
      <c r="S65" s="526"/>
      <c r="T65" s="526" t="s">
        <v>114</v>
      </c>
      <c r="U65" s="526" t="s">
        <v>114</v>
      </c>
      <c r="V65" s="526"/>
      <c r="W65" s="526"/>
      <c r="X65" s="526" t="s">
        <v>99</v>
      </c>
      <c r="Y65" s="526" t="s">
        <v>40</v>
      </c>
      <c r="Z65" s="526" t="s">
        <v>255</v>
      </c>
      <c r="AA65" s="526" t="s">
        <v>255</v>
      </c>
      <c r="AB65" s="548" t="s">
        <v>256</v>
      </c>
      <c r="AC65" s="552">
        <v>41459</v>
      </c>
      <c r="AD65" s="550" t="s">
        <v>257</v>
      </c>
      <c r="AE65" s="552" t="s">
        <v>240</v>
      </c>
      <c r="AF65" s="551" t="s">
        <v>117</v>
      </c>
      <c r="AG65" s="590" t="s">
        <v>258</v>
      </c>
      <c r="AH65" s="591" t="s">
        <v>259</v>
      </c>
      <c r="AI65" s="505" t="s">
        <v>260</v>
      </c>
      <c r="AJ65" s="592">
        <f t="shared" si="7"/>
        <v>10</v>
      </c>
      <c r="AK65" s="307" t="s">
        <v>122</v>
      </c>
      <c r="AL65" s="594">
        <v>1</v>
      </c>
      <c r="AM65" s="594">
        <v>1</v>
      </c>
      <c r="AN65" s="594">
        <v>1</v>
      </c>
      <c r="AO65" s="307"/>
      <c r="AP65" s="307">
        <v>1</v>
      </c>
      <c r="AQ65" s="594">
        <v>1</v>
      </c>
      <c r="AR65" s="594">
        <v>1</v>
      </c>
      <c r="AS65" s="594">
        <v>1</v>
      </c>
      <c r="AT65" s="307"/>
      <c r="AU65" s="307"/>
      <c r="AV65" s="307">
        <v>1</v>
      </c>
      <c r="AW65" s="307">
        <v>1</v>
      </c>
      <c r="AX65" s="592"/>
      <c r="AY65" s="604"/>
      <c r="AZ65" s="605"/>
      <c r="BA65" s="307">
        <v>1</v>
      </c>
      <c r="BB65" s="307"/>
      <c r="BC65" s="307"/>
      <c r="BD65" s="307"/>
      <c r="BE65" s="307"/>
      <c r="BF65" s="609"/>
      <c r="BG65" s="605"/>
      <c r="BH65" s="605"/>
      <c r="BI65" s="611"/>
      <c r="BJ65" s="592"/>
      <c r="BK65" s="611"/>
      <c r="BL65" s="307"/>
      <c r="BM65" s="307"/>
      <c r="BN65" s="86"/>
      <c r="BO65" s="307" t="s">
        <v>136</v>
      </c>
      <c r="BP65" s="307"/>
      <c r="BQ65" s="307"/>
      <c r="BR65" s="86"/>
      <c r="BS65" s="609">
        <f t="shared" si="8"/>
        <v>0</v>
      </c>
    </row>
    <row r="66" spans="1:71" s="430" customFormat="1" ht="96" customHeight="1">
      <c r="A66" s="451" t="s">
        <v>106</v>
      </c>
      <c r="B66" s="86">
        <v>75</v>
      </c>
      <c r="C66" s="215">
        <v>738</v>
      </c>
      <c r="D66" s="215"/>
      <c r="E66" s="1531" t="s">
        <v>261</v>
      </c>
      <c r="F66" s="1532"/>
      <c r="G66" s="1532"/>
      <c r="H66" s="1533"/>
      <c r="I66" s="454"/>
      <c r="J66" s="626">
        <v>3340575</v>
      </c>
      <c r="K66" s="506" t="s">
        <v>109</v>
      </c>
      <c r="L66" s="506" t="s">
        <v>262</v>
      </c>
      <c r="M66" s="505" t="s">
        <v>202</v>
      </c>
      <c r="N66" s="505"/>
      <c r="O66" s="508" t="s">
        <v>263</v>
      </c>
      <c r="P66" s="509"/>
      <c r="Q66" s="525"/>
      <c r="R66" s="525"/>
      <c r="S66" s="526" t="s">
        <v>114</v>
      </c>
      <c r="T66" s="526"/>
      <c r="U66" s="526"/>
      <c r="V66" s="526"/>
      <c r="W66" s="526"/>
      <c r="X66" s="526" t="s">
        <v>99</v>
      </c>
      <c r="Y66" s="526"/>
      <c r="Z66" s="526" t="s">
        <v>264</v>
      </c>
      <c r="AA66" s="526" t="s">
        <v>264</v>
      </c>
      <c r="AB66" s="548" t="s">
        <v>265</v>
      </c>
      <c r="AC66" s="552">
        <v>41459</v>
      </c>
      <c r="AD66" s="550" t="s">
        <v>266</v>
      </c>
      <c r="AE66" s="551" t="s">
        <v>37</v>
      </c>
      <c r="AF66" s="551" t="s">
        <v>117</v>
      </c>
      <c r="AG66" s="590" t="s">
        <v>258</v>
      </c>
      <c r="AH66" s="591" t="s">
        <v>157</v>
      </c>
      <c r="AI66" s="505" t="s">
        <v>267</v>
      </c>
      <c r="AJ66" s="592">
        <f t="shared" si="7"/>
        <v>3</v>
      </c>
      <c r="AK66" s="307" t="s">
        <v>122</v>
      </c>
      <c r="AL66" s="307"/>
      <c r="AM66" s="594">
        <v>1</v>
      </c>
      <c r="AN66" s="594">
        <v>1</v>
      </c>
      <c r="AO66" s="307"/>
      <c r="AP66" s="307"/>
      <c r="AQ66" s="307"/>
      <c r="AR66" s="307"/>
      <c r="AS66" s="594">
        <v>1</v>
      </c>
      <c r="AT66" s="307"/>
      <c r="AU66" s="307"/>
      <c r="AV66" s="307"/>
      <c r="AW66" s="307"/>
      <c r="AX66" s="592"/>
      <c r="AY66" s="604"/>
      <c r="AZ66" s="605"/>
      <c r="BA66" s="307"/>
      <c r="BB66" s="307"/>
      <c r="BC66" s="307"/>
      <c r="BD66" s="307"/>
      <c r="BE66" s="307"/>
      <c r="BF66" s="609"/>
      <c r="BG66" s="605"/>
      <c r="BH66" s="605"/>
      <c r="BI66" s="611"/>
      <c r="BJ66" s="592"/>
      <c r="BK66" s="611"/>
      <c r="BL66" s="307"/>
      <c r="BM66" s="307"/>
      <c r="BN66" s="86"/>
      <c r="BO66" s="307"/>
      <c r="BP66" s="307"/>
      <c r="BQ66" s="307"/>
      <c r="BR66" s="86"/>
      <c r="BS66" s="609">
        <f t="shared" si="8"/>
        <v>0</v>
      </c>
    </row>
    <row r="67" spans="1:71" s="430" customFormat="1" ht="108" customHeight="1">
      <c r="A67" s="451" t="s">
        <v>268</v>
      </c>
      <c r="B67" s="86">
        <v>115</v>
      </c>
      <c r="C67" s="215">
        <v>739</v>
      </c>
      <c r="D67" s="215"/>
      <c r="E67" s="1531" t="s">
        <v>269</v>
      </c>
      <c r="F67" s="1532"/>
      <c r="G67" s="1532"/>
      <c r="H67" s="1533"/>
      <c r="I67" s="454"/>
      <c r="J67" s="505">
        <v>3340849</v>
      </c>
      <c r="K67" s="506" t="s">
        <v>109</v>
      </c>
      <c r="L67" s="506" t="s">
        <v>270</v>
      </c>
      <c r="M67" s="505" t="s">
        <v>202</v>
      </c>
      <c r="N67" s="505"/>
      <c r="O67" s="508"/>
      <c r="P67" s="509"/>
      <c r="Q67" s="525"/>
      <c r="R67" s="525"/>
      <c r="S67" s="526"/>
      <c r="T67" s="526" t="s">
        <v>114</v>
      </c>
      <c r="U67" s="526" t="s">
        <v>114</v>
      </c>
      <c r="V67" s="526"/>
      <c r="W67" s="526"/>
      <c r="X67" s="526" t="s">
        <v>99</v>
      </c>
      <c r="Y67" s="526"/>
      <c r="Z67" s="526" t="s">
        <v>271</v>
      </c>
      <c r="AA67" s="526" t="s">
        <v>239</v>
      </c>
      <c r="AB67" s="548" t="s">
        <v>272</v>
      </c>
      <c r="AC67" s="549">
        <v>41464</v>
      </c>
      <c r="AD67" s="550" t="s">
        <v>273</v>
      </c>
      <c r="AE67" s="551" t="s">
        <v>31</v>
      </c>
      <c r="AF67" s="551" t="s">
        <v>117</v>
      </c>
      <c r="AG67" s="590" t="s">
        <v>274</v>
      </c>
      <c r="AH67" s="591" t="s">
        <v>275</v>
      </c>
      <c r="AI67" s="505" t="s">
        <v>276</v>
      </c>
      <c r="AJ67" s="592">
        <f t="shared" si="7"/>
        <v>2</v>
      </c>
      <c r="AK67" s="307">
        <v>1</v>
      </c>
      <c r="AL67" s="307"/>
      <c r="AM67" s="307"/>
      <c r="AN67" s="307"/>
      <c r="AO67" s="307">
        <v>1</v>
      </c>
      <c r="AP67" s="307"/>
      <c r="AQ67" s="307" t="s">
        <v>121</v>
      </c>
      <c r="AR67" s="307" t="s">
        <v>121</v>
      </c>
      <c r="AS67" s="307" t="s">
        <v>121</v>
      </c>
      <c r="AT67" s="307" t="s">
        <v>121</v>
      </c>
      <c r="AU67" s="307" t="s">
        <v>121</v>
      </c>
      <c r="AV67" s="307"/>
      <c r="AW67" s="307"/>
      <c r="AX67" s="592"/>
      <c r="AY67" s="604"/>
      <c r="AZ67" s="605"/>
      <c r="BA67" s="307"/>
      <c r="BB67" s="307"/>
      <c r="BC67" s="307"/>
      <c r="BD67" s="307"/>
      <c r="BE67" s="307"/>
      <c r="BF67" s="609"/>
      <c r="BG67" s="605"/>
      <c r="BH67" s="605"/>
      <c r="BI67" s="611"/>
      <c r="BJ67" s="592"/>
      <c r="BK67" s="611"/>
      <c r="BL67" s="307"/>
      <c r="BM67" s="307"/>
      <c r="BN67" s="86"/>
      <c r="BO67" s="307" t="s">
        <v>136</v>
      </c>
      <c r="BP67" s="307"/>
      <c r="BQ67" s="307"/>
      <c r="BR67" s="86"/>
      <c r="BS67" s="609">
        <f t="shared" si="8"/>
        <v>0</v>
      </c>
    </row>
    <row r="68" spans="1:71" s="430" customFormat="1" ht="81" customHeight="1">
      <c r="A68" s="451" t="s">
        <v>148</v>
      </c>
      <c r="B68" s="86">
        <v>244</v>
      </c>
      <c r="C68" s="215">
        <v>740</v>
      </c>
      <c r="D68" s="215" t="s">
        <v>159</v>
      </c>
      <c r="E68" s="1531" t="s">
        <v>277</v>
      </c>
      <c r="F68" s="1532"/>
      <c r="G68" s="1532"/>
      <c r="H68" s="1533"/>
      <c r="I68" s="454"/>
      <c r="J68" s="627">
        <v>3340574</v>
      </c>
      <c r="K68" s="506" t="s">
        <v>109</v>
      </c>
      <c r="L68" s="506" t="s">
        <v>278</v>
      </c>
      <c r="M68" s="507" t="s">
        <v>111</v>
      </c>
      <c r="N68" s="507" t="s">
        <v>279</v>
      </c>
      <c r="O68" s="508" t="s">
        <v>280</v>
      </c>
      <c r="P68" s="509"/>
      <c r="Q68" s="525"/>
      <c r="R68" s="525"/>
      <c r="S68" s="526"/>
      <c r="T68" s="526" t="s">
        <v>114</v>
      </c>
      <c r="U68" s="526" t="s">
        <v>114</v>
      </c>
      <c r="V68" s="526"/>
      <c r="W68" s="526"/>
      <c r="X68" s="526" t="s">
        <v>99</v>
      </c>
      <c r="Y68" s="526"/>
      <c r="Z68" s="640" t="s">
        <v>281</v>
      </c>
      <c r="AA68" s="640" t="s">
        <v>282</v>
      </c>
      <c r="AB68" s="548" t="s">
        <v>283</v>
      </c>
      <c r="AC68" s="549">
        <v>41467</v>
      </c>
      <c r="AD68" s="550" t="s">
        <v>284</v>
      </c>
      <c r="AE68" s="551">
        <v>41523</v>
      </c>
      <c r="AF68" s="551" t="s">
        <v>117</v>
      </c>
      <c r="AG68" s="590" t="s">
        <v>285</v>
      </c>
      <c r="AH68" s="591" t="s">
        <v>286</v>
      </c>
      <c r="AI68" s="505" t="s">
        <v>287</v>
      </c>
      <c r="AJ68" s="592">
        <f t="shared" si="7"/>
        <v>2</v>
      </c>
      <c r="AK68" s="307">
        <v>1</v>
      </c>
      <c r="AL68" s="307"/>
      <c r="AM68" s="307"/>
      <c r="AN68" s="307">
        <v>1</v>
      </c>
      <c r="AO68" s="307"/>
      <c r="AP68" s="307"/>
      <c r="AQ68" s="307"/>
      <c r="AR68" s="307"/>
      <c r="AS68" s="307" t="s">
        <v>121</v>
      </c>
      <c r="AT68" s="307" t="s">
        <v>121</v>
      </c>
      <c r="AU68" s="307" t="s">
        <v>121</v>
      </c>
      <c r="AV68" s="307"/>
      <c r="AW68" s="307"/>
      <c r="AX68" s="592"/>
      <c r="AY68" s="604"/>
      <c r="AZ68" s="605"/>
      <c r="BA68" s="307"/>
      <c r="BB68" s="307"/>
      <c r="BC68" s="307"/>
      <c r="BD68" s="307"/>
      <c r="BE68" s="307"/>
      <c r="BF68" s="609"/>
      <c r="BG68" s="605"/>
      <c r="BH68" s="605"/>
      <c r="BI68" s="611"/>
      <c r="BJ68" s="592"/>
      <c r="BK68" s="611"/>
      <c r="BL68" s="307"/>
      <c r="BM68" s="307"/>
      <c r="BN68" s="86"/>
      <c r="BO68" s="307"/>
      <c r="BP68" s="307"/>
      <c r="BQ68" s="307"/>
      <c r="BR68" s="86"/>
      <c r="BS68" s="609">
        <f t="shared" si="8"/>
        <v>0</v>
      </c>
    </row>
    <row r="69" spans="1:71" s="430" customFormat="1" ht="108" customHeight="1">
      <c r="A69" s="451" t="s">
        <v>106</v>
      </c>
      <c r="B69" s="86">
        <v>245</v>
      </c>
      <c r="C69" s="215">
        <v>741</v>
      </c>
      <c r="D69" s="215"/>
      <c r="E69" s="1531" t="s">
        <v>288</v>
      </c>
      <c r="F69" s="1532"/>
      <c r="G69" s="1532"/>
      <c r="H69" s="1533"/>
      <c r="I69" s="454"/>
      <c r="J69" s="627">
        <v>3340573</v>
      </c>
      <c r="K69" s="506" t="s">
        <v>109</v>
      </c>
      <c r="L69" s="506" t="s">
        <v>289</v>
      </c>
      <c r="M69" s="505" t="s">
        <v>202</v>
      </c>
      <c r="N69" s="625">
        <v>41486</v>
      </c>
      <c r="O69" s="508" t="s">
        <v>263</v>
      </c>
      <c r="P69" s="509"/>
      <c r="Q69" s="525"/>
      <c r="R69" s="525"/>
      <c r="S69" s="526"/>
      <c r="T69" s="526" t="s">
        <v>114</v>
      </c>
      <c r="U69" s="526" t="s">
        <v>114</v>
      </c>
      <c r="V69" s="526"/>
      <c r="W69" s="526"/>
      <c r="X69" s="526" t="s">
        <v>99</v>
      </c>
      <c r="Y69" s="526"/>
      <c r="Z69" s="526" t="s">
        <v>290</v>
      </c>
      <c r="AA69" s="526" t="s">
        <v>290</v>
      </c>
      <c r="AB69" s="548" t="s">
        <v>291</v>
      </c>
      <c r="AC69" s="552">
        <v>41459</v>
      </c>
      <c r="AD69" s="550" t="s">
        <v>292</v>
      </c>
      <c r="AE69" s="551" t="s">
        <v>37</v>
      </c>
      <c r="AF69" s="551" t="s">
        <v>117</v>
      </c>
      <c r="AG69" s="590" t="s">
        <v>258</v>
      </c>
      <c r="AH69" s="591" t="s">
        <v>293</v>
      </c>
      <c r="AI69" s="646" t="s">
        <v>260</v>
      </c>
      <c r="AJ69" s="592">
        <f t="shared" si="7"/>
        <v>7</v>
      </c>
      <c r="AK69" s="594">
        <v>1</v>
      </c>
      <c r="AL69" s="307"/>
      <c r="AM69" s="594">
        <v>1</v>
      </c>
      <c r="AN69" s="594">
        <v>1</v>
      </c>
      <c r="AO69" s="594">
        <v>1</v>
      </c>
      <c r="AP69" s="307">
        <v>1</v>
      </c>
      <c r="AQ69" s="307"/>
      <c r="AR69" s="594">
        <v>1</v>
      </c>
      <c r="AS69" s="307"/>
      <c r="AT69" s="594">
        <v>1</v>
      </c>
      <c r="AU69" s="307"/>
      <c r="AV69" s="307" t="s">
        <v>136</v>
      </c>
      <c r="AW69" s="307" t="s">
        <v>136</v>
      </c>
      <c r="AX69" s="592"/>
      <c r="AY69" s="604"/>
      <c r="AZ69" s="605"/>
      <c r="BA69" s="307"/>
      <c r="BB69" s="307"/>
      <c r="BC69" s="307"/>
      <c r="BD69" s="307"/>
      <c r="BE69" s="307"/>
      <c r="BF69" s="609"/>
      <c r="BG69" s="605"/>
      <c r="BH69" s="605"/>
      <c r="BI69" s="611"/>
      <c r="BJ69" s="592"/>
      <c r="BK69" s="611"/>
      <c r="BL69" s="307"/>
      <c r="BM69" s="307"/>
      <c r="BN69" s="86"/>
      <c r="BO69" s="307" t="s">
        <v>136</v>
      </c>
      <c r="BP69" s="307"/>
      <c r="BQ69" s="307"/>
      <c r="BR69" s="86"/>
      <c r="BS69" s="609">
        <f t="shared" si="8"/>
        <v>0</v>
      </c>
    </row>
    <row r="70" spans="1:71" s="430" customFormat="1" ht="87" customHeight="1">
      <c r="A70" s="451" t="s">
        <v>187</v>
      </c>
      <c r="B70" s="86">
        <v>6</v>
      </c>
      <c r="C70" s="215">
        <v>770</v>
      </c>
      <c r="D70" s="215"/>
      <c r="E70" s="1531" t="s">
        <v>294</v>
      </c>
      <c r="F70" s="1532"/>
      <c r="G70" s="1532"/>
      <c r="H70" s="1533"/>
      <c r="I70" s="454"/>
      <c r="J70" s="505">
        <v>3341321</v>
      </c>
      <c r="K70" s="506" t="s">
        <v>109</v>
      </c>
      <c r="L70" s="506" t="s">
        <v>295</v>
      </c>
      <c r="M70" s="505" t="s">
        <v>151</v>
      </c>
      <c r="N70" s="505" t="s">
        <v>296</v>
      </c>
      <c r="O70" s="508">
        <v>194090</v>
      </c>
      <c r="P70" s="509"/>
      <c r="Q70" s="525"/>
      <c r="R70" s="525"/>
      <c r="S70" s="526"/>
      <c r="T70" s="526" t="s">
        <v>114</v>
      </c>
      <c r="U70" s="526" t="s">
        <v>114</v>
      </c>
      <c r="V70" s="526"/>
      <c r="W70" s="526"/>
      <c r="X70" s="526" t="s">
        <v>99</v>
      </c>
      <c r="Y70" s="526"/>
      <c r="Z70" s="526"/>
      <c r="AA70" s="526"/>
      <c r="AB70" s="548" t="s">
        <v>297</v>
      </c>
      <c r="AC70" s="549">
        <v>41480</v>
      </c>
      <c r="AD70" s="550" t="s">
        <v>298</v>
      </c>
      <c r="AE70" s="549">
        <v>41481</v>
      </c>
      <c r="AF70" s="549" t="s">
        <v>132</v>
      </c>
      <c r="AG70" s="590" t="s">
        <v>299</v>
      </c>
      <c r="AH70" s="591" t="s">
        <v>300</v>
      </c>
      <c r="AI70" s="505" t="s">
        <v>301</v>
      </c>
      <c r="AJ70" s="592">
        <f t="shared" si="7"/>
        <v>2</v>
      </c>
      <c r="AK70" s="307">
        <v>1</v>
      </c>
      <c r="AL70" s="307"/>
      <c r="AM70" s="307"/>
      <c r="AN70" s="307">
        <v>1</v>
      </c>
      <c r="AO70" s="307"/>
      <c r="AP70" s="307"/>
      <c r="AQ70" s="307"/>
      <c r="AR70" s="307" t="s">
        <v>121</v>
      </c>
      <c r="AS70" s="307" t="s">
        <v>121</v>
      </c>
      <c r="AT70" s="307" t="s">
        <v>121</v>
      </c>
      <c r="AU70" s="307" t="s">
        <v>121</v>
      </c>
      <c r="AV70" s="307"/>
      <c r="AW70" s="307"/>
      <c r="AX70" s="592"/>
      <c r="AY70" s="604"/>
      <c r="AZ70" s="605"/>
      <c r="BA70" s="307"/>
      <c r="BB70" s="307"/>
      <c r="BC70" s="307"/>
      <c r="BD70" s="307"/>
      <c r="BE70" s="307"/>
      <c r="BF70" s="609"/>
      <c r="BG70" s="605"/>
      <c r="BH70" s="605"/>
      <c r="BI70" s="611"/>
      <c r="BJ70" s="592"/>
      <c r="BK70" s="611"/>
      <c r="BL70" s="307"/>
      <c r="BM70" s="307"/>
      <c r="BN70" s="86"/>
      <c r="BO70" s="307"/>
      <c r="BP70" s="307"/>
      <c r="BQ70" s="307"/>
      <c r="BR70" s="86"/>
      <c r="BS70" s="609">
        <f t="shared" si="8"/>
        <v>0</v>
      </c>
    </row>
    <row r="71" spans="1:71" s="430" customFormat="1" ht="106.5" customHeight="1">
      <c r="A71" s="451" t="s">
        <v>137</v>
      </c>
      <c r="B71" s="86">
        <v>82</v>
      </c>
      <c r="C71" s="215">
        <v>767</v>
      </c>
      <c r="D71" s="215"/>
      <c r="E71" s="1531" t="s">
        <v>302</v>
      </c>
      <c r="F71" s="1532"/>
      <c r="G71" s="1532"/>
      <c r="H71" s="1533"/>
      <c r="I71" s="454"/>
      <c r="J71" s="505">
        <v>3340954</v>
      </c>
      <c r="K71" s="506" t="s">
        <v>303</v>
      </c>
      <c r="L71" s="506" t="s">
        <v>304</v>
      </c>
      <c r="M71" s="507" t="s">
        <v>111</v>
      </c>
      <c r="N71" s="628" t="s">
        <v>305</v>
      </c>
      <c r="O71" s="508" t="s">
        <v>306</v>
      </c>
      <c r="P71" s="509"/>
      <c r="Q71" s="525"/>
      <c r="R71" s="525"/>
      <c r="S71" s="526"/>
      <c r="T71" s="526" t="s">
        <v>114</v>
      </c>
      <c r="U71" s="526" t="s">
        <v>114</v>
      </c>
      <c r="V71" s="526"/>
      <c r="W71" s="526"/>
      <c r="X71" s="526" t="s">
        <v>99</v>
      </c>
      <c r="Y71" s="526"/>
      <c r="Z71" s="526"/>
      <c r="AA71" s="526"/>
      <c r="AB71" s="548" t="s">
        <v>307</v>
      </c>
      <c r="AC71" s="549">
        <v>41501</v>
      </c>
      <c r="AD71" s="550" t="s">
        <v>308</v>
      </c>
      <c r="AE71" s="551" t="s">
        <v>37</v>
      </c>
      <c r="AF71" s="551" t="s">
        <v>117</v>
      </c>
      <c r="AG71" s="590" t="s">
        <v>309</v>
      </c>
      <c r="AH71" s="591" t="s">
        <v>310</v>
      </c>
      <c r="AI71" s="505" t="s">
        <v>311</v>
      </c>
      <c r="AJ71" s="592">
        <f t="shared" si="7"/>
        <v>7</v>
      </c>
      <c r="AK71" s="307"/>
      <c r="AL71" s="307">
        <v>1</v>
      </c>
      <c r="AM71" s="307"/>
      <c r="AN71" s="307"/>
      <c r="AO71" s="307"/>
      <c r="AP71" s="307"/>
      <c r="AQ71" s="307"/>
      <c r="AR71" s="307"/>
      <c r="AS71" s="307"/>
      <c r="AT71" s="307"/>
      <c r="AU71" s="307">
        <v>1</v>
      </c>
      <c r="AV71" s="307" t="s">
        <v>136</v>
      </c>
      <c r="AW71" s="307" t="s">
        <v>136</v>
      </c>
      <c r="AX71" s="592"/>
      <c r="AY71" s="604"/>
      <c r="AZ71" s="605"/>
      <c r="BA71" s="307"/>
      <c r="BB71" s="307"/>
      <c r="BC71" s="307"/>
      <c r="BD71" s="307"/>
      <c r="BE71" s="307"/>
      <c r="BF71" s="609"/>
      <c r="BG71" s="605"/>
      <c r="BH71" s="605"/>
      <c r="BI71" s="611"/>
      <c r="BJ71" s="592"/>
      <c r="BK71" s="611">
        <v>1</v>
      </c>
      <c r="BL71" s="307">
        <v>1</v>
      </c>
      <c r="BM71" s="307">
        <v>1</v>
      </c>
      <c r="BN71" s="86">
        <v>1</v>
      </c>
      <c r="BO71" s="307" t="s">
        <v>136</v>
      </c>
      <c r="BP71" s="307"/>
      <c r="BQ71" s="307">
        <v>1</v>
      </c>
      <c r="BR71" s="86"/>
      <c r="BS71" s="609">
        <f t="shared" si="8"/>
        <v>4</v>
      </c>
    </row>
    <row r="72" spans="1:71" s="430" customFormat="1" ht="36" customHeight="1">
      <c r="A72" s="451">
        <v>5</v>
      </c>
      <c r="B72" s="86">
        <v>114</v>
      </c>
      <c r="C72" s="215">
        <v>768</v>
      </c>
      <c r="D72" s="215"/>
      <c r="E72" s="1531" t="s">
        <v>312</v>
      </c>
      <c r="F72" s="1532"/>
      <c r="G72" s="1532"/>
      <c r="H72" s="1533"/>
      <c r="I72" s="454"/>
      <c r="J72" s="505">
        <v>3340956</v>
      </c>
      <c r="K72" s="506" t="s">
        <v>109</v>
      </c>
      <c r="L72" s="506" t="s">
        <v>313</v>
      </c>
      <c r="M72" s="507" t="s">
        <v>111</v>
      </c>
      <c r="N72" s="507" t="s">
        <v>314</v>
      </c>
      <c r="O72" s="508" t="s">
        <v>315</v>
      </c>
      <c r="P72" s="509"/>
      <c r="Q72" s="525"/>
      <c r="R72" s="525"/>
      <c r="S72" s="526"/>
      <c r="T72" s="526" t="s">
        <v>114</v>
      </c>
      <c r="U72" s="526" t="s">
        <v>114</v>
      </c>
      <c r="V72" s="526"/>
      <c r="W72" s="526"/>
      <c r="X72" s="526" t="s">
        <v>99</v>
      </c>
      <c r="Y72" s="526"/>
      <c r="Z72" s="526"/>
      <c r="AA72" s="526"/>
      <c r="AB72" s="548" t="s">
        <v>316</v>
      </c>
      <c r="AC72" s="549">
        <v>41446</v>
      </c>
      <c r="AD72" s="550" t="s">
        <v>317</v>
      </c>
      <c r="AE72" s="549">
        <v>41523</v>
      </c>
      <c r="AF72" s="551" t="s">
        <v>117</v>
      </c>
      <c r="AG72" s="590" t="s">
        <v>318</v>
      </c>
      <c r="AH72" s="591" t="s">
        <v>319</v>
      </c>
      <c r="AI72" s="505" t="s">
        <v>168</v>
      </c>
      <c r="AJ72" s="592">
        <f t="shared" si="7"/>
        <v>1</v>
      </c>
      <c r="AK72" s="307"/>
      <c r="AL72" s="307" t="s">
        <v>121</v>
      </c>
      <c r="AM72" s="307" t="s">
        <v>121</v>
      </c>
      <c r="AN72" s="307" t="s">
        <v>121</v>
      </c>
      <c r="AO72" s="307" t="s">
        <v>121</v>
      </c>
      <c r="AP72" s="307"/>
      <c r="AQ72" s="307" t="s">
        <v>121</v>
      </c>
      <c r="AR72" s="307" t="s">
        <v>121</v>
      </c>
      <c r="AS72" s="307" t="s">
        <v>121</v>
      </c>
      <c r="AT72" s="307" t="s">
        <v>121</v>
      </c>
      <c r="AU72" s="307" t="s">
        <v>121</v>
      </c>
      <c r="AV72" s="307"/>
      <c r="AW72" s="307"/>
      <c r="AX72" s="592"/>
      <c r="AY72" s="604"/>
      <c r="AZ72" s="605"/>
      <c r="BA72" s="307"/>
      <c r="BB72" s="307"/>
      <c r="BC72" s="307"/>
      <c r="BD72" s="307"/>
      <c r="BE72" s="307"/>
      <c r="BF72" s="609"/>
      <c r="BG72" s="605"/>
      <c r="BH72" s="605"/>
      <c r="BI72" s="611"/>
      <c r="BJ72" s="592"/>
      <c r="BK72" s="611">
        <v>1</v>
      </c>
      <c r="BL72" s="307" t="s">
        <v>121</v>
      </c>
      <c r="BM72" s="307" t="s">
        <v>121</v>
      </c>
      <c r="BN72" s="307" t="s">
        <v>121</v>
      </c>
      <c r="BO72" s="307"/>
      <c r="BP72" s="307"/>
      <c r="BQ72" s="307"/>
      <c r="BR72" s="86"/>
      <c r="BS72" s="609">
        <f t="shared" si="8"/>
        <v>1</v>
      </c>
    </row>
    <row r="73" spans="1:71" s="430" customFormat="1" ht="120" customHeight="1">
      <c r="A73" s="451" t="s">
        <v>268</v>
      </c>
      <c r="B73" s="86">
        <v>144</v>
      </c>
      <c r="C73" s="215">
        <v>771</v>
      </c>
      <c r="D73" s="215" t="s">
        <v>123</v>
      </c>
      <c r="E73" s="1531" t="s">
        <v>320</v>
      </c>
      <c r="F73" s="1532"/>
      <c r="G73" s="1532"/>
      <c r="H73" s="1533"/>
      <c r="I73" s="454"/>
      <c r="J73" s="629">
        <v>3341625</v>
      </c>
      <c r="K73" s="506" t="s">
        <v>109</v>
      </c>
      <c r="L73" s="506" t="s">
        <v>321</v>
      </c>
      <c r="M73" s="507" t="s">
        <v>111</v>
      </c>
      <c r="N73" s="507" t="s">
        <v>322</v>
      </c>
      <c r="O73" s="508" t="s">
        <v>323</v>
      </c>
      <c r="P73" s="509"/>
      <c r="Q73" s="525"/>
      <c r="R73" s="525"/>
      <c r="S73" s="526" t="s">
        <v>114</v>
      </c>
      <c r="T73" s="526"/>
      <c r="U73" s="526"/>
      <c r="V73" s="526"/>
      <c r="W73" s="526"/>
      <c r="X73" s="526" t="s">
        <v>99</v>
      </c>
      <c r="Y73" s="526"/>
      <c r="Z73" s="526" t="s">
        <v>324</v>
      </c>
      <c r="AA73" s="526" t="s">
        <v>325</v>
      </c>
      <c r="AB73" s="548" t="s">
        <v>326</v>
      </c>
      <c r="AC73" s="551" t="s">
        <v>31</v>
      </c>
      <c r="AD73" s="550" t="s">
        <v>327</v>
      </c>
      <c r="AE73" s="552" t="s">
        <v>240</v>
      </c>
      <c r="AF73" s="551" t="s">
        <v>117</v>
      </c>
      <c r="AG73" s="590" t="s">
        <v>328</v>
      </c>
      <c r="AH73" s="591" t="s">
        <v>329</v>
      </c>
      <c r="AI73" s="505" t="s">
        <v>330</v>
      </c>
      <c r="AJ73" s="592">
        <f t="shared" si="7"/>
        <v>4</v>
      </c>
      <c r="AK73" s="594">
        <v>1</v>
      </c>
      <c r="AL73" s="307"/>
      <c r="AM73" s="307"/>
      <c r="AN73" s="594">
        <v>1</v>
      </c>
      <c r="AO73" s="594">
        <v>1</v>
      </c>
      <c r="AP73" s="594">
        <v>1</v>
      </c>
      <c r="AQ73" s="307"/>
      <c r="AR73" s="307"/>
      <c r="AS73" s="307"/>
      <c r="AT73" s="307"/>
      <c r="AU73" s="307"/>
      <c r="AV73" s="307" t="s">
        <v>136</v>
      </c>
      <c r="AW73" s="307" t="s">
        <v>136</v>
      </c>
      <c r="AX73" s="592"/>
      <c r="AY73" s="604"/>
      <c r="AZ73" s="605"/>
      <c r="BA73" s="307"/>
      <c r="BB73" s="307"/>
      <c r="BC73" s="307"/>
      <c r="BD73" s="307"/>
      <c r="BE73" s="307"/>
      <c r="BF73" s="609"/>
      <c r="BG73" s="605"/>
      <c r="BH73" s="605"/>
      <c r="BI73" s="611"/>
      <c r="BJ73" s="592"/>
      <c r="BK73" s="611"/>
      <c r="BL73" s="307"/>
      <c r="BM73" s="307"/>
      <c r="BN73" s="86"/>
      <c r="BO73" s="307" t="s">
        <v>136</v>
      </c>
      <c r="BP73" s="307"/>
      <c r="BQ73" s="307"/>
      <c r="BR73" s="86"/>
      <c r="BS73" s="609">
        <f t="shared" si="8"/>
        <v>0</v>
      </c>
    </row>
    <row r="74" spans="1:71" s="430" customFormat="1" ht="87" customHeight="1">
      <c r="A74" s="451" t="s">
        <v>148</v>
      </c>
      <c r="B74" s="86">
        <v>166</v>
      </c>
      <c r="C74" s="215">
        <v>795</v>
      </c>
      <c r="D74" s="215" t="s">
        <v>123</v>
      </c>
      <c r="E74" s="1531" t="s">
        <v>331</v>
      </c>
      <c r="F74" s="1532"/>
      <c r="G74" s="1532"/>
      <c r="H74" s="1533"/>
      <c r="I74" s="454"/>
      <c r="J74" s="627">
        <v>3339217</v>
      </c>
      <c r="K74" s="506" t="s">
        <v>109</v>
      </c>
      <c r="L74" s="506" t="s">
        <v>332</v>
      </c>
      <c r="M74" s="507" t="s">
        <v>111</v>
      </c>
      <c r="N74" s="507" t="s">
        <v>333</v>
      </c>
      <c r="O74" s="508" t="s">
        <v>334</v>
      </c>
      <c r="P74" s="508" t="e">
        <v>#N/A</v>
      </c>
      <c r="Q74" s="525"/>
      <c r="R74" s="508"/>
      <c r="S74" s="508"/>
      <c r="T74" s="526" t="s">
        <v>114</v>
      </c>
      <c r="U74" s="526" t="s">
        <v>114</v>
      </c>
      <c r="V74" s="526"/>
      <c r="W74" s="526"/>
      <c r="X74" s="526" t="s">
        <v>99</v>
      </c>
      <c r="Y74" s="526"/>
      <c r="Z74" s="526"/>
      <c r="AA74" s="526"/>
      <c r="AB74" s="548" t="s">
        <v>335</v>
      </c>
      <c r="AC74" s="549">
        <v>41456</v>
      </c>
      <c r="AD74" s="550" t="s">
        <v>336</v>
      </c>
      <c r="AE74" s="551">
        <v>41495</v>
      </c>
      <c r="AF74" s="549" t="s">
        <v>132</v>
      </c>
      <c r="AG74" s="590" t="s">
        <v>337</v>
      </c>
      <c r="AH74" s="591" t="s">
        <v>338</v>
      </c>
      <c r="AI74" s="505" t="s">
        <v>339</v>
      </c>
      <c r="AJ74" s="592">
        <f t="shared" si="7"/>
        <v>3</v>
      </c>
      <c r="AK74" s="307"/>
      <c r="AL74" s="307"/>
      <c r="AM74" s="307"/>
      <c r="AN74" s="307"/>
      <c r="AO74" s="307">
        <v>1</v>
      </c>
      <c r="AP74" s="307"/>
      <c r="AQ74" s="307"/>
      <c r="AR74" s="307" t="s">
        <v>121</v>
      </c>
      <c r="AS74" s="307" t="s">
        <v>121</v>
      </c>
      <c r="AT74" s="307" t="s">
        <v>121</v>
      </c>
      <c r="AU74" s="307" t="s">
        <v>121</v>
      </c>
      <c r="AV74" s="307" t="s">
        <v>136</v>
      </c>
      <c r="AW74" s="307" t="s">
        <v>136</v>
      </c>
      <c r="AX74" s="592"/>
      <c r="AY74" s="604"/>
      <c r="AZ74" s="605"/>
      <c r="BA74" s="307"/>
      <c r="BB74" s="307"/>
      <c r="BC74" s="307"/>
      <c r="BD74" s="307"/>
      <c r="BE74" s="307"/>
      <c r="BF74" s="609"/>
      <c r="BG74" s="605"/>
      <c r="BH74" s="605"/>
      <c r="BI74" s="611"/>
      <c r="BJ74" s="592"/>
      <c r="BK74" s="611">
        <v>1</v>
      </c>
      <c r="BL74" s="307"/>
      <c r="BM74" s="307"/>
      <c r="BN74" s="86"/>
      <c r="BO74" s="307" t="s">
        <v>136</v>
      </c>
      <c r="BP74" s="307">
        <v>1</v>
      </c>
      <c r="BQ74" s="307"/>
      <c r="BR74" s="86"/>
      <c r="BS74" s="609">
        <f t="shared" si="8"/>
        <v>1</v>
      </c>
    </row>
    <row r="75" spans="1:71" s="430" customFormat="1" ht="84.75" customHeight="1">
      <c r="A75" s="451" t="s">
        <v>148</v>
      </c>
      <c r="B75" s="622">
        <v>246</v>
      </c>
      <c r="C75" s="623">
        <v>769</v>
      </c>
      <c r="D75" s="623"/>
      <c r="E75" s="1553" t="s">
        <v>340</v>
      </c>
      <c r="F75" s="1554"/>
      <c r="G75" s="1554"/>
      <c r="H75" s="1555"/>
      <c r="I75" s="624"/>
      <c r="J75" s="510">
        <v>3340960</v>
      </c>
      <c r="K75" s="510" t="s">
        <v>109</v>
      </c>
      <c r="L75" s="510" t="s">
        <v>341</v>
      </c>
      <c r="M75" s="510" t="s">
        <v>151</v>
      </c>
      <c r="N75" s="510" t="s">
        <v>342</v>
      </c>
      <c r="O75" s="630">
        <v>194235</v>
      </c>
      <c r="P75" s="631"/>
      <c r="Q75" s="636"/>
      <c r="R75" s="636"/>
      <c r="S75" s="637"/>
      <c r="T75" s="637" t="s">
        <v>114</v>
      </c>
      <c r="U75" s="637" t="s">
        <v>114</v>
      </c>
      <c r="V75" s="637"/>
      <c r="W75" s="637"/>
      <c r="X75" s="637" t="s">
        <v>99</v>
      </c>
      <c r="Y75" s="637" t="s">
        <v>40</v>
      </c>
      <c r="Z75" s="526"/>
      <c r="AA75" s="526"/>
      <c r="AB75" s="548" t="s">
        <v>343</v>
      </c>
      <c r="AC75" s="549">
        <v>41451</v>
      </c>
      <c r="AD75" s="550" t="s">
        <v>344</v>
      </c>
      <c r="AE75" s="551">
        <v>41500</v>
      </c>
      <c r="AF75" s="551" t="s">
        <v>117</v>
      </c>
      <c r="AG75" s="590" t="s">
        <v>345</v>
      </c>
      <c r="AH75" s="591" t="s">
        <v>286</v>
      </c>
      <c r="AI75" s="505" t="s">
        <v>346</v>
      </c>
      <c r="AJ75" s="592">
        <f t="shared" si="7"/>
        <v>14</v>
      </c>
      <c r="AK75" s="307"/>
      <c r="AL75" s="307">
        <v>1</v>
      </c>
      <c r="AM75" s="307">
        <v>1</v>
      </c>
      <c r="AN75" s="307">
        <v>1</v>
      </c>
      <c r="AO75" s="307"/>
      <c r="AP75" s="307"/>
      <c r="AQ75" s="307">
        <v>1</v>
      </c>
      <c r="AR75" s="307">
        <v>1</v>
      </c>
      <c r="AS75" s="307">
        <v>1</v>
      </c>
      <c r="AT75" s="307">
        <v>1</v>
      </c>
      <c r="AU75" s="307">
        <v>1</v>
      </c>
      <c r="AV75" s="307" t="s">
        <v>136</v>
      </c>
      <c r="AW75" s="307" t="s">
        <v>136</v>
      </c>
      <c r="AX75" s="592"/>
      <c r="AY75" s="604"/>
      <c r="AZ75" s="605"/>
      <c r="BA75" s="307">
        <v>1</v>
      </c>
      <c r="BB75" s="307"/>
      <c r="BC75" s="307"/>
      <c r="BD75" s="307"/>
      <c r="BE75" s="307"/>
      <c r="BF75" s="609"/>
      <c r="BG75" s="605"/>
      <c r="BH75" s="605"/>
      <c r="BI75" s="611"/>
      <c r="BJ75" s="592"/>
      <c r="BK75" s="611">
        <v>1</v>
      </c>
      <c r="BL75" s="307">
        <v>1</v>
      </c>
      <c r="BM75" s="307">
        <v>1</v>
      </c>
      <c r="BN75" s="86"/>
      <c r="BO75" s="307"/>
      <c r="BP75" s="307">
        <v>1</v>
      </c>
      <c r="BQ75" s="307">
        <v>1</v>
      </c>
      <c r="BR75" s="86"/>
      <c r="BS75" s="609">
        <f t="shared" si="8"/>
        <v>3</v>
      </c>
    </row>
    <row r="76" spans="1:71" s="430" customFormat="1" ht="64.5" customHeight="1">
      <c r="A76" s="451" t="s">
        <v>148</v>
      </c>
      <c r="B76" s="86">
        <v>249</v>
      </c>
      <c r="C76" s="215">
        <v>788</v>
      </c>
      <c r="D76" s="215" t="s">
        <v>123</v>
      </c>
      <c r="E76" s="1531" t="s">
        <v>347</v>
      </c>
      <c r="F76" s="1532"/>
      <c r="G76" s="1532"/>
      <c r="H76" s="1533"/>
      <c r="I76" s="454"/>
      <c r="J76" s="505">
        <v>3341371</v>
      </c>
      <c r="K76" s="506" t="s">
        <v>109</v>
      </c>
      <c r="L76" s="506" t="s">
        <v>348</v>
      </c>
      <c r="M76" s="507" t="s">
        <v>111</v>
      </c>
      <c r="N76" s="507" t="s">
        <v>349</v>
      </c>
      <c r="O76" s="508" t="s">
        <v>350</v>
      </c>
      <c r="P76" s="509"/>
      <c r="Q76" s="525"/>
      <c r="R76" s="525"/>
      <c r="S76" s="526"/>
      <c r="T76" s="526" t="s">
        <v>114</v>
      </c>
      <c r="U76" s="526"/>
      <c r="V76" s="526"/>
      <c r="W76" s="526"/>
      <c r="X76" s="526" t="s">
        <v>99</v>
      </c>
      <c r="Y76" s="526"/>
      <c r="Z76" s="526"/>
      <c r="AA76" s="526"/>
      <c r="AB76" s="548" t="s">
        <v>351</v>
      </c>
      <c r="AC76" s="549">
        <v>41451</v>
      </c>
      <c r="AD76" s="550" t="s">
        <v>352</v>
      </c>
      <c r="AE76" s="551">
        <v>41495</v>
      </c>
      <c r="AF76" s="551" t="s">
        <v>117</v>
      </c>
      <c r="AG76" s="590"/>
      <c r="AH76" s="591" t="s">
        <v>319</v>
      </c>
      <c r="AI76" s="505" t="s">
        <v>339</v>
      </c>
      <c r="AJ76" s="592">
        <f t="shared" si="7"/>
        <v>2</v>
      </c>
      <c r="AK76" s="307"/>
      <c r="AL76" s="307">
        <v>1</v>
      </c>
      <c r="AM76" s="307" t="s">
        <v>121</v>
      </c>
      <c r="AN76" s="307" t="s">
        <v>121</v>
      </c>
      <c r="AO76" s="307" t="s">
        <v>121</v>
      </c>
      <c r="AP76" s="307"/>
      <c r="AQ76" s="307" t="s">
        <v>121</v>
      </c>
      <c r="AR76" s="307" t="s">
        <v>121</v>
      </c>
      <c r="AS76" s="307" t="s">
        <v>121</v>
      </c>
      <c r="AT76" s="307" t="s">
        <v>121</v>
      </c>
      <c r="AU76" s="307" t="s">
        <v>121</v>
      </c>
      <c r="AV76" s="307"/>
      <c r="AW76" s="307"/>
      <c r="AX76" s="592"/>
      <c r="AY76" s="604"/>
      <c r="AZ76" s="605"/>
      <c r="BA76" s="307"/>
      <c r="BB76" s="307"/>
      <c r="BC76" s="307"/>
      <c r="BD76" s="307"/>
      <c r="BE76" s="307"/>
      <c r="BF76" s="609"/>
      <c r="BG76" s="605"/>
      <c r="BH76" s="605"/>
      <c r="BI76" s="611"/>
      <c r="BJ76" s="592"/>
      <c r="BK76" s="611">
        <v>1</v>
      </c>
      <c r="BL76" s="307"/>
      <c r="BM76" s="307"/>
      <c r="BN76" s="86"/>
      <c r="BO76" s="307"/>
      <c r="BP76" s="307"/>
      <c r="BQ76" s="307"/>
      <c r="BR76" s="86"/>
      <c r="BS76" s="609">
        <f t="shared" si="8"/>
        <v>1</v>
      </c>
    </row>
    <row r="77" spans="1:71" s="430" customFormat="1" ht="58.5" customHeight="1">
      <c r="A77" s="451" t="s">
        <v>148</v>
      </c>
      <c r="B77" s="86">
        <v>250</v>
      </c>
      <c r="C77" s="215">
        <v>790</v>
      </c>
      <c r="D77" s="215"/>
      <c r="E77" s="1531" t="s">
        <v>353</v>
      </c>
      <c r="F77" s="1532"/>
      <c r="G77" s="1532"/>
      <c r="H77" s="1533"/>
      <c r="I77" s="454"/>
      <c r="J77" s="505">
        <v>3340822</v>
      </c>
      <c r="K77" s="510" t="s">
        <v>139</v>
      </c>
      <c r="L77" s="506" t="s">
        <v>354</v>
      </c>
      <c r="M77" s="505" t="s">
        <v>202</v>
      </c>
      <c r="N77" s="505"/>
      <c r="O77" s="508"/>
      <c r="P77" s="509"/>
      <c r="Q77" s="525"/>
      <c r="R77" s="525"/>
      <c r="S77" s="526" t="s">
        <v>114</v>
      </c>
      <c r="T77" s="526"/>
      <c r="U77" s="526"/>
      <c r="V77" s="526"/>
      <c r="W77" s="526"/>
      <c r="X77" s="526" t="s">
        <v>99</v>
      </c>
      <c r="Y77" s="526"/>
      <c r="Z77" s="526" t="s">
        <v>355</v>
      </c>
      <c r="AA77" s="526" t="s">
        <v>226</v>
      </c>
      <c r="AB77" s="548" t="s">
        <v>356</v>
      </c>
      <c r="AC77" s="549">
        <v>41461</v>
      </c>
      <c r="AD77" s="550" t="s">
        <v>357</v>
      </c>
      <c r="AE77" s="549">
        <v>41456</v>
      </c>
      <c r="AF77" s="549" t="s">
        <v>132</v>
      </c>
      <c r="AG77" s="590" t="s">
        <v>358</v>
      </c>
      <c r="AH77" s="591" t="s">
        <v>359</v>
      </c>
      <c r="AI77" s="646" t="s">
        <v>360</v>
      </c>
      <c r="AJ77" s="592">
        <f t="shared" si="7"/>
        <v>3</v>
      </c>
      <c r="AK77" s="307"/>
      <c r="AL77" s="307"/>
      <c r="AM77" s="307"/>
      <c r="AN77" s="307"/>
      <c r="AO77" s="307"/>
      <c r="AP77" s="307"/>
      <c r="AQ77" s="307"/>
      <c r="AR77" s="307">
        <v>1</v>
      </c>
      <c r="AS77" s="307" t="s">
        <v>121</v>
      </c>
      <c r="AT77" s="307" t="s">
        <v>121</v>
      </c>
      <c r="AU77" s="307" t="s">
        <v>121</v>
      </c>
      <c r="AV77" s="307"/>
      <c r="AW77" s="307"/>
      <c r="AX77" s="592"/>
      <c r="AY77" s="604"/>
      <c r="AZ77" s="605"/>
      <c r="BA77" s="307"/>
      <c r="BB77" s="307"/>
      <c r="BC77" s="307"/>
      <c r="BD77" s="307"/>
      <c r="BE77" s="307"/>
      <c r="BF77" s="609"/>
      <c r="BG77" s="605"/>
      <c r="BH77" s="605"/>
      <c r="BI77" s="611"/>
      <c r="BJ77" s="592"/>
      <c r="BK77" s="611">
        <v>1</v>
      </c>
      <c r="BL77" s="307">
        <v>1</v>
      </c>
      <c r="BM77" s="307"/>
      <c r="BN77" s="86"/>
      <c r="BO77" s="307"/>
      <c r="BP77" s="307"/>
      <c r="BQ77" s="307"/>
      <c r="BR77" s="86"/>
      <c r="BS77" s="609">
        <f t="shared" si="8"/>
        <v>2</v>
      </c>
    </row>
    <row r="78" spans="1:71" s="430" customFormat="1" ht="95.25" customHeight="1">
      <c r="A78" s="451" t="s">
        <v>106</v>
      </c>
      <c r="B78" s="86">
        <v>252</v>
      </c>
      <c r="C78" s="215">
        <v>1006</v>
      </c>
      <c r="D78" s="215" t="s">
        <v>123</v>
      </c>
      <c r="E78" s="1531" t="s">
        <v>361</v>
      </c>
      <c r="F78" s="1532"/>
      <c r="G78" s="1532"/>
      <c r="H78" s="1533"/>
      <c r="I78" s="454"/>
      <c r="J78" s="505">
        <v>3342110</v>
      </c>
      <c r="K78" s="506" t="s">
        <v>109</v>
      </c>
      <c r="L78" s="506" t="s">
        <v>362</v>
      </c>
      <c r="M78" s="507" t="s">
        <v>111</v>
      </c>
      <c r="N78" s="507" t="s">
        <v>363</v>
      </c>
      <c r="O78" s="508" t="s">
        <v>364</v>
      </c>
      <c r="P78" s="509"/>
      <c r="Q78" s="525"/>
      <c r="R78" s="525"/>
      <c r="S78" s="526"/>
      <c r="T78" s="526" t="s">
        <v>114</v>
      </c>
      <c r="U78" s="526" t="s">
        <v>114</v>
      </c>
      <c r="V78" s="526"/>
      <c r="W78" s="526"/>
      <c r="X78" s="526" t="s">
        <v>99</v>
      </c>
      <c r="Y78" s="526"/>
      <c r="Z78" s="526"/>
      <c r="AA78" s="526"/>
      <c r="AB78" s="548" t="s">
        <v>130</v>
      </c>
      <c r="AC78" s="549">
        <v>41472</v>
      </c>
      <c r="AD78" s="550" t="s">
        <v>365</v>
      </c>
      <c r="AE78" s="552" t="s">
        <v>240</v>
      </c>
      <c r="AF78" s="551" t="s">
        <v>117</v>
      </c>
      <c r="AG78" s="590" t="s">
        <v>366</v>
      </c>
      <c r="AH78" s="591" t="s">
        <v>367</v>
      </c>
      <c r="AI78" s="505" t="s">
        <v>368</v>
      </c>
      <c r="AJ78" s="592">
        <f t="shared" si="7"/>
        <v>7</v>
      </c>
      <c r="AK78" s="307"/>
      <c r="AL78" s="307">
        <v>1</v>
      </c>
      <c r="AM78" s="307">
        <v>1</v>
      </c>
      <c r="AN78" s="307">
        <v>1</v>
      </c>
      <c r="AO78" s="307"/>
      <c r="AP78" s="307"/>
      <c r="AQ78" s="307"/>
      <c r="AR78" s="307"/>
      <c r="AS78" s="307"/>
      <c r="AT78" s="307">
        <v>1</v>
      </c>
      <c r="AU78" s="307">
        <v>1</v>
      </c>
      <c r="AV78" s="307"/>
      <c r="AW78" s="307"/>
      <c r="AX78" s="592"/>
      <c r="AY78" s="604"/>
      <c r="AZ78" s="605"/>
      <c r="BA78" s="307"/>
      <c r="BB78" s="307"/>
      <c r="BC78" s="307"/>
      <c r="BD78" s="307"/>
      <c r="BE78" s="307"/>
      <c r="BF78" s="609"/>
      <c r="BG78" s="605"/>
      <c r="BH78" s="605"/>
      <c r="BI78" s="611"/>
      <c r="BJ78" s="592"/>
      <c r="BK78" s="611"/>
      <c r="BL78" s="307">
        <v>1</v>
      </c>
      <c r="BM78" s="307">
        <v>1</v>
      </c>
      <c r="BN78" s="86"/>
      <c r="BO78" s="307"/>
      <c r="BP78" s="307"/>
      <c r="BQ78" s="307"/>
      <c r="BR78" s="86"/>
      <c r="BS78" s="609">
        <f t="shared" si="8"/>
        <v>2</v>
      </c>
    </row>
    <row r="79" spans="1:71" s="430" customFormat="1" ht="60" customHeight="1">
      <c r="A79" s="451" t="s">
        <v>268</v>
      </c>
      <c r="B79" s="86">
        <v>256</v>
      </c>
      <c r="C79" s="215">
        <v>1000</v>
      </c>
      <c r="D79" s="215"/>
      <c r="E79" s="1531" t="s">
        <v>369</v>
      </c>
      <c r="F79" s="1532"/>
      <c r="G79" s="1532"/>
      <c r="H79" s="1533"/>
      <c r="I79" s="454"/>
      <c r="J79" s="505">
        <v>3341913</v>
      </c>
      <c r="K79" s="506" t="s">
        <v>109</v>
      </c>
      <c r="L79" s="506" t="s">
        <v>370</v>
      </c>
      <c r="M79" s="505" t="s">
        <v>202</v>
      </c>
      <c r="N79" s="505"/>
      <c r="O79" s="508">
        <v>0</v>
      </c>
      <c r="P79" s="509"/>
      <c r="Q79" s="525"/>
      <c r="R79" s="525"/>
      <c r="S79" s="526"/>
      <c r="T79" s="526" t="s">
        <v>114</v>
      </c>
      <c r="U79" s="526" t="s">
        <v>114</v>
      </c>
      <c r="V79" s="526"/>
      <c r="W79" s="526"/>
      <c r="X79" s="526" t="s">
        <v>99</v>
      </c>
      <c r="Y79" s="526"/>
      <c r="Z79" s="526" t="s">
        <v>371</v>
      </c>
      <c r="AA79" s="526" t="s">
        <v>239</v>
      </c>
      <c r="AB79" s="548" t="s">
        <v>130</v>
      </c>
      <c r="AC79" s="549">
        <v>41454</v>
      </c>
      <c r="AD79" s="550" t="s">
        <v>372</v>
      </c>
      <c r="AE79" s="551">
        <v>41454</v>
      </c>
      <c r="AF79" s="551" t="s">
        <v>117</v>
      </c>
      <c r="AG79" s="590" t="s">
        <v>373</v>
      </c>
      <c r="AH79" s="591" t="s">
        <v>374</v>
      </c>
      <c r="AI79" s="505" t="s">
        <v>375</v>
      </c>
      <c r="AJ79" s="592">
        <f t="shared" si="7"/>
        <v>3</v>
      </c>
      <c r="AK79" s="307"/>
      <c r="AL79" s="307"/>
      <c r="AM79" s="307"/>
      <c r="AN79" s="307"/>
      <c r="AO79" s="307"/>
      <c r="AP79" s="307"/>
      <c r="AQ79" s="307"/>
      <c r="AR79" s="307"/>
      <c r="AS79" s="307"/>
      <c r="AT79" s="307"/>
      <c r="AU79" s="307">
        <v>1</v>
      </c>
      <c r="AV79" s="307"/>
      <c r="AW79" s="307"/>
      <c r="AX79" s="592"/>
      <c r="AY79" s="604"/>
      <c r="AZ79" s="605"/>
      <c r="BA79" s="307"/>
      <c r="BB79" s="307"/>
      <c r="BC79" s="307"/>
      <c r="BD79" s="307"/>
      <c r="BE79" s="307"/>
      <c r="BF79" s="609"/>
      <c r="BG79" s="605"/>
      <c r="BH79" s="605"/>
      <c r="BI79" s="611"/>
      <c r="BJ79" s="592"/>
      <c r="BK79" s="611"/>
      <c r="BL79" s="307"/>
      <c r="BM79" s="307">
        <v>1</v>
      </c>
      <c r="BN79" s="86">
        <v>1</v>
      </c>
      <c r="BO79" s="307"/>
      <c r="BP79" s="307"/>
      <c r="BQ79" s="307"/>
      <c r="BR79" s="86"/>
      <c r="BS79" s="609">
        <f t="shared" si="8"/>
        <v>2</v>
      </c>
    </row>
    <row r="80" spans="1:71" s="430" customFormat="1" ht="142.5" customHeight="1">
      <c r="A80" s="451" t="s">
        <v>148</v>
      </c>
      <c r="B80" s="86">
        <v>258</v>
      </c>
      <c r="C80" s="215">
        <v>1020</v>
      </c>
      <c r="D80" s="215"/>
      <c r="E80" s="1531" t="s">
        <v>376</v>
      </c>
      <c r="F80" s="1532"/>
      <c r="G80" s="1532"/>
      <c r="H80" s="1533"/>
      <c r="I80" s="454"/>
      <c r="J80" s="505">
        <v>3343212</v>
      </c>
      <c r="K80" s="506" t="s">
        <v>109</v>
      </c>
      <c r="L80" s="506" t="s">
        <v>377</v>
      </c>
      <c r="M80" s="505" t="s">
        <v>151</v>
      </c>
      <c r="N80" s="505" t="s">
        <v>378</v>
      </c>
      <c r="O80" s="508">
        <v>194368</v>
      </c>
      <c r="P80" s="632"/>
      <c r="Q80" s="638"/>
      <c r="R80" s="638"/>
      <c r="S80" s="639" t="s">
        <v>114</v>
      </c>
      <c r="T80" s="639"/>
      <c r="U80" s="639"/>
      <c r="V80" s="639"/>
      <c r="W80" s="639"/>
      <c r="X80" s="526" t="s">
        <v>99</v>
      </c>
      <c r="Y80" s="639"/>
      <c r="Z80" s="640" t="s">
        <v>379</v>
      </c>
      <c r="AA80" s="641" t="s">
        <v>380</v>
      </c>
      <c r="AB80" s="642" t="s">
        <v>381</v>
      </c>
      <c r="AC80" s="549">
        <v>41451</v>
      </c>
      <c r="AD80" s="550" t="s">
        <v>382</v>
      </c>
      <c r="AE80" s="551">
        <v>41516</v>
      </c>
      <c r="AF80" s="551" t="s">
        <v>117</v>
      </c>
      <c r="AG80" s="590" t="s">
        <v>383</v>
      </c>
      <c r="AH80" s="591" t="s">
        <v>384</v>
      </c>
      <c r="AI80" s="505" t="s">
        <v>385</v>
      </c>
      <c r="AJ80" s="592">
        <f t="shared" si="7"/>
        <v>8</v>
      </c>
      <c r="AK80" s="647"/>
      <c r="AL80" s="307">
        <v>1</v>
      </c>
      <c r="AM80" s="307"/>
      <c r="AN80" s="307">
        <v>1</v>
      </c>
      <c r="AO80" s="307">
        <v>1</v>
      </c>
      <c r="AP80" s="307"/>
      <c r="AQ80" s="307">
        <v>1</v>
      </c>
      <c r="AR80" s="307">
        <v>1</v>
      </c>
      <c r="AS80" s="307">
        <v>1</v>
      </c>
      <c r="AT80" s="307"/>
      <c r="AU80" s="307"/>
      <c r="AV80" s="307">
        <v>1</v>
      </c>
      <c r="AW80" s="307">
        <v>1</v>
      </c>
      <c r="AX80" s="592"/>
      <c r="AY80" s="604"/>
      <c r="AZ80" s="605"/>
      <c r="BA80" s="307"/>
      <c r="BB80" s="307"/>
      <c r="BC80" s="307"/>
      <c r="BD80" s="307"/>
      <c r="BE80" s="307"/>
      <c r="BF80" s="609"/>
      <c r="BG80" s="605"/>
      <c r="BH80" s="605"/>
      <c r="BI80" s="611"/>
      <c r="BJ80" s="592"/>
      <c r="BK80" s="611"/>
      <c r="BL80" s="307"/>
      <c r="BM80" s="307"/>
      <c r="BN80" s="86"/>
      <c r="BO80" s="307" t="s">
        <v>136</v>
      </c>
      <c r="BP80" s="307"/>
      <c r="BQ80" s="307"/>
      <c r="BR80" s="86"/>
      <c r="BS80" s="609">
        <f t="shared" si="8"/>
        <v>0</v>
      </c>
    </row>
    <row r="81" spans="1:71" s="430" customFormat="1" ht="108" customHeight="1">
      <c r="A81" s="451" t="s">
        <v>137</v>
      </c>
      <c r="B81" s="86">
        <v>260</v>
      </c>
      <c r="C81" s="215">
        <v>1026</v>
      </c>
      <c r="D81" s="215"/>
      <c r="E81" s="1531" t="s">
        <v>386</v>
      </c>
      <c r="F81" s="1532"/>
      <c r="G81" s="1532"/>
      <c r="H81" s="1533"/>
      <c r="I81" s="454"/>
      <c r="J81" s="505">
        <v>3342714</v>
      </c>
      <c r="K81" s="506" t="s">
        <v>109</v>
      </c>
      <c r="L81" s="506" t="s">
        <v>387</v>
      </c>
      <c r="M81" s="505" t="s">
        <v>202</v>
      </c>
      <c r="N81" s="505"/>
      <c r="O81" s="508"/>
      <c r="P81" s="632"/>
      <c r="Q81" s="638"/>
      <c r="R81" s="638"/>
      <c r="S81" s="639" t="s">
        <v>114</v>
      </c>
      <c r="T81" s="639"/>
      <c r="U81" s="639"/>
      <c r="V81" s="639"/>
      <c r="W81" s="639"/>
      <c r="X81" s="526" t="s">
        <v>99</v>
      </c>
      <c r="Y81" s="639"/>
      <c r="Z81" s="639" t="s">
        <v>388</v>
      </c>
      <c r="AA81" s="526" t="s">
        <v>239</v>
      </c>
      <c r="AB81" s="548" t="s">
        <v>389</v>
      </c>
      <c r="AC81" s="549">
        <v>41471</v>
      </c>
      <c r="AD81" s="550" t="s">
        <v>390</v>
      </c>
      <c r="AE81" s="549" t="s">
        <v>37</v>
      </c>
      <c r="AF81" s="551" t="s">
        <v>117</v>
      </c>
      <c r="AG81" s="590" t="s">
        <v>391</v>
      </c>
      <c r="AH81" s="648" t="s">
        <v>392</v>
      </c>
      <c r="AI81" s="505" t="s">
        <v>393</v>
      </c>
      <c r="AJ81" s="592">
        <f t="shared" ref="AJ81:AJ112" si="9">COUNTIF(AK81:BR81,"1")</f>
        <v>4</v>
      </c>
      <c r="AK81" s="647"/>
      <c r="AL81" s="307">
        <v>1</v>
      </c>
      <c r="AM81" s="307"/>
      <c r="AN81" s="307"/>
      <c r="AO81" s="307"/>
      <c r="AP81" s="307"/>
      <c r="AQ81" s="307">
        <v>1</v>
      </c>
      <c r="AR81" s="307">
        <v>1</v>
      </c>
      <c r="AS81" s="307"/>
      <c r="AT81" s="307">
        <v>1</v>
      </c>
      <c r="AU81" s="307"/>
      <c r="AV81" s="307"/>
      <c r="AW81" s="307"/>
      <c r="AX81" s="592"/>
      <c r="AY81" s="604"/>
      <c r="AZ81" s="605"/>
      <c r="BA81" s="307"/>
      <c r="BB81" s="307"/>
      <c r="BC81" s="307"/>
      <c r="BD81" s="307"/>
      <c r="BE81" s="307"/>
      <c r="BF81" s="609"/>
      <c r="BG81" s="605"/>
      <c r="BH81" s="605"/>
      <c r="BI81" s="611"/>
      <c r="BJ81" s="592"/>
      <c r="BK81" s="611"/>
      <c r="BL81" s="307"/>
      <c r="BM81" s="307"/>
      <c r="BN81" s="86"/>
      <c r="BO81" s="307"/>
      <c r="BP81" s="307"/>
      <c r="BQ81" s="307"/>
      <c r="BR81" s="86"/>
      <c r="BS81" s="609">
        <f t="shared" ref="BS81:BS112" si="10">COUNT(BI81:BO81)</f>
        <v>0</v>
      </c>
    </row>
    <row r="82" spans="1:71" s="430" customFormat="1" ht="72" customHeight="1">
      <c r="A82" s="451" t="s">
        <v>187</v>
      </c>
      <c r="B82" s="86">
        <v>261</v>
      </c>
      <c r="C82" s="215">
        <v>1027</v>
      </c>
      <c r="D82" s="215"/>
      <c r="E82" s="1531" t="s">
        <v>394</v>
      </c>
      <c r="F82" s="1532"/>
      <c r="G82" s="1532"/>
      <c r="H82" s="1533"/>
      <c r="I82" s="454"/>
      <c r="J82" s="505">
        <v>3343285</v>
      </c>
      <c r="K82" s="510" t="s">
        <v>139</v>
      </c>
      <c r="L82" s="506" t="s">
        <v>395</v>
      </c>
      <c r="M82" s="505" t="s">
        <v>202</v>
      </c>
      <c r="N82" s="505"/>
      <c r="O82" s="508"/>
      <c r="P82" s="632"/>
      <c r="Q82" s="638"/>
      <c r="R82" s="638"/>
      <c r="S82" s="639"/>
      <c r="T82" s="639" t="s">
        <v>114</v>
      </c>
      <c r="U82" s="639" t="s">
        <v>114</v>
      </c>
      <c r="V82" s="639"/>
      <c r="W82" s="639"/>
      <c r="X82" s="526" t="s">
        <v>99</v>
      </c>
      <c r="Y82" s="639"/>
      <c r="Z82" s="639" t="s">
        <v>396</v>
      </c>
      <c r="AA82" s="639" t="s">
        <v>226</v>
      </c>
      <c r="AB82" s="642" t="s">
        <v>130</v>
      </c>
      <c r="AC82" s="549">
        <v>41465</v>
      </c>
      <c r="AD82" s="550" t="s">
        <v>397</v>
      </c>
      <c r="AE82" s="549">
        <v>41485</v>
      </c>
      <c r="AF82" s="549" t="s">
        <v>132</v>
      </c>
      <c r="AG82" s="590" t="s">
        <v>398</v>
      </c>
      <c r="AH82" s="648" t="s">
        <v>399</v>
      </c>
      <c r="AI82" s="505" t="s">
        <v>400</v>
      </c>
      <c r="AJ82" s="592">
        <f t="shared" si="9"/>
        <v>1</v>
      </c>
      <c r="AK82" s="647"/>
      <c r="AL82" s="307">
        <v>1</v>
      </c>
      <c r="AM82" s="307"/>
      <c r="AN82" s="307"/>
      <c r="AO82" s="307"/>
      <c r="AP82" s="307"/>
      <c r="AQ82" s="307"/>
      <c r="AR82" s="307"/>
      <c r="AS82" s="307"/>
      <c r="AT82" s="307"/>
      <c r="AU82" s="307"/>
      <c r="AV82" s="307"/>
      <c r="AW82" s="307"/>
      <c r="AX82" s="592"/>
      <c r="AY82" s="604"/>
      <c r="AZ82" s="605"/>
      <c r="BA82" s="307"/>
      <c r="BB82" s="307"/>
      <c r="BC82" s="307"/>
      <c r="BD82" s="307"/>
      <c r="BE82" s="307"/>
      <c r="BF82" s="609"/>
      <c r="BG82" s="605"/>
      <c r="BH82" s="605"/>
      <c r="BI82" s="611"/>
      <c r="BJ82" s="592"/>
      <c r="BK82" s="611"/>
      <c r="BL82" s="307"/>
      <c r="BM82" s="307"/>
      <c r="BN82" s="86"/>
      <c r="BO82" s="307"/>
      <c r="BP82" s="307"/>
      <c r="BQ82" s="307"/>
      <c r="BR82" s="86"/>
      <c r="BS82" s="609">
        <f t="shared" si="10"/>
        <v>0</v>
      </c>
    </row>
    <row r="83" spans="1:71" s="430" customFormat="1" ht="63" customHeight="1">
      <c r="A83" s="451" t="s">
        <v>187</v>
      </c>
      <c r="B83" s="86">
        <v>262</v>
      </c>
      <c r="C83" s="215">
        <v>1028</v>
      </c>
      <c r="D83" s="215"/>
      <c r="E83" s="1531" t="s">
        <v>401</v>
      </c>
      <c r="F83" s="1532"/>
      <c r="G83" s="1532"/>
      <c r="H83" s="1533"/>
      <c r="I83" s="454"/>
      <c r="J83" s="505">
        <v>3342170</v>
      </c>
      <c r="K83" s="506" t="s">
        <v>109</v>
      </c>
      <c r="L83" s="506" t="s">
        <v>402</v>
      </c>
      <c r="M83" s="505" t="s">
        <v>202</v>
      </c>
      <c r="N83" s="505" t="s">
        <v>403</v>
      </c>
      <c r="O83" s="508">
        <v>194281</v>
      </c>
      <c r="P83" s="632"/>
      <c r="Q83" s="638"/>
      <c r="R83" s="638"/>
      <c r="S83" s="639"/>
      <c r="T83" s="639" t="s">
        <v>114</v>
      </c>
      <c r="U83" s="639" t="s">
        <v>114</v>
      </c>
      <c r="V83" s="639"/>
      <c r="W83" s="639"/>
      <c r="X83" s="526" t="s">
        <v>99</v>
      </c>
      <c r="Y83" s="639"/>
      <c r="Z83" s="639" t="s">
        <v>404</v>
      </c>
      <c r="AA83" s="639" t="s">
        <v>130</v>
      </c>
      <c r="AB83" s="642" t="s">
        <v>405</v>
      </c>
      <c r="AC83" s="549">
        <v>41473</v>
      </c>
      <c r="AD83" s="550" t="s">
        <v>406</v>
      </c>
      <c r="AE83" s="552" t="s">
        <v>37</v>
      </c>
      <c r="AF83" s="551" t="s">
        <v>117</v>
      </c>
      <c r="AG83" s="590" t="s">
        <v>407</v>
      </c>
      <c r="AH83" s="648" t="s">
        <v>399</v>
      </c>
      <c r="AI83" s="505" t="s">
        <v>400</v>
      </c>
      <c r="AJ83" s="592">
        <f t="shared" si="9"/>
        <v>3</v>
      </c>
      <c r="AK83" s="647"/>
      <c r="AL83" s="307">
        <v>1</v>
      </c>
      <c r="AM83" s="307"/>
      <c r="AN83" s="307"/>
      <c r="AO83" s="307"/>
      <c r="AP83" s="307"/>
      <c r="AQ83" s="307"/>
      <c r="AR83" s="307">
        <v>1</v>
      </c>
      <c r="AS83" s="307">
        <v>1</v>
      </c>
      <c r="AT83" s="307"/>
      <c r="AU83" s="307"/>
      <c r="AV83" s="307"/>
      <c r="AW83" s="307"/>
      <c r="AX83" s="592"/>
      <c r="AY83" s="604"/>
      <c r="AZ83" s="605"/>
      <c r="BA83" s="307"/>
      <c r="BB83" s="307"/>
      <c r="BC83" s="307"/>
      <c r="BD83" s="307"/>
      <c r="BE83" s="307"/>
      <c r="BF83" s="609"/>
      <c r="BG83" s="605"/>
      <c r="BH83" s="605"/>
      <c r="BI83" s="611"/>
      <c r="BJ83" s="592"/>
      <c r="BK83" s="611"/>
      <c r="BL83" s="307"/>
      <c r="BM83" s="307"/>
      <c r="BN83" s="86"/>
      <c r="BO83" s="307"/>
      <c r="BP83" s="307"/>
      <c r="BQ83" s="307"/>
      <c r="BR83" s="86"/>
      <c r="BS83" s="609">
        <f t="shared" si="10"/>
        <v>0</v>
      </c>
    </row>
    <row r="84" spans="1:71" s="430" customFormat="1" ht="61.5" customHeight="1">
      <c r="A84" s="451" t="s">
        <v>209</v>
      </c>
      <c r="B84" s="86">
        <v>263</v>
      </c>
      <c r="C84" s="215">
        <v>1013</v>
      </c>
      <c r="D84" s="215"/>
      <c r="E84" s="1531" t="s">
        <v>408</v>
      </c>
      <c r="F84" s="1532"/>
      <c r="G84" s="1532"/>
      <c r="H84" s="1533"/>
      <c r="I84" s="454"/>
      <c r="J84" s="505">
        <v>3343107</v>
      </c>
      <c r="K84" s="506" t="s">
        <v>109</v>
      </c>
      <c r="L84" s="506" t="s">
        <v>409</v>
      </c>
      <c r="M84" s="505" t="s">
        <v>151</v>
      </c>
      <c r="N84" s="505" t="s">
        <v>410</v>
      </c>
      <c r="O84" s="508">
        <v>194363</v>
      </c>
      <c r="P84" s="632"/>
      <c r="Q84" s="638"/>
      <c r="R84" s="638"/>
      <c r="S84" s="639"/>
      <c r="T84" s="639" t="s">
        <v>114</v>
      </c>
      <c r="U84" s="639" t="s">
        <v>114</v>
      </c>
      <c r="V84" s="639"/>
      <c r="W84" s="639"/>
      <c r="X84" s="526" t="s">
        <v>99</v>
      </c>
      <c r="Y84" s="526" t="s">
        <v>40</v>
      </c>
      <c r="Z84" s="640" t="s">
        <v>411</v>
      </c>
      <c r="AA84" s="641" t="s">
        <v>282</v>
      </c>
      <c r="AB84" s="642" t="s">
        <v>130</v>
      </c>
      <c r="AC84" s="549">
        <v>41458</v>
      </c>
      <c r="AD84" s="550" t="s">
        <v>412</v>
      </c>
      <c r="AE84" s="551">
        <v>41495</v>
      </c>
      <c r="AF84" s="551" t="s">
        <v>117</v>
      </c>
      <c r="AG84" s="590" t="s">
        <v>413</v>
      </c>
      <c r="AH84" s="648" t="s">
        <v>414</v>
      </c>
      <c r="AI84" s="505" t="s">
        <v>415</v>
      </c>
      <c r="AJ84" s="592">
        <f t="shared" si="9"/>
        <v>5</v>
      </c>
      <c r="AK84" s="647"/>
      <c r="AL84" s="307">
        <v>1</v>
      </c>
      <c r="AM84" s="307"/>
      <c r="AN84" s="307"/>
      <c r="AO84" s="307">
        <v>1</v>
      </c>
      <c r="AP84" s="307">
        <v>1</v>
      </c>
      <c r="AQ84" s="307"/>
      <c r="AR84" s="307"/>
      <c r="AS84" s="307">
        <v>1</v>
      </c>
      <c r="AT84" s="307"/>
      <c r="AU84" s="307"/>
      <c r="AV84" s="307" t="s">
        <v>136</v>
      </c>
      <c r="AW84" s="307" t="s">
        <v>136</v>
      </c>
      <c r="AX84" s="592"/>
      <c r="AY84" s="604"/>
      <c r="AZ84" s="605"/>
      <c r="BA84" s="307">
        <v>1</v>
      </c>
      <c r="BB84" s="307"/>
      <c r="BC84" s="307"/>
      <c r="BD84" s="307"/>
      <c r="BE84" s="307"/>
      <c r="BF84" s="609"/>
      <c r="BG84" s="605"/>
      <c r="BH84" s="605"/>
      <c r="BI84" s="611"/>
      <c r="BJ84" s="592"/>
      <c r="BK84" s="611"/>
      <c r="BL84" s="307"/>
      <c r="BM84" s="307"/>
      <c r="BN84" s="86"/>
      <c r="BO84" s="307" t="s">
        <v>136</v>
      </c>
      <c r="BP84" s="307"/>
      <c r="BQ84" s="307"/>
      <c r="BR84" s="86"/>
      <c r="BS84" s="609">
        <f t="shared" si="10"/>
        <v>0</v>
      </c>
    </row>
    <row r="85" spans="1:71" s="430" customFormat="1" ht="99.75" customHeight="1">
      <c r="A85" s="451" t="s">
        <v>179</v>
      </c>
      <c r="B85" s="86">
        <v>79</v>
      </c>
      <c r="C85" s="215">
        <v>1009</v>
      </c>
      <c r="D85" s="215" t="s">
        <v>159</v>
      </c>
      <c r="E85" s="1531" t="s">
        <v>416</v>
      </c>
      <c r="F85" s="1532"/>
      <c r="G85" s="1532"/>
      <c r="H85" s="1533"/>
      <c r="I85" s="454"/>
      <c r="J85" s="633">
        <v>3341900</v>
      </c>
      <c r="K85" s="506" t="s">
        <v>109</v>
      </c>
      <c r="L85" s="506" t="s">
        <v>417</v>
      </c>
      <c r="M85" s="507" t="s">
        <v>111</v>
      </c>
      <c r="N85" s="507"/>
      <c r="O85" s="508" t="s">
        <v>418</v>
      </c>
      <c r="P85" s="632"/>
      <c r="Q85" s="638"/>
      <c r="R85" s="638"/>
      <c r="S85" s="639" t="s">
        <v>114</v>
      </c>
      <c r="T85" s="639"/>
      <c r="U85" s="639"/>
      <c r="V85" s="639"/>
      <c r="W85" s="639"/>
      <c r="X85" s="526" t="s">
        <v>99</v>
      </c>
      <c r="Y85" s="639"/>
      <c r="Z85" s="639"/>
      <c r="AA85" s="639"/>
      <c r="AB85" s="642" t="s">
        <v>419</v>
      </c>
      <c r="AC85" s="549">
        <v>41472</v>
      </c>
      <c r="AD85" s="550" t="s">
        <v>420</v>
      </c>
      <c r="AE85" s="551">
        <v>41545</v>
      </c>
      <c r="AF85" s="551" t="s">
        <v>117</v>
      </c>
      <c r="AG85" s="649" t="s">
        <v>421</v>
      </c>
      <c r="AH85" s="648"/>
      <c r="AI85" s="505" t="s">
        <v>422</v>
      </c>
      <c r="AJ85" s="592">
        <f t="shared" si="9"/>
        <v>3</v>
      </c>
      <c r="AK85" s="647"/>
      <c r="AL85" s="307"/>
      <c r="AM85" s="307"/>
      <c r="AN85" s="307"/>
      <c r="AO85" s="307"/>
      <c r="AP85" s="307"/>
      <c r="AQ85" s="307"/>
      <c r="AR85" s="307"/>
      <c r="AS85" s="307"/>
      <c r="AT85" s="307"/>
      <c r="AU85" s="307"/>
      <c r="AV85" s="307">
        <v>1</v>
      </c>
      <c r="AW85" s="307">
        <v>1</v>
      </c>
      <c r="AX85" s="592"/>
      <c r="AY85" s="604"/>
      <c r="AZ85" s="605"/>
      <c r="BA85" s="307"/>
      <c r="BB85" s="307"/>
      <c r="BC85" s="307"/>
      <c r="BD85" s="307"/>
      <c r="BE85" s="307"/>
      <c r="BF85" s="609"/>
      <c r="BG85" s="605"/>
      <c r="BH85" s="605"/>
      <c r="BI85" s="611"/>
      <c r="BJ85" s="592"/>
      <c r="BK85" s="611"/>
      <c r="BL85" s="307">
        <v>1</v>
      </c>
      <c r="BM85" s="307" t="s">
        <v>121</v>
      </c>
      <c r="BN85" s="307" t="s">
        <v>121</v>
      </c>
      <c r="BO85" s="307" t="s">
        <v>136</v>
      </c>
      <c r="BP85" s="307"/>
      <c r="BQ85" s="307"/>
      <c r="BR85" s="307" t="s">
        <v>121</v>
      </c>
      <c r="BS85" s="609">
        <f t="shared" si="10"/>
        <v>1</v>
      </c>
    </row>
    <row r="86" spans="1:71" s="430" customFormat="1" ht="60" customHeight="1">
      <c r="A86" s="451" t="s">
        <v>179</v>
      </c>
      <c r="B86" s="86">
        <v>139</v>
      </c>
      <c r="C86" s="215">
        <v>1010</v>
      </c>
      <c r="D86" s="215"/>
      <c r="E86" s="1531" t="s">
        <v>423</v>
      </c>
      <c r="F86" s="1532"/>
      <c r="G86" s="1532"/>
      <c r="H86" s="1533"/>
      <c r="I86" s="454"/>
      <c r="J86" s="633">
        <v>3341967</v>
      </c>
      <c r="K86" s="506" t="s">
        <v>109</v>
      </c>
      <c r="L86" s="506" t="s">
        <v>424</v>
      </c>
      <c r="M86" s="505" t="s">
        <v>202</v>
      </c>
      <c r="N86" s="505"/>
      <c r="O86" s="508"/>
      <c r="P86" s="632"/>
      <c r="Q86" s="638"/>
      <c r="R86" s="638"/>
      <c r="S86" s="639" t="s">
        <v>114</v>
      </c>
      <c r="T86" s="639"/>
      <c r="U86" s="639"/>
      <c r="V86" s="639"/>
      <c r="W86" s="639"/>
      <c r="X86" s="526" t="s">
        <v>99</v>
      </c>
      <c r="Y86" s="639"/>
      <c r="Z86" s="639" t="s">
        <v>425</v>
      </c>
      <c r="AA86" s="639" t="s">
        <v>425</v>
      </c>
      <c r="AB86" s="642" t="s">
        <v>419</v>
      </c>
      <c r="AC86" s="549">
        <v>41463</v>
      </c>
      <c r="AD86" s="550" t="s">
        <v>420</v>
      </c>
      <c r="AE86" s="552" t="s">
        <v>240</v>
      </c>
      <c r="AF86" s="551" t="s">
        <v>117</v>
      </c>
      <c r="AG86" s="649" t="s">
        <v>426</v>
      </c>
      <c r="AH86" s="648" t="s">
        <v>393</v>
      </c>
      <c r="AI86" s="505" t="s">
        <v>427</v>
      </c>
      <c r="AJ86" s="592">
        <f t="shared" si="9"/>
        <v>1</v>
      </c>
      <c r="AK86" s="647"/>
      <c r="AL86" s="307"/>
      <c r="AM86" s="307"/>
      <c r="AN86" s="307"/>
      <c r="AO86" s="307"/>
      <c r="AP86" s="307"/>
      <c r="AQ86" s="307"/>
      <c r="AR86" s="307"/>
      <c r="AS86" s="307"/>
      <c r="AT86" s="307"/>
      <c r="AU86" s="307"/>
      <c r="AV86" s="307"/>
      <c r="AW86" s="307"/>
      <c r="AX86" s="592"/>
      <c r="AY86" s="604"/>
      <c r="AZ86" s="605"/>
      <c r="BA86" s="307"/>
      <c r="BB86" s="307"/>
      <c r="BC86" s="307"/>
      <c r="BD86" s="307"/>
      <c r="BE86" s="307"/>
      <c r="BF86" s="609"/>
      <c r="BG86" s="605"/>
      <c r="BH86" s="605"/>
      <c r="BI86" s="611"/>
      <c r="BJ86" s="592"/>
      <c r="BK86" s="611"/>
      <c r="BL86" s="307">
        <v>1</v>
      </c>
      <c r="BM86" s="307"/>
      <c r="BN86" s="86"/>
      <c r="BO86" s="307"/>
      <c r="BP86" s="307"/>
      <c r="BQ86" s="307"/>
      <c r="BR86" s="86"/>
      <c r="BS86" s="609">
        <f t="shared" si="10"/>
        <v>1</v>
      </c>
    </row>
    <row r="87" spans="1:71" s="430" customFormat="1" ht="98.25" customHeight="1">
      <c r="A87" s="451" t="s">
        <v>428</v>
      </c>
      <c r="B87" s="86">
        <v>253</v>
      </c>
      <c r="C87" s="215">
        <v>1015</v>
      </c>
      <c r="D87" s="215"/>
      <c r="E87" s="1531" t="s">
        <v>429</v>
      </c>
      <c r="F87" s="1532"/>
      <c r="G87" s="1532"/>
      <c r="H87" s="1533"/>
      <c r="I87" s="454"/>
      <c r="J87" s="454">
        <v>3341853</v>
      </c>
      <c r="K87" s="506" t="s">
        <v>109</v>
      </c>
      <c r="L87" s="506" t="s">
        <v>430</v>
      </c>
      <c r="M87" s="505" t="s">
        <v>202</v>
      </c>
      <c r="N87" s="505"/>
      <c r="O87" s="634"/>
      <c r="P87" s="454"/>
      <c r="Q87" s="454"/>
      <c r="R87" s="454"/>
      <c r="S87" s="454" t="s">
        <v>114</v>
      </c>
      <c r="T87" s="454"/>
      <c r="U87" s="454"/>
      <c r="V87" s="454"/>
      <c r="W87" s="454"/>
      <c r="X87" s="526" t="s">
        <v>99</v>
      </c>
      <c r="Y87" s="454"/>
      <c r="Z87" s="454" t="s">
        <v>47</v>
      </c>
      <c r="AA87" s="454"/>
      <c r="AB87" s="642" t="s">
        <v>419</v>
      </c>
      <c r="AC87" s="549">
        <v>41464</v>
      </c>
      <c r="AD87" s="550" t="s">
        <v>431</v>
      </c>
      <c r="AE87" s="552" t="s">
        <v>240</v>
      </c>
      <c r="AF87" s="551" t="s">
        <v>117</v>
      </c>
      <c r="AG87" s="642" t="s">
        <v>432</v>
      </c>
      <c r="AH87" s="648" t="s">
        <v>433</v>
      </c>
      <c r="AI87" s="646" t="s">
        <v>360</v>
      </c>
      <c r="AJ87" s="592">
        <f t="shared" si="9"/>
        <v>5</v>
      </c>
      <c r="AK87" s="454"/>
      <c r="AL87" s="307"/>
      <c r="AM87" s="307"/>
      <c r="AN87" s="307">
        <v>1</v>
      </c>
      <c r="AO87" s="307"/>
      <c r="AP87" s="307"/>
      <c r="AQ87" s="307">
        <v>1</v>
      </c>
      <c r="AR87" s="307"/>
      <c r="AS87" s="307"/>
      <c r="AT87" s="307">
        <v>1</v>
      </c>
      <c r="AU87" s="307">
        <v>1</v>
      </c>
      <c r="AV87" s="307"/>
      <c r="AW87" s="307"/>
      <c r="AX87" s="592"/>
      <c r="AY87" s="604"/>
      <c r="AZ87" s="605"/>
      <c r="BA87" s="307"/>
      <c r="BB87" s="307"/>
      <c r="BC87" s="307"/>
      <c r="BD87" s="307"/>
      <c r="BE87" s="307"/>
      <c r="BF87" s="609"/>
      <c r="BG87" s="605"/>
      <c r="BH87" s="605"/>
      <c r="BI87" s="611"/>
      <c r="BJ87" s="592"/>
      <c r="BK87" s="611"/>
      <c r="BL87" s="307"/>
      <c r="BM87" s="307">
        <v>1</v>
      </c>
      <c r="BN87" s="86"/>
      <c r="BO87" s="307"/>
      <c r="BP87" s="307"/>
      <c r="BQ87" s="307"/>
      <c r="BR87" s="86"/>
      <c r="BS87" s="609">
        <f t="shared" si="10"/>
        <v>1</v>
      </c>
    </row>
    <row r="88" spans="1:71" s="430" customFormat="1" ht="49.5" customHeight="1">
      <c r="A88" s="451" t="s">
        <v>148</v>
      </c>
      <c r="B88" s="86">
        <v>161</v>
      </c>
      <c r="C88" s="215">
        <v>1073</v>
      </c>
      <c r="D88" s="215" t="s">
        <v>123</v>
      </c>
      <c r="E88" s="1531" t="s">
        <v>434</v>
      </c>
      <c r="F88" s="1532"/>
      <c r="G88" s="1532"/>
      <c r="H88" s="1533"/>
      <c r="I88" s="454"/>
      <c r="J88" s="454">
        <v>3269112</v>
      </c>
      <c r="K88" s="510" t="s">
        <v>139</v>
      </c>
      <c r="L88" s="506" t="s">
        <v>435</v>
      </c>
      <c r="M88" s="507" t="s">
        <v>111</v>
      </c>
      <c r="N88" s="507" t="s">
        <v>436</v>
      </c>
      <c r="O88" s="508" t="s">
        <v>437</v>
      </c>
      <c r="P88" s="454"/>
      <c r="Q88" s="454"/>
      <c r="R88" s="454"/>
      <c r="S88" s="454" t="s">
        <v>114</v>
      </c>
      <c r="T88" s="454"/>
      <c r="U88" s="454"/>
      <c r="V88" s="454"/>
      <c r="W88" s="454"/>
      <c r="X88" s="526" t="s">
        <v>99</v>
      </c>
      <c r="Y88" s="526" t="s">
        <v>40</v>
      </c>
      <c r="Z88" s="454"/>
      <c r="AA88" s="454"/>
      <c r="AB88" s="643" t="s">
        <v>130</v>
      </c>
      <c r="AC88" s="549">
        <v>41456</v>
      </c>
      <c r="AD88" s="550" t="s">
        <v>438</v>
      </c>
      <c r="AE88" s="549">
        <v>41456</v>
      </c>
      <c r="AF88" s="549" t="s">
        <v>132</v>
      </c>
      <c r="AG88" s="642" t="s">
        <v>439</v>
      </c>
      <c r="AH88" s="648" t="s">
        <v>440</v>
      </c>
      <c r="AI88" s="505" t="s">
        <v>441</v>
      </c>
      <c r="AJ88" s="592">
        <f t="shared" si="9"/>
        <v>6</v>
      </c>
      <c r="AK88" s="454"/>
      <c r="AL88" s="307"/>
      <c r="AM88" s="307">
        <v>1</v>
      </c>
      <c r="AN88" s="307">
        <v>1</v>
      </c>
      <c r="AO88" s="307">
        <v>1</v>
      </c>
      <c r="AP88" s="307">
        <v>1</v>
      </c>
      <c r="AQ88" s="307"/>
      <c r="AR88" s="307"/>
      <c r="AS88" s="307">
        <v>1</v>
      </c>
      <c r="AT88" s="307"/>
      <c r="AU88" s="307"/>
      <c r="AV88" s="307" t="s">
        <v>136</v>
      </c>
      <c r="AW88" s="307" t="s">
        <v>136</v>
      </c>
      <c r="AX88" s="592"/>
      <c r="AY88" s="604"/>
      <c r="AZ88" s="605"/>
      <c r="BA88" s="307">
        <v>1</v>
      </c>
      <c r="BB88" s="307"/>
      <c r="BC88" s="307"/>
      <c r="BD88" s="307"/>
      <c r="BE88" s="307"/>
      <c r="BF88" s="609"/>
      <c r="BG88" s="605"/>
      <c r="BH88" s="605"/>
      <c r="BI88" s="611"/>
      <c r="BJ88" s="592"/>
      <c r="BK88" s="611"/>
      <c r="BL88" s="307"/>
      <c r="BM88" s="307"/>
      <c r="BN88" s="86"/>
      <c r="BO88" s="307" t="s">
        <v>136</v>
      </c>
      <c r="BP88" s="307"/>
      <c r="BQ88" s="307"/>
      <c r="BR88" s="86"/>
      <c r="BS88" s="609">
        <f t="shared" si="10"/>
        <v>0</v>
      </c>
    </row>
    <row r="89" spans="1:71" s="430" customFormat="1" ht="125.25" customHeight="1">
      <c r="A89" s="451" t="s">
        <v>148</v>
      </c>
      <c r="B89" s="86">
        <v>278</v>
      </c>
      <c r="C89" s="215">
        <v>1078</v>
      </c>
      <c r="D89" s="215"/>
      <c r="E89" s="1531" t="s">
        <v>442</v>
      </c>
      <c r="F89" s="1532"/>
      <c r="G89" s="1532"/>
      <c r="H89" s="1533"/>
      <c r="I89" s="454"/>
      <c r="J89" s="454">
        <v>3342618</v>
      </c>
      <c r="K89" s="506" t="s">
        <v>109</v>
      </c>
      <c r="L89" s="506" t="s">
        <v>443</v>
      </c>
      <c r="M89" s="505" t="s">
        <v>151</v>
      </c>
      <c r="N89" s="505"/>
      <c r="O89" s="508">
        <v>194278</v>
      </c>
      <c r="P89" s="454"/>
      <c r="Q89" s="454"/>
      <c r="R89" s="454"/>
      <c r="S89" s="454" t="s">
        <v>114</v>
      </c>
      <c r="T89" s="454"/>
      <c r="U89" s="454"/>
      <c r="V89" s="454"/>
      <c r="W89" s="454"/>
      <c r="X89" s="526" t="s">
        <v>99</v>
      </c>
      <c r="Y89" s="454"/>
      <c r="Z89" s="454"/>
      <c r="AA89" s="454"/>
      <c r="AB89" s="643" t="s">
        <v>419</v>
      </c>
      <c r="AC89" s="549">
        <v>41479</v>
      </c>
      <c r="AD89" s="550" t="s">
        <v>438</v>
      </c>
      <c r="AE89" s="552" t="s">
        <v>240</v>
      </c>
      <c r="AF89" s="551" t="s">
        <v>117</v>
      </c>
      <c r="AG89" s="642" t="s">
        <v>444</v>
      </c>
      <c r="AH89" s="648" t="s">
        <v>338</v>
      </c>
      <c r="AI89" s="505" t="s">
        <v>445</v>
      </c>
      <c r="AJ89" s="592">
        <f t="shared" si="9"/>
        <v>6</v>
      </c>
      <c r="AK89" s="454"/>
      <c r="AL89" s="307"/>
      <c r="AM89" s="307"/>
      <c r="AN89" s="307">
        <v>1</v>
      </c>
      <c r="AO89" s="307">
        <v>1</v>
      </c>
      <c r="AP89" s="307">
        <v>1</v>
      </c>
      <c r="AQ89" s="307">
        <v>1</v>
      </c>
      <c r="AR89" s="307">
        <v>1</v>
      </c>
      <c r="AS89" s="307"/>
      <c r="AT89" s="307">
        <v>1</v>
      </c>
      <c r="AU89" s="307"/>
      <c r="AV89" s="307" t="s">
        <v>136</v>
      </c>
      <c r="AW89" s="307" t="s">
        <v>136</v>
      </c>
      <c r="AX89" s="592"/>
      <c r="AY89" s="604"/>
      <c r="AZ89" s="605"/>
      <c r="BA89" s="307"/>
      <c r="BB89" s="307"/>
      <c r="BC89" s="307"/>
      <c r="BD89" s="307"/>
      <c r="BE89" s="307"/>
      <c r="BF89" s="609"/>
      <c r="BG89" s="605"/>
      <c r="BH89" s="605"/>
      <c r="BI89" s="611"/>
      <c r="BJ89" s="592"/>
      <c r="BK89" s="611"/>
      <c r="BL89" s="307"/>
      <c r="BM89" s="307"/>
      <c r="BN89" s="86"/>
      <c r="BO89" s="307" t="s">
        <v>136</v>
      </c>
      <c r="BP89" s="307"/>
      <c r="BQ89" s="307"/>
      <c r="BR89" s="86"/>
      <c r="BS89" s="609">
        <f t="shared" si="10"/>
        <v>0</v>
      </c>
    </row>
    <row r="90" spans="1:71" s="430" customFormat="1" ht="91.5" customHeight="1">
      <c r="A90" s="451" t="s">
        <v>106</v>
      </c>
      <c r="B90" s="86">
        <v>287</v>
      </c>
      <c r="C90" s="215">
        <v>1079</v>
      </c>
      <c r="D90" s="215"/>
      <c r="E90" s="1531" t="s">
        <v>446</v>
      </c>
      <c r="F90" s="1532"/>
      <c r="G90" s="1532"/>
      <c r="H90" s="1533"/>
      <c r="I90" s="454"/>
      <c r="J90" s="454">
        <v>3342611</v>
      </c>
      <c r="K90" s="506" t="s">
        <v>109</v>
      </c>
      <c r="L90" s="506" t="s">
        <v>447</v>
      </c>
      <c r="M90" s="505" t="s">
        <v>202</v>
      </c>
      <c r="N90" s="505"/>
      <c r="O90" s="508"/>
      <c r="P90" s="454"/>
      <c r="Q90" s="454"/>
      <c r="R90" s="454"/>
      <c r="S90" s="454" t="s">
        <v>114</v>
      </c>
      <c r="T90" s="454"/>
      <c r="U90" s="454"/>
      <c r="V90" s="454"/>
      <c r="W90" s="454"/>
      <c r="X90" s="526" t="s">
        <v>99</v>
      </c>
      <c r="Y90" s="454"/>
      <c r="Z90" s="454" t="s">
        <v>448</v>
      </c>
      <c r="AA90" s="454" t="s">
        <v>130</v>
      </c>
      <c r="AB90" s="642" t="s">
        <v>419</v>
      </c>
      <c r="AC90" s="549">
        <v>41466</v>
      </c>
      <c r="AD90" s="550" t="s">
        <v>449</v>
      </c>
      <c r="AE90" s="552" t="s">
        <v>31</v>
      </c>
      <c r="AF90" s="551" t="s">
        <v>117</v>
      </c>
      <c r="AG90" s="642" t="s">
        <v>450</v>
      </c>
      <c r="AH90" s="648" t="s">
        <v>260</v>
      </c>
      <c r="AI90" s="505" t="s">
        <v>260</v>
      </c>
      <c r="AJ90" s="592">
        <f t="shared" si="9"/>
        <v>1</v>
      </c>
      <c r="AK90" s="454"/>
      <c r="AL90" s="307"/>
      <c r="AM90" s="307"/>
      <c r="AN90" s="307"/>
      <c r="AO90" s="307">
        <v>1</v>
      </c>
      <c r="AP90" s="307"/>
      <c r="AQ90" s="307"/>
      <c r="AR90" s="307"/>
      <c r="AS90" s="307"/>
      <c r="AT90" s="307"/>
      <c r="AU90" s="307"/>
      <c r="AV90" s="307"/>
      <c r="AW90" s="307"/>
      <c r="AX90" s="592"/>
      <c r="AY90" s="604"/>
      <c r="AZ90" s="605"/>
      <c r="BA90" s="307"/>
      <c r="BB90" s="307"/>
      <c r="BC90" s="307"/>
      <c r="BD90" s="307"/>
      <c r="BE90" s="307"/>
      <c r="BF90" s="609"/>
      <c r="BG90" s="605"/>
      <c r="BH90" s="605"/>
      <c r="BI90" s="611"/>
      <c r="BJ90" s="592"/>
      <c r="BK90" s="611"/>
      <c r="BL90" s="307"/>
      <c r="BM90" s="307"/>
      <c r="BN90" s="86"/>
      <c r="BO90" s="307"/>
      <c r="BP90" s="307"/>
      <c r="BQ90" s="307"/>
      <c r="BR90" s="86"/>
      <c r="BS90" s="609">
        <f t="shared" si="10"/>
        <v>0</v>
      </c>
    </row>
    <row r="91" spans="1:71" s="430" customFormat="1" ht="84" customHeight="1">
      <c r="A91" s="451" t="s">
        <v>137</v>
      </c>
      <c r="B91" s="86">
        <v>254</v>
      </c>
      <c r="C91" s="215">
        <v>1016</v>
      </c>
      <c r="D91" s="215"/>
      <c r="E91" s="1531" t="s">
        <v>451</v>
      </c>
      <c r="F91" s="1532"/>
      <c r="G91" s="1532"/>
      <c r="H91" s="1533"/>
      <c r="I91" s="454"/>
      <c r="J91" s="454">
        <v>3342154</v>
      </c>
      <c r="K91" s="506" t="s">
        <v>109</v>
      </c>
      <c r="L91" s="506" t="s">
        <v>452</v>
      </c>
      <c r="M91" s="505" t="s">
        <v>151</v>
      </c>
      <c r="N91" s="505" t="s">
        <v>453</v>
      </c>
      <c r="O91" s="508">
        <v>194211</v>
      </c>
      <c r="P91" s="454"/>
      <c r="Q91" s="454"/>
      <c r="R91" s="454"/>
      <c r="S91" s="454" t="s">
        <v>114</v>
      </c>
      <c r="T91" s="454"/>
      <c r="U91" s="454"/>
      <c r="V91" s="454"/>
      <c r="W91" s="454"/>
      <c r="X91" s="526" t="s">
        <v>99</v>
      </c>
      <c r="Y91" s="454"/>
      <c r="Z91" s="454" t="s">
        <v>172</v>
      </c>
      <c r="AA91" s="454" t="s">
        <v>454</v>
      </c>
      <c r="AB91" s="643" t="s">
        <v>455</v>
      </c>
      <c r="AC91" s="549">
        <v>41472</v>
      </c>
      <c r="AD91" s="550" t="s">
        <v>456</v>
      </c>
      <c r="AE91" s="551">
        <v>41517</v>
      </c>
      <c r="AF91" s="551" t="s">
        <v>117</v>
      </c>
      <c r="AG91" s="642" t="s">
        <v>457</v>
      </c>
      <c r="AH91" s="648" t="s">
        <v>458</v>
      </c>
      <c r="AI91" s="505" t="s">
        <v>178</v>
      </c>
      <c r="AJ91" s="592">
        <f t="shared" si="9"/>
        <v>6</v>
      </c>
      <c r="AK91" s="454"/>
      <c r="AL91" s="307"/>
      <c r="AM91" s="307">
        <v>1</v>
      </c>
      <c r="AN91" s="307"/>
      <c r="AO91" s="307">
        <v>1</v>
      </c>
      <c r="AP91" s="307"/>
      <c r="AQ91" s="307">
        <v>1</v>
      </c>
      <c r="AR91" s="307"/>
      <c r="AS91" s="307"/>
      <c r="AT91" s="307"/>
      <c r="AU91" s="307">
        <v>1</v>
      </c>
      <c r="AV91" s="307"/>
      <c r="AW91" s="307"/>
      <c r="AX91" s="592"/>
      <c r="AY91" s="604"/>
      <c r="AZ91" s="605"/>
      <c r="BA91" s="307"/>
      <c r="BB91" s="307"/>
      <c r="BC91" s="307"/>
      <c r="BD91" s="307"/>
      <c r="BE91" s="307"/>
      <c r="BF91" s="609"/>
      <c r="BG91" s="605"/>
      <c r="BH91" s="605"/>
      <c r="BI91" s="611"/>
      <c r="BJ91" s="592"/>
      <c r="BK91" s="611"/>
      <c r="BL91" s="307"/>
      <c r="BM91" s="307">
        <v>1</v>
      </c>
      <c r="BN91" s="86">
        <v>1</v>
      </c>
      <c r="BO91" s="307"/>
      <c r="BP91" s="307"/>
      <c r="BQ91" s="307"/>
      <c r="BR91" s="86"/>
      <c r="BS91" s="609">
        <f t="shared" si="10"/>
        <v>2</v>
      </c>
    </row>
    <row r="92" spans="1:71" s="430" customFormat="1" ht="63" customHeight="1">
      <c r="A92" s="451" t="s">
        <v>148</v>
      </c>
      <c r="B92" s="86">
        <v>293</v>
      </c>
      <c r="C92" s="215">
        <v>1083</v>
      </c>
      <c r="D92" s="215" t="s">
        <v>123</v>
      </c>
      <c r="E92" s="1531" t="s">
        <v>459</v>
      </c>
      <c r="F92" s="1532"/>
      <c r="G92" s="1532"/>
      <c r="H92" s="1533"/>
      <c r="I92" s="454"/>
      <c r="J92" s="454">
        <v>3342612</v>
      </c>
      <c r="K92" s="506" t="s">
        <v>109</v>
      </c>
      <c r="L92" s="506" t="s">
        <v>460</v>
      </c>
      <c r="M92" s="507" t="s">
        <v>111</v>
      </c>
      <c r="N92" s="507" t="s">
        <v>461</v>
      </c>
      <c r="O92" s="508" t="s">
        <v>462</v>
      </c>
      <c r="P92" s="454"/>
      <c r="Q92" s="454"/>
      <c r="R92" s="454"/>
      <c r="S92" s="454" t="s">
        <v>114</v>
      </c>
      <c r="T92" s="454"/>
      <c r="U92" s="454"/>
      <c r="V92" s="454"/>
      <c r="W92" s="454"/>
      <c r="X92" s="526" t="s">
        <v>99</v>
      </c>
      <c r="Y92" s="454"/>
      <c r="Z92" s="454"/>
      <c r="AA92" s="454" t="s">
        <v>463</v>
      </c>
      <c r="AB92" s="642" t="s">
        <v>419</v>
      </c>
      <c r="AC92" s="549">
        <v>41458</v>
      </c>
      <c r="AD92" s="550" t="s">
        <v>464</v>
      </c>
      <c r="AE92" s="552">
        <v>41547</v>
      </c>
      <c r="AF92" s="551" t="s">
        <v>132</v>
      </c>
      <c r="AG92" s="642" t="s">
        <v>465</v>
      </c>
      <c r="AH92" s="648" t="s">
        <v>338</v>
      </c>
      <c r="AI92" s="505" t="s">
        <v>466</v>
      </c>
      <c r="AJ92" s="592">
        <f t="shared" si="9"/>
        <v>5</v>
      </c>
      <c r="AK92" s="454"/>
      <c r="AL92" s="307">
        <v>1</v>
      </c>
      <c r="AM92" s="307"/>
      <c r="AN92" s="307">
        <v>1</v>
      </c>
      <c r="AO92" s="307">
        <v>1</v>
      </c>
      <c r="AP92" s="307"/>
      <c r="AQ92" s="307" t="s">
        <v>121</v>
      </c>
      <c r="AR92" s="307" t="s">
        <v>121</v>
      </c>
      <c r="AS92" s="307" t="s">
        <v>121</v>
      </c>
      <c r="AT92" s="307" t="s">
        <v>121</v>
      </c>
      <c r="AU92" s="307" t="s">
        <v>121</v>
      </c>
      <c r="AV92" s="307">
        <v>1</v>
      </c>
      <c r="AW92" s="307">
        <v>1</v>
      </c>
      <c r="AX92" s="592"/>
      <c r="AY92" s="604"/>
      <c r="AZ92" s="605"/>
      <c r="BA92" s="307"/>
      <c r="BB92" s="307"/>
      <c r="BC92" s="307"/>
      <c r="BD92" s="307"/>
      <c r="BE92" s="307"/>
      <c r="BF92" s="609"/>
      <c r="BG92" s="605"/>
      <c r="BH92" s="605"/>
      <c r="BI92" s="611"/>
      <c r="BJ92" s="592"/>
      <c r="BK92" s="611"/>
      <c r="BL92" s="307"/>
      <c r="BM92" s="307"/>
      <c r="BN92" s="86"/>
      <c r="BO92" s="307" t="s">
        <v>136</v>
      </c>
      <c r="BP92" s="307"/>
      <c r="BQ92" s="307"/>
      <c r="BR92" s="86"/>
      <c r="BS92" s="609">
        <f t="shared" si="10"/>
        <v>0</v>
      </c>
    </row>
    <row r="93" spans="1:71" s="430" customFormat="1" ht="60.75" customHeight="1">
      <c r="A93" s="451" t="s">
        <v>148</v>
      </c>
      <c r="B93" s="86">
        <v>294</v>
      </c>
      <c r="C93" s="215">
        <v>1084</v>
      </c>
      <c r="D93" s="215" t="s">
        <v>123</v>
      </c>
      <c r="E93" s="1531" t="s">
        <v>467</v>
      </c>
      <c r="F93" s="1532"/>
      <c r="G93" s="1532"/>
      <c r="H93" s="1533"/>
      <c r="I93" s="454"/>
      <c r="J93" s="454">
        <v>3342610</v>
      </c>
      <c r="K93" s="506" t="s">
        <v>109</v>
      </c>
      <c r="L93" s="506" t="s">
        <v>468</v>
      </c>
      <c r="M93" s="507" t="s">
        <v>111</v>
      </c>
      <c r="N93" s="507" t="s">
        <v>469</v>
      </c>
      <c r="O93" s="508" t="s">
        <v>470</v>
      </c>
      <c r="P93" s="454"/>
      <c r="Q93" s="454"/>
      <c r="R93" s="454"/>
      <c r="S93" s="454"/>
      <c r="T93" s="454" t="s">
        <v>114</v>
      </c>
      <c r="U93" s="454" t="s">
        <v>114</v>
      </c>
      <c r="V93" s="454"/>
      <c r="W93" s="454"/>
      <c r="X93" s="526" t="s">
        <v>99</v>
      </c>
      <c r="Y93" s="454"/>
      <c r="Z93" s="454"/>
      <c r="AA93" s="454"/>
      <c r="AB93" s="642" t="s">
        <v>419</v>
      </c>
      <c r="AC93" s="549">
        <v>41456</v>
      </c>
      <c r="AD93" s="550" t="s">
        <v>471</v>
      </c>
      <c r="AE93" s="552">
        <v>41509</v>
      </c>
      <c r="AF93" s="551" t="s">
        <v>117</v>
      </c>
      <c r="AG93" s="642" t="s">
        <v>472</v>
      </c>
      <c r="AH93" s="648"/>
      <c r="AI93" s="505" t="s">
        <v>473</v>
      </c>
      <c r="AJ93" s="592">
        <f t="shared" si="9"/>
        <v>1</v>
      </c>
      <c r="AK93" s="454"/>
      <c r="AL93" s="307"/>
      <c r="AM93" s="307"/>
      <c r="AN93" s="307"/>
      <c r="AO93" s="307">
        <v>1</v>
      </c>
      <c r="AP93" s="307"/>
      <c r="AQ93" s="307" t="s">
        <v>121</v>
      </c>
      <c r="AR93" s="307" t="s">
        <v>121</v>
      </c>
      <c r="AS93" s="307" t="s">
        <v>121</v>
      </c>
      <c r="AT93" s="307" t="s">
        <v>121</v>
      </c>
      <c r="AU93" s="307" t="s">
        <v>121</v>
      </c>
      <c r="AV93" s="307"/>
      <c r="AW93" s="307"/>
      <c r="AX93" s="592"/>
      <c r="AY93" s="604"/>
      <c r="AZ93" s="605"/>
      <c r="BA93" s="307"/>
      <c r="BB93" s="307"/>
      <c r="BC93" s="307"/>
      <c r="BD93" s="307"/>
      <c r="BE93" s="307"/>
      <c r="BF93" s="609"/>
      <c r="BG93" s="605"/>
      <c r="BH93" s="605"/>
      <c r="BI93" s="611"/>
      <c r="BJ93" s="592"/>
      <c r="BK93" s="611"/>
      <c r="BL93" s="307"/>
      <c r="BM93" s="307"/>
      <c r="BN93" s="86"/>
      <c r="BO93" s="307"/>
      <c r="BP93" s="307"/>
      <c r="BQ93" s="307"/>
      <c r="BR93" s="86"/>
      <c r="BS93" s="609">
        <f t="shared" si="10"/>
        <v>0</v>
      </c>
    </row>
    <row r="94" spans="1:71" s="430" customFormat="1" ht="72" customHeight="1">
      <c r="A94" s="451" t="s">
        <v>187</v>
      </c>
      <c r="B94" s="86">
        <v>56</v>
      </c>
      <c r="C94" s="215">
        <v>1156</v>
      </c>
      <c r="D94" s="215"/>
      <c r="E94" s="1531" t="s">
        <v>474</v>
      </c>
      <c r="F94" s="1532"/>
      <c r="G94" s="1532"/>
      <c r="H94" s="1533"/>
      <c r="I94" s="454"/>
      <c r="J94" s="505">
        <v>3343314</v>
      </c>
      <c r="K94" s="506" t="s">
        <v>109</v>
      </c>
      <c r="L94" s="506" t="s">
        <v>475</v>
      </c>
      <c r="M94" s="505" t="s">
        <v>202</v>
      </c>
      <c r="N94" s="505"/>
      <c r="O94" s="508"/>
      <c r="P94" s="454"/>
      <c r="Q94" s="454"/>
      <c r="R94" s="454"/>
      <c r="S94" s="454"/>
      <c r="T94" s="454" t="s">
        <v>114</v>
      </c>
      <c r="U94" s="454"/>
      <c r="V94" s="454"/>
      <c r="W94" s="454"/>
      <c r="X94" s="526" t="s">
        <v>99</v>
      </c>
      <c r="Y94" s="454"/>
      <c r="Z94" s="526" t="s">
        <v>47</v>
      </c>
      <c r="AA94" s="454" t="s">
        <v>130</v>
      </c>
      <c r="AB94" s="643" t="s">
        <v>476</v>
      </c>
      <c r="AC94" s="549">
        <v>41471</v>
      </c>
      <c r="AD94" s="550" t="s">
        <v>477</v>
      </c>
      <c r="AE94" s="552" t="s">
        <v>240</v>
      </c>
      <c r="AF94" s="551" t="s">
        <v>117</v>
      </c>
      <c r="AG94" s="642" t="s">
        <v>478</v>
      </c>
      <c r="AH94" s="648" t="s">
        <v>479</v>
      </c>
      <c r="AI94" s="505" t="s">
        <v>479</v>
      </c>
      <c r="AJ94" s="592">
        <f t="shared" si="9"/>
        <v>0</v>
      </c>
      <c r="AK94" s="454"/>
      <c r="AL94" s="307"/>
      <c r="AM94" s="307"/>
      <c r="AN94" s="307"/>
      <c r="AO94" s="307"/>
      <c r="AP94" s="307"/>
      <c r="AQ94" s="307"/>
      <c r="AR94" s="307"/>
      <c r="AS94" s="307"/>
      <c r="AT94" s="307"/>
      <c r="AU94" s="307"/>
      <c r="AV94" s="307"/>
      <c r="AW94" s="307"/>
      <c r="AX94" s="592"/>
      <c r="AY94" s="604"/>
      <c r="AZ94" s="605"/>
      <c r="BA94" s="307"/>
      <c r="BB94" s="307"/>
      <c r="BC94" s="307"/>
      <c r="BD94" s="307"/>
      <c r="BE94" s="307"/>
      <c r="BF94" s="609"/>
      <c r="BG94" s="605"/>
      <c r="BH94" s="605"/>
      <c r="BI94" s="611"/>
      <c r="BJ94" s="592"/>
      <c r="BK94" s="611"/>
      <c r="BL94" s="307"/>
      <c r="BM94" s="307"/>
      <c r="BN94" s="86"/>
      <c r="BO94" s="307"/>
      <c r="BP94" s="307"/>
      <c r="BQ94" s="307"/>
      <c r="BR94" s="86"/>
      <c r="BS94" s="609">
        <f t="shared" si="10"/>
        <v>0</v>
      </c>
    </row>
    <row r="95" spans="1:71" s="430" customFormat="1" ht="36" customHeight="1">
      <c r="A95" s="451" t="s">
        <v>106</v>
      </c>
      <c r="B95" s="86">
        <v>259</v>
      </c>
      <c r="C95" s="215">
        <v>1159</v>
      </c>
      <c r="D95" s="215"/>
      <c r="E95" s="1531" t="s">
        <v>480</v>
      </c>
      <c r="F95" s="1532"/>
      <c r="G95" s="1532"/>
      <c r="H95" s="1533"/>
      <c r="I95" s="454"/>
      <c r="J95" s="505">
        <v>3344057</v>
      </c>
      <c r="K95" s="506" t="s">
        <v>303</v>
      </c>
      <c r="L95" s="506" t="s">
        <v>481</v>
      </c>
      <c r="M95" s="507" t="s">
        <v>111</v>
      </c>
      <c r="N95" s="507" t="s">
        <v>482</v>
      </c>
      <c r="O95" s="508" t="s">
        <v>483</v>
      </c>
      <c r="P95" s="454"/>
      <c r="Q95" s="454"/>
      <c r="R95" s="454"/>
      <c r="S95" s="454"/>
      <c r="T95" s="454" t="s">
        <v>114</v>
      </c>
      <c r="U95" s="454"/>
      <c r="V95" s="454"/>
      <c r="W95" s="454"/>
      <c r="X95" s="526" t="s">
        <v>99</v>
      </c>
      <c r="Y95" s="454"/>
      <c r="Z95" s="454"/>
      <c r="AA95" s="454"/>
      <c r="AB95" s="642" t="s">
        <v>419</v>
      </c>
      <c r="AC95" s="549">
        <v>41457</v>
      </c>
      <c r="AD95" s="550" t="s">
        <v>484</v>
      </c>
      <c r="AE95" s="549" t="s">
        <v>37</v>
      </c>
      <c r="AF95" s="551" t="s">
        <v>117</v>
      </c>
      <c r="AG95" s="642" t="s">
        <v>485</v>
      </c>
      <c r="AH95" s="648" t="s">
        <v>119</v>
      </c>
      <c r="AI95" s="505" t="s">
        <v>486</v>
      </c>
      <c r="AJ95" s="592">
        <f t="shared" si="9"/>
        <v>2</v>
      </c>
      <c r="AK95" s="454"/>
      <c r="AL95" s="307">
        <v>1</v>
      </c>
      <c r="AM95" s="307"/>
      <c r="AN95" s="307"/>
      <c r="AO95" s="307">
        <v>1</v>
      </c>
      <c r="AP95" s="307"/>
      <c r="AQ95" s="307" t="s">
        <v>121</v>
      </c>
      <c r="AR95" s="307" t="s">
        <v>121</v>
      </c>
      <c r="AS95" s="307" t="s">
        <v>121</v>
      </c>
      <c r="AT95" s="307" t="s">
        <v>121</v>
      </c>
      <c r="AU95" s="307" t="s">
        <v>121</v>
      </c>
      <c r="AV95" s="307"/>
      <c r="AW95" s="307"/>
      <c r="AX95" s="592"/>
      <c r="AY95" s="604"/>
      <c r="AZ95" s="605"/>
      <c r="BA95" s="307"/>
      <c r="BB95" s="307"/>
      <c r="BC95" s="307"/>
      <c r="BD95" s="307"/>
      <c r="BE95" s="307"/>
      <c r="BF95" s="609"/>
      <c r="BG95" s="605"/>
      <c r="BH95" s="605"/>
      <c r="BI95" s="611"/>
      <c r="BJ95" s="592"/>
      <c r="BK95" s="611"/>
      <c r="BL95" s="307"/>
      <c r="BM95" s="307"/>
      <c r="BN95" s="86"/>
      <c r="BO95" s="307"/>
      <c r="BP95" s="307"/>
      <c r="BQ95" s="307"/>
      <c r="BR95" s="86"/>
      <c r="BS95" s="609">
        <f t="shared" si="10"/>
        <v>0</v>
      </c>
    </row>
    <row r="96" spans="1:71" s="430" customFormat="1" ht="36" customHeight="1">
      <c r="A96" s="451" t="s">
        <v>106</v>
      </c>
      <c r="B96" s="86">
        <v>270</v>
      </c>
      <c r="C96" s="215">
        <v>1076</v>
      </c>
      <c r="D96" s="215"/>
      <c r="E96" s="1531" t="s">
        <v>487</v>
      </c>
      <c r="F96" s="1532"/>
      <c r="G96" s="1532"/>
      <c r="H96" s="1533"/>
      <c r="I96" s="454"/>
      <c r="J96" s="505">
        <v>3342656</v>
      </c>
      <c r="K96" s="506" t="s">
        <v>109</v>
      </c>
      <c r="L96" s="506" t="s">
        <v>488</v>
      </c>
      <c r="M96" s="505" t="s">
        <v>202</v>
      </c>
      <c r="N96" s="505"/>
      <c r="O96" s="508" t="s">
        <v>263</v>
      </c>
      <c r="P96" s="454"/>
      <c r="Q96" s="454"/>
      <c r="R96" s="454"/>
      <c r="S96" s="454" t="s">
        <v>114</v>
      </c>
      <c r="T96" s="454"/>
      <c r="U96" s="454"/>
      <c r="V96" s="454"/>
      <c r="W96" s="454"/>
      <c r="X96" s="526" t="s">
        <v>99</v>
      </c>
      <c r="Y96" s="454"/>
      <c r="Z96" s="454" t="s">
        <v>489</v>
      </c>
      <c r="AA96" s="454" t="s">
        <v>130</v>
      </c>
      <c r="AB96" s="643" t="s">
        <v>291</v>
      </c>
      <c r="AC96" s="549">
        <v>41459</v>
      </c>
      <c r="AD96" s="550" t="s">
        <v>490</v>
      </c>
      <c r="AE96" s="551" t="s">
        <v>37</v>
      </c>
      <c r="AF96" s="551" t="s">
        <v>117</v>
      </c>
      <c r="AG96" s="590" t="s">
        <v>491</v>
      </c>
      <c r="AH96" s="648" t="s">
        <v>492</v>
      </c>
      <c r="AI96" s="505" t="s">
        <v>492</v>
      </c>
      <c r="AJ96" s="592">
        <f t="shared" si="9"/>
        <v>2</v>
      </c>
      <c r="AK96" s="454"/>
      <c r="AL96" s="307"/>
      <c r="AM96" s="307"/>
      <c r="AN96" s="307"/>
      <c r="AO96" s="307">
        <v>1</v>
      </c>
      <c r="AP96" s="307"/>
      <c r="AQ96" s="307"/>
      <c r="AR96" s="307"/>
      <c r="AS96" s="307"/>
      <c r="AT96" s="307">
        <v>1</v>
      </c>
      <c r="AU96" s="307"/>
      <c r="AV96" s="307"/>
      <c r="AW96" s="307"/>
      <c r="AX96" s="592"/>
      <c r="AY96" s="604"/>
      <c r="AZ96" s="605"/>
      <c r="BA96" s="307"/>
      <c r="BB96" s="307"/>
      <c r="BC96" s="307"/>
      <c r="BD96" s="307"/>
      <c r="BE96" s="307"/>
      <c r="BF96" s="609"/>
      <c r="BG96" s="605"/>
      <c r="BH96" s="605"/>
      <c r="BI96" s="611"/>
      <c r="BJ96" s="592"/>
      <c r="BK96" s="611"/>
      <c r="BL96" s="307"/>
      <c r="BM96" s="307"/>
      <c r="BN96" s="86"/>
      <c r="BO96" s="307"/>
      <c r="BP96" s="307"/>
      <c r="BQ96" s="307"/>
      <c r="BR96" s="86"/>
      <c r="BS96" s="609">
        <f t="shared" si="10"/>
        <v>0</v>
      </c>
    </row>
    <row r="97" spans="1:71" s="430" customFormat="1" ht="60" customHeight="1">
      <c r="A97" s="451" t="s">
        <v>187</v>
      </c>
      <c r="B97" s="86">
        <v>290</v>
      </c>
      <c r="C97" s="215">
        <v>1081</v>
      </c>
      <c r="D97" s="215"/>
      <c r="E97" s="1531" t="s">
        <v>493</v>
      </c>
      <c r="F97" s="1532"/>
      <c r="G97" s="1532"/>
      <c r="H97" s="1533"/>
      <c r="I97" s="454"/>
      <c r="J97" s="505">
        <v>3343561</v>
      </c>
      <c r="K97" s="510" t="s">
        <v>139</v>
      </c>
      <c r="L97" s="506" t="s">
        <v>494</v>
      </c>
      <c r="M97" s="507" t="s">
        <v>111</v>
      </c>
      <c r="N97" s="507"/>
      <c r="O97" s="508"/>
      <c r="P97" s="454"/>
      <c r="Q97" s="454"/>
      <c r="R97" s="454"/>
      <c r="S97" s="454"/>
      <c r="T97" s="454" t="s">
        <v>114</v>
      </c>
      <c r="U97" s="454"/>
      <c r="V97" s="454"/>
      <c r="W97" s="454"/>
      <c r="X97" s="526" t="s">
        <v>99</v>
      </c>
      <c r="Y97" s="454"/>
      <c r="Z97" s="454"/>
      <c r="AA97" s="454"/>
      <c r="AB97" s="643" t="s">
        <v>130</v>
      </c>
      <c r="AC97" s="549">
        <v>41485</v>
      </c>
      <c r="AD97" s="550" t="s">
        <v>130</v>
      </c>
      <c r="AE97" s="549">
        <v>41485</v>
      </c>
      <c r="AF97" s="549" t="s">
        <v>132</v>
      </c>
      <c r="AG97" s="590" t="s">
        <v>495</v>
      </c>
      <c r="AH97" s="648" t="s">
        <v>496</v>
      </c>
      <c r="AI97" s="646" t="s">
        <v>496</v>
      </c>
      <c r="AJ97" s="592">
        <f t="shared" si="9"/>
        <v>1</v>
      </c>
      <c r="AK97" s="454"/>
      <c r="AL97" s="307"/>
      <c r="AM97" s="307"/>
      <c r="AN97" s="307"/>
      <c r="AO97" s="307">
        <v>1</v>
      </c>
      <c r="AP97" s="307"/>
      <c r="AQ97" s="307"/>
      <c r="AR97" s="307"/>
      <c r="AS97" s="307"/>
      <c r="AT97" s="307"/>
      <c r="AU97" s="307"/>
      <c r="AV97" s="307"/>
      <c r="AW97" s="307"/>
      <c r="AX97" s="592"/>
      <c r="AY97" s="604"/>
      <c r="AZ97" s="605"/>
      <c r="BA97" s="307"/>
      <c r="BB97" s="307"/>
      <c r="BC97" s="307"/>
      <c r="BD97" s="307"/>
      <c r="BE97" s="307"/>
      <c r="BF97" s="609"/>
      <c r="BG97" s="605"/>
      <c r="BH97" s="605"/>
      <c r="BI97" s="611"/>
      <c r="BJ97" s="592"/>
      <c r="BK97" s="611"/>
      <c r="BL97" s="307"/>
      <c r="BM97" s="307"/>
      <c r="BN97" s="86"/>
      <c r="BO97" s="307"/>
      <c r="BP97" s="307"/>
      <c r="BQ97" s="307"/>
      <c r="BR97" s="86"/>
      <c r="BS97" s="609">
        <f t="shared" si="10"/>
        <v>0</v>
      </c>
    </row>
    <row r="98" spans="1:71" s="430" customFormat="1" ht="72.75" customHeight="1">
      <c r="A98" s="451" t="s">
        <v>428</v>
      </c>
      <c r="B98" s="86">
        <v>296</v>
      </c>
      <c r="C98" s="215">
        <v>1229</v>
      </c>
      <c r="D98" s="215"/>
      <c r="E98" s="1531" t="s">
        <v>497</v>
      </c>
      <c r="F98" s="1532"/>
      <c r="G98" s="1532"/>
      <c r="H98" s="1533"/>
      <c r="I98" s="454"/>
      <c r="J98" s="505">
        <v>3344520</v>
      </c>
      <c r="K98" s="510" t="s">
        <v>139</v>
      </c>
      <c r="L98" s="506" t="s">
        <v>498</v>
      </c>
      <c r="M98" s="505" t="s">
        <v>202</v>
      </c>
      <c r="N98" s="505"/>
      <c r="O98" s="508"/>
      <c r="P98" s="454"/>
      <c r="Q98" s="454"/>
      <c r="R98" s="454"/>
      <c r="S98" s="454"/>
      <c r="T98" s="454" t="s">
        <v>114</v>
      </c>
      <c r="U98" s="454"/>
      <c r="V98" s="454"/>
      <c r="W98" s="454"/>
      <c r="X98" s="526" t="s">
        <v>99</v>
      </c>
      <c r="Y98" s="454"/>
      <c r="Z98" s="454" t="s">
        <v>499</v>
      </c>
      <c r="AA98" s="454" t="s">
        <v>130</v>
      </c>
      <c r="AB98" s="642" t="s">
        <v>419</v>
      </c>
      <c r="AC98" s="549">
        <v>41471</v>
      </c>
      <c r="AD98" s="550" t="s">
        <v>500</v>
      </c>
      <c r="AE98" s="549">
        <v>41485</v>
      </c>
      <c r="AF98" s="549" t="s">
        <v>132</v>
      </c>
      <c r="AG98" s="590" t="s">
        <v>501</v>
      </c>
      <c r="AH98" s="648" t="s">
        <v>502</v>
      </c>
      <c r="AI98" s="646" t="s">
        <v>360</v>
      </c>
      <c r="AJ98" s="592">
        <f t="shared" si="9"/>
        <v>0</v>
      </c>
      <c r="AK98" s="307"/>
      <c r="AL98" s="307"/>
      <c r="AM98" s="307"/>
      <c r="AN98" s="307"/>
      <c r="AO98" s="307"/>
      <c r="AP98" s="307"/>
      <c r="AQ98" s="307"/>
      <c r="AR98" s="307"/>
      <c r="AS98" s="307"/>
      <c r="AT98" s="307"/>
      <c r="AU98" s="307"/>
      <c r="AV98" s="307"/>
      <c r="AW98" s="307"/>
      <c r="AX98" s="592"/>
      <c r="AY98" s="604"/>
      <c r="AZ98" s="605"/>
      <c r="BA98" s="307"/>
      <c r="BB98" s="307"/>
      <c r="BC98" s="307"/>
      <c r="BD98" s="307"/>
      <c r="BE98" s="307"/>
      <c r="BF98" s="609"/>
      <c r="BG98" s="605"/>
      <c r="BH98" s="605"/>
      <c r="BI98" s="611"/>
      <c r="BJ98" s="592"/>
      <c r="BK98" s="611"/>
      <c r="BL98" s="307"/>
      <c r="BM98" s="307"/>
      <c r="BN98" s="86"/>
      <c r="BO98" s="307"/>
      <c r="BP98" s="307"/>
      <c r="BQ98" s="307"/>
      <c r="BR98" s="86"/>
      <c r="BS98" s="609">
        <f t="shared" si="10"/>
        <v>0</v>
      </c>
    </row>
    <row r="99" spans="1:71" s="430" customFormat="1" ht="48" customHeight="1">
      <c r="A99" s="451">
        <v>3</v>
      </c>
      <c r="B99" s="86">
        <v>18</v>
      </c>
      <c r="C99" s="215">
        <v>1339</v>
      </c>
      <c r="D99" s="215"/>
      <c r="E99" s="1531" t="s">
        <v>503</v>
      </c>
      <c r="F99" s="1532"/>
      <c r="G99" s="1532"/>
      <c r="H99" s="1533"/>
      <c r="I99" s="454"/>
      <c r="J99" s="505">
        <v>3247899</v>
      </c>
      <c r="K99" s="510" t="s">
        <v>139</v>
      </c>
      <c r="L99" s="506" t="s">
        <v>504</v>
      </c>
      <c r="M99" s="507" t="s">
        <v>111</v>
      </c>
      <c r="N99" s="507" t="s">
        <v>505</v>
      </c>
      <c r="O99" s="508" t="s">
        <v>506</v>
      </c>
      <c r="P99" s="454"/>
      <c r="Q99" s="454"/>
      <c r="R99" s="454"/>
      <c r="S99" s="454" t="s">
        <v>114</v>
      </c>
      <c r="T99" s="454"/>
      <c r="U99" s="454"/>
      <c r="V99" s="454"/>
      <c r="W99" s="454"/>
      <c r="X99" s="526" t="s">
        <v>99</v>
      </c>
      <c r="Y99" s="454"/>
      <c r="Z99" s="640" t="s">
        <v>507</v>
      </c>
      <c r="AA99" s="454" t="s">
        <v>508</v>
      </c>
      <c r="AB99" s="643" t="s">
        <v>130</v>
      </c>
      <c r="AC99" s="549">
        <v>41407</v>
      </c>
      <c r="AD99" s="550" t="s">
        <v>509</v>
      </c>
      <c r="AE99" s="549" t="s">
        <v>37</v>
      </c>
      <c r="AF99" s="551" t="s">
        <v>117</v>
      </c>
      <c r="AG99" s="590" t="s">
        <v>510</v>
      </c>
      <c r="AH99" s="648"/>
      <c r="AI99" s="646" t="s">
        <v>511</v>
      </c>
      <c r="AJ99" s="592">
        <f t="shared" si="9"/>
        <v>3</v>
      </c>
      <c r="AK99" s="307"/>
      <c r="AL99" s="307"/>
      <c r="AM99" s="307">
        <v>1</v>
      </c>
      <c r="AN99" s="307"/>
      <c r="AO99" s="307"/>
      <c r="AP99" s="307"/>
      <c r="AQ99" s="307"/>
      <c r="AR99" s="307"/>
      <c r="AS99" s="307"/>
      <c r="AT99" s="307">
        <v>1</v>
      </c>
      <c r="AU99" s="307"/>
      <c r="AV99" s="307"/>
      <c r="AW99" s="307"/>
      <c r="AX99" s="592"/>
      <c r="AY99" s="604"/>
      <c r="AZ99" s="605"/>
      <c r="BA99" s="307"/>
      <c r="BB99" s="307"/>
      <c r="BC99" s="307"/>
      <c r="BD99" s="307"/>
      <c r="BE99" s="307"/>
      <c r="BF99" s="609"/>
      <c r="BG99" s="605"/>
      <c r="BH99" s="605"/>
      <c r="BI99" s="611"/>
      <c r="BJ99" s="592"/>
      <c r="BK99" s="611"/>
      <c r="BL99" s="307"/>
      <c r="BM99" s="307"/>
      <c r="BN99" s="86">
        <v>1</v>
      </c>
      <c r="BO99" s="307"/>
      <c r="BP99" s="307"/>
      <c r="BQ99" s="307"/>
      <c r="BR99" s="86"/>
      <c r="BS99" s="609">
        <f t="shared" si="10"/>
        <v>1</v>
      </c>
    </row>
    <row r="100" spans="1:71" s="430" customFormat="1" ht="80.25" customHeight="1">
      <c r="A100" s="451">
        <v>3</v>
      </c>
      <c r="B100" s="86">
        <v>136</v>
      </c>
      <c r="C100" s="215">
        <v>1340</v>
      </c>
      <c r="D100" s="215" t="s">
        <v>123</v>
      </c>
      <c r="E100" s="1531" t="s">
        <v>512</v>
      </c>
      <c r="F100" s="1532"/>
      <c r="G100" s="1532"/>
      <c r="H100" s="1533"/>
      <c r="I100" s="454"/>
      <c r="J100" s="505">
        <v>3322309</v>
      </c>
      <c r="K100" s="506" t="s">
        <v>109</v>
      </c>
      <c r="L100" s="506" t="s">
        <v>513</v>
      </c>
      <c r="M100" s="507" t="s">
        <v>111</v>
      </c>
      <c r="N100" s="507" t="s">
        <v>514</v>
      </c>
      <c r="O100" s="508" t="s">
        <v>515</v>
      </c>
      <c r="P100" s="454"/>
      <c r="Q100" s="454"/>
      <c r="R100" s="454"/>
      <c r="S100" s="454" t="s">
        <v>114</v>
      </c>
      <c r="T100" s="454"/>
      <c r="U100" s="454"/>
      <c r="V100" s="454"/>
      <c r="W100" s="454"/>
      <c r="X100" s="526" t="s">
        <v>99</v>
      </c>
      <c r="Y100" s="454"/>
      <c r="Z100" s="640" t="s">
        <v>516</v>
      </c>
      <c r="AA100" s="454"/>
      <c r="AB100" s="643" t="s">
        <v>517</v>
      </c>
      <c r="AC100" s="549">
        <v>41503</v>
      </c>
      <c r="AD100" s="550" t="s">
        <v>518</v>
      </c>
      <c r="AE100" s="551">
        <v>41593</v>
      </c>
      <c r="AF100" s="551" t="s">
        <v>117</v>
      </c>
      <c r="AG100" s="590" t="s">
        <v>519</v>
      </c>
      <c r="AH100" s="648"/>
      <c r="AI100" s="646" t="s">
        <v>511</v>
      </c>
      <c r="AJ100" s="592">
        <f t="shared" si="9"/>
        <v>1</v>
      </c>
      <c r="AK100" s="307"/>
      <c r="AL100" s="307"/>
      <c r="AM100" s="307"/>
      <c r="AN100" s="307"/>
      <c r="AO100" s="307"/>
      <c r="AP100" s="307"/>
      <c r="AQ100" s="307"/>
      <c r="AR100" s="307"/>
      <c r="AS100" s="307"/>
      <c r="AT100" s="307"/>
      <c r="AU100" s="307"/>
      <c r="AV100" s="307"/>
      <c r="AW100" s="307"/>
      <c r="AX100" s="592"/>
      <c r="AY100" s="604"/>
      <c r="AZ100" s="605"/>
      <c r="BA100" s="307"/>
      <c r="BB100" s="307"/>
      <c r="BC100" s="307"/>
      <c r="BD100" s="307"/>
      <c r="BE100" s="307"/>
      <c r="BF100" s="609"/>
      <c r="BG100" s="605"/>
      <c r="BH100" s="605"/>
      <c r="BI100" s="611"/>
      <c r="BJ100" s="592"/>
      <c r="BK100" s="611"/>
      <c r="BL100" s="307"/>
      <c r="BM100" s="307"/>
      <c r="BN100" s="86">
        <v>1</v>
      </c>
      <c r="BO100" s="307"/>
      <c r="BP100" s="307"/>
      <c r="BQ100" s="307"/>
      <c r="BR100" s="86"/>
      <c r="BS100" s="609">
        <f t="shared" si="10"/>
        <v>1</v>
      </c>
    </row>
    <row r="101" spans="1:71" s="430" customFormat="1" ht="84" customHeight="1">
      <c r="A101" s="451" t="s">
        <v>106</v>
      </c>
      <c r="B101" s="86">
        <v>17</v>
      </c>
      <c r="C101" s="215">
        <v>1351</v>
      </c>
      <c r="D101" s="215"/>
      <c r="E101" s="1531" t="s">
        <v>520</v>
      </c>
      <c r="F101" s="1532"/>
      <c r="G101" s="1532"/>
      <c r="H101" s="1533"/>
      <c r="I101" s="454"/>
      <c r="J101" s="505">
        <v>3340271</v>
      </c>
      <c r="K101" s="510" t="s">
        <v>139</v>
      </c>
      <c r="L101" s="506" t="s">
        <v>521</v>
      </c>
      <c r="M101" s="505" t="s">
        <v>151</v>
      </c>
      <c r="N101" s="505"/>
      <c r="O101" s="508">
        <v>194425</v>
      </c>
      <c r="P101" s="454"/>
      <c r="Q101" s="454"/>
      <c r="R101" s="454"/>
      <c r="S101" s="454" t="s">
        <v>114</v>
      </c>
      <c r="T101" s="454"/>
      <c r="U101" s="454"/>
      <c r="V101" s="454"/>
      <c r="W101" s="454"/>
      <c r="X101" s="526" t="s">
        <v>99</v>
      </c>
      <c r="Y101" s="526" t="s">
        <v>40</v>
      </c>
      <c r="Z101" s="454"/>
      <c r="AA101" s="454"/>
      <c r="AB101" s="643"/>
      <c r="AC101" s="549">
        <v>41471</v>
      </c>
      <c r="AD101" s="550"/>
      <c r="AE101" s="549" t="s">
        <v>37</v>
      </c>
      <c r="AF101" s="551" t="s">
        <v>117</v>
      </c>
      <c r="AG101" s="590" t="s">
        <v>522</v>
      </c>
      <c r="AH101" s="648" t="s">
        <v>260</v>
      </c>
      <c r="AI101" s="646" t="s">
        <v>523</v>
      </c>
      <c r="AJ101" s="592">
        <f t="shared" si="9"/>
        <v>5</v>
      </c>
      <c r="AK101" s="307"/>
      <c r="AL101" s="307"/>
      <c r="AM101" s="307">
        <v>1</v>
      </c>
      <c r="AN101" s="307"/>
      <c r="AO101" s="307"/>
      <c r="AP101" s="307"/>
      <c r="AQ101" s="307">
        <v>1</v>
      </c>
      <c r="AR101" s="307">
        <v>1</v>
      </c>
      <c r="AS101" s="307"/>
      <c r="AT101" s="307">
        <v>1</v>
      </c>
      <c r="AU101" s="307"/>
      <c r="AV101" s="307"/>
      <c r="AW101" s="307"/>
      <c r="AX101" s="592"/>
      <c r="AY101" s="604"/>
      <c r="AZ101" s="605"/>
      <c r="BA101" s="307">
        <v>1</v>
      </c>
      <c r="BB101" s="307"/>
      <c r="BC101" s="307"/>
      <c r="BD101" s="307"/>
      <c r="BE101" s="307"/>
      <c r="BF101" s="609"/>
      <c r="BG101" s="605"/>
      <c r="BH101" s="605"/>
      <c r="BI101" s="611"/>
      <c r="BJ101" s="592"/>
      <c r="BK101" s="611"/>
      <c r="BL101" s="307"/>
      <c r="BM101" s="307"/>
      <c r="BN101" s="86"/>
      <c r="BO101" s="307"/>
      <c r="BP101" s="307"/>
      <c r="BQ101" s="307"/>
      <c r="BR101" s="86"/>
      <c r="BS101" s="609">
        <f t="shared" si="10"/>
        <v>0</v>
      </c>
    </row>
    <row r="102" spans="1:71" s="430" customFormat="1" ht="63.75" customHeight="1">
      <c r="A102" s="451" t="s">
        <v>106</v>
      </c>
      <c r="B102" s="86">
        <v>48</v>
      </c>
      <c r="C102" s="215">
        <v>1352</v>
      </c>
      <c r="D102" s="215" t="s">
        <v>123</v>
      </c>
      <c r="E102" s="1531" t="s">
        <v>524</v>
      </c>
      <c r="F102" s="1532"/>
      <c r="G102" s="1532"/>
      <c r="H102" s="1533"/>
      <c r="I102" s="454"/>
      <c r="J102" s="505">
        <v>3345828</v>
      </c>
      <c r="K102" s="506" t="s">
        <v>109</v>
      </c>
      <c r="L102" s="506" t="s">
        <v>525</v>
      </c>
      <c r="M102" s="507" t="s">
        <v>111</v>
      </c>
      <c r="N102" s="507"/>
      <c r="O102" s="508" t="s">
        <v>526</v>
      </c>
      <c r="P102" s="454"/>
      <c r="Q102" s="454"/>
      <c r="R102" s="454"/>
      <c r="S102" s="454" t="s">
        <v>114</v>
      </c>
      <c r="T102" s="454"/>
      <c r="U102" s="454"/>
      <c r="V102" s="454"/>
      <c r="W102" s="454"/>
      <c r="X102" s="526" t="s">
        <v>99</v>
      </c>
      <c r="Y102" s="454"/>
      <c r="Z102" s="454"/>
      <c r="AA102" s="454"/>
      <c r="AB102" s="643" t="s">
        <v>527</v>
      </c>
      <c r="AC102" s="549">
        <v>41471</v>
      </c>
      <c r="AD102" s="550" t="s">
        <v>528</v>
      </c>
      <c r="AE102" s="552">
        <v>41656</v>
      </c>
      <c r="AF102" s="551" t="s">
        <v>117</v>
      </c>
      <c r="AG102" s="590" t="s">
        <v>529</v>
      </c>
      <c r="AH102" s="648" t="s">
        <v>530</v>
      </c>
      <c r="AI102" s="646" t="s">
        <v>530</v>
      </c>
      <c r="AJ102" s="592">
        <f t="shared" si="9"/>
        <v>4</v>
      </c>
      <c r="AK102" s="307"/>
      <c r="AL102" s="307"/>
      <c r="AM102" s="307">
        <v>1</v>
      </c>
      <c r="AN102" s="307"/>
      <c r="AO102" s="307"/>
      <c r="AP102" s="307"/>
      <c r="AQ102" s="307">
        <v>1</v>
      </c>
      <c r="AR102" s="307"/>
      <c r="AS102" s="307">
        <v>1</v>
      </c>
      <c r="AT102" s="307">
        <v>1</v>
      </c>
      <c r="AU102" s="307"/>
      <c r="AV102" s="307"/>
      <c r="AW102" s="307"/>
      <c r="AX102" s="592"/>
      <c r="AY102" s="604"/>
      <c r="AZ102" s="605"/>
      <c r="BA102" s="307"/>
      <c r="BB102" s="307"/>
      <c r="BC102" s="307"/>
      <c r="BD102" s="307"/>
      <c r="BE102" s="307"/>
      <c r="BF102" s="609"/>
      <c r="BG102" s="605"/>
      <c r="BH102" s="605"/>
      <c r="BI102" s="611"/>
      <c r="BJ102" s="592"/>
      <c r="BK102" s="611"/>
      <c r="BL102" s="307"/>
      <c r="BM102" s="307"/>
      <c r="BN102" s="86"/>
      <c r="BO102" s="307"/>
      <c r="BP102" s="307"/>
      <c r="BQ102" s="307"/>
      <c r="BR102" s="86"/>
      <c r="BS102" s="609">
        <f t="shared" si="10"/>
        <v>0</v>
      </c>
    </row>
    <row r="103" spans="1:71" s="430" customFormat="1" ht="68.25" customHeight="1">
      <c r="A103" s="451" t="s">
        <v>106</v>
      </c>
      <c r="B103" s="86">
        <v>281</v>
      </c>
      <c r="C103" s="215">
        <v>1353</v>
      </c>
      <c r="D103" s="215"/>
      <c r="E103" s="1531" t="s">
        <v>531</v>
      </c>
      <c r="F103" s="1532"/>
      <c r="G103" s="1532"/>
      <c r="H103" s="1533"/>
      <c r="I103" s="454"/>
      <c r="J103" s="505">
        <v>3345805</v>
      </c>
      <c r="K103" s="506" t="s">
        <v>109</v>
      </c>
      <c r="L103" s="506" t="s">
        <v>532</v>
      </c>
      <c r="M103" s="505" t="s">
        <v>202</v>
      </c>
      <c r="N103" s="505"/>
      <c r="O103" s="508">
        <v>194812</v>
      </c>
      <c r="P103" s="454"/>
      <c r="Q103" s="454"/>
      <c r="R103" s="454"/>
      <c r="S103" s="454" t="s">
        <v>114</v>
      </c>
      <c r="T103" s="454"/>
      <c r="U103" s="454"/>
      <c r="V103" s="454"/>
      <c r="W103" s="454"/>
      <c r="X103" s="526" t="s">
        <v>99</v>
      </c>
      <c r="Y103" s="526" t="s">
        <v>40</v>
      </c>
      <c r="Z103" s="454" t="s">
        <v>203</v>
      </c>
      <c r="AA103" s="454"/>
      <c r="AB103" s="643" t="s">
        <v>291</v>
      </c>
      <c r="AC103" s="549">
        <v>41491</v>
      </c>
      <c r="AD103" s="550" t="s">
        <v>533</v>
      </c>
      <c r="AE103" s="551" t="s">
        <v>37</v>
      </c>
      <c r="AF103" s="551" t="s">
        <v>117</v>
      </c>
      <c r="AG103" s="590" t="s">
        <v>534</v>
      </c>
      <c r="AH103" s="648"/>
      <c r="AI103" s="646" t="s">
        <v>535</v>
      </c>
      <c r="AJ103" s="592">
        <f t="shared" si="9"/>
        <v>7</v>
      </c>
      <c r="AK103" s="307"/>
      <c r="AL103" s="307"/>
      <c r="AM103" s="307">
        <v>1</v>
      </c>
      <c r="AN103" s="307">
        <v>1</v>
      </c>
      <c r="AO103" s="307">
        <v>1</v>
      </c>
      <c r="AP103" s="307"/>
      <c r="AQ103" s="307"/>
      <c r="AR103" s="307">
        <v>1</v>
      </c>
      <c r="AS103" s="307">
        <v>1</v>
      </c>
      <c r="AT103" s="307">
        <v>1</v>
      </c>
      <c r="AU103" s="307"/>
      <c r="AV103" s="307"/>
      <c r="AW103" s="307"/>
      <c r="AX103" s="592"/>
      <c r="AY103" s="604"/>
      <c r="AZ103" s="605"/>
      <c r="BA103" s="307">
        <v>1</v>
      </c>
      <c r="BB103" s="307"/>
      <c r="BC103" s="307"/>
      <c r="BD103" s="307"/>
      <c r="BE103" s="307"/>
      <c r="BF103" s="609"/>
      <c r="BG103" s="605"/>
      <c r="BH103" s="605"/>
      <c r="BI103" s="611"/>
      <c r="BJ103" s="592"/>
      <c r="BK103" s="611"/>
      <c r="BL103" s="307"/>
      <c r="BM103" s="307"/>
      <c r="BN103" s="86"/>
      <c r="BO103" s="307"/>
      <c r="BP103" s="307"/>
      <c r="BQ103" s="307"/>
      <c r="BR103" s="86"/>
      <c r="BS103" s="609">
        <f t="shared" si="10"/>
        <v>0</v>
      </c>
    </row>
    <row r="104" spans="1:71" s="430" customFormat="1" ht="90" customHeight="1">
      <c r="A104" s="451" t="s">
        <v>209</v>
      </c>
      <c r="B104" s="86">
        <v>299</v>
      </c>
      <c r="C104" s="215">
        <v>1354</v>
      </c>
      <c r="D104" s="215" t="s">
        <v>123</v>
      </c>
      <c r="E104" s="1531" t="s">
        <v>536</v>
      </c>
      <c r="F104" s="1532"/>
      <c r="G104" s="1532"/>
      <c r="H104" s="1533"/>
      <c r="I104" s="454"/>
      <c r="J104" s="505">
        <v>3344667</v>
      </c>
      <c r="K104" s="506" t="s">
        <v>109</v>
      </c>
      <c r="L104" s="506" t="s">
        <v>537</v>
      </c>
      <c r="M104" s="507" t="s">
        <v>111</v>
      </c>
      <c r="N104" s="507" t="s">
        <v>538</v>
      </c>
      <c r="O104" s="508" t="s">
        <v>539</v>
      </c>
      <c r="P104" s="454"/>
      <c r="Q104" s="454"/>
      <c r="R104" s="454"/>
      <c r="S104" s="454" t="s">
        <v>114</v>
      </c>
      <c r="T104" s="454"/>
      <c r="U104" s="454"/>
      <c r="V104" s="454"/>
      <c r="W104" s="454"/>
      <c r="X104" s="526" t="s">
        <v>99</v>
      </c>
      <c r="Y104" s="454"/>
      <c r="Z104" s="454"/>
      <c r="AA104" s="454"/>
      <c r="AB104" s="643" t="s">
        <v>540</v>
      </c>
      <c r="AC104" s="549">
        <v>41503</v>
      </c>
      <c r="AD104" s="550" t="s">
        <v>541</v>
      </c>
      <c r="AE104" s="551">
        <v>41520</v>
      </c>
      <c r="AF104" s="551" t="s">
        <v>117</v>
      </c>
      <c r="AG104" s="590" t="s">
        <v>542</v>
      </c>
      <c r="AH104" s="648" t="s">
        <v>543</v>
      </c>
      <c r="AI104" s="646" t="s">
        <v>544</v>
      </c>
      <c r="AJ104" s="592">
        <f t="shared" si="9"/>
        <v>4</v>
      </c>
      <c r="AK104" s="307"/>
      <c r="AL104" s="307"/>
      <c r="AM104" s="307"/>
      <c r="AN104" s="307"/>
      <c r="AO104" s="307"/>
      <c r="AP104" s="307"/>
      <c r="AQ104" s="307">
        <v>1</v>
      </c>
      <c r="AR104" s="307">
        <v>1</v>
      </c>
      <c r="AS104" s="307">
        <v>1</v>
      </c>
      <c r="AT104" s="307"/>
      <c r="AU104" s="307"/>
      <c r="AV104" s="307"/>
      <c r="AW104" s="307"/>
      <c r="AX104" s="592"/>
      <c r="AY104" s="604"/>
      <c r="AZ104" s="605"/>
      <c r="BA104" s="307"/>
      <c r="BB104" s="307"/>
      <c r="BC104" s="307"/>
      <c r="BD104" s="307"/>
      <c r="BE104" s="307"/>
      <c r="BF104" s="609"/>
      <c r="BG104" s="605"/>
      <c r="BH104" s="605"/>
      <c r="BI104" s="611"/>
      <c r="BJ104" s="592"/>
      <c r="BK104" s="611"/>
      <c r="BL104" s="307"/>
      <c r="BM104" s="307"/>
      <c r="BN104" s="86">
        <v>1</v>
      </c>
      <c r="BO104" s="307"/>
      <c r="BP104" s="307"/>
      <c r="BQ104" s="307"/>
      <c r="BR104" s="86"/>
      <c r="BS104" s="609">
        <f t="shared" si="10"/>
        <v>1</v>
      </c>
    </row>
    <row r="105" spans="1:71" s="430" customFormat="1" ht="76.5" customHeight="1">
      <c r="A105" s="451" t="s">
        <v>148</v>
      </c>
      <c r="B105" s="86">
        <v>304</v>
      </c>
      <c r="C105" s="215">
        <v>1355</v>
      </c>
      <c r="D105" s="215"/>
      <c r="E105" s="1531" t="s">
        <v>545</v>
      </c>
      <c r="F105" s="1532"/>
      <c r="G105" s="1532"/>
      <c r="H105" s="1533"/>
      <c r="I105" s="454"/>
      <c r="J105" s="505">
        <v>3344908</v>
      </c>
      <c r="K105" s="506" t="s">
        <v>109</v>
      </c>
      <c r="L105" s="506" t="s">
        <v>546</v>
      </c>
      <c r="M105" s="505" t="s">
        <v>202</v>
      </c>
      <c r="N105" s="505"/>
      <c r="O105" s="508"/>
      <c r="P105" s="454"/>
      <c r="Q105" s="454"/>
      <c r="R105" s="454"/>
      <c r="S105" s="454" t="s">
        <v>114</v>
      </c>
      <c r="T105" s="454"/>
      <c r="U105" s="454"/>
      <c r="V105" s="454"/>
      <c r="W105" s="454"/>
      <c r="X105" s="526" t="s">
        <v>99</v>
      </c>
      <c r="Y105" s="454"/>
      <c r="Z105" s="454" t="s">
        <v>547</v>
      </c>
      <c r="AA105" s="454" t="s">
        <v>130</v>
      </c>
      <c r="AB105" s="643" t="s">
        <v>548</v>
      </c>
      <c r="AC105" s="549">
        <v>41471</v>
      </c>
      <c r="AD105" s="550" t="s">
        <v>549</v>
      </c>
      <c r="AE105" s="549" t="s">
        <v>37</v>
      </c>
      <c r="AF105" s="551" t="s">
        <v>117</v>
      </c>
      <c r="AG105" s="590" t="s">
        <v>550</v>
      </c>
      <c r="AH105" s="648"/>
      <c r="AI105" s="646" t="s">
        <v>551</v>
      </c>
      <c r="AJ105" s="592">
        <f t="shared" si="9"/>
        <v>1</v>
      </c>
      <c r="AK105" s="307"/>
      <c r="AL105" s="307"/>
      <c r="AM105" s="307">
        <v>1</v>
      </c>
      <c r="AN105" s="307"/>
      <c r="AO105" s="307"/>
      <c r="AP105" s="307"/>
      <c r="AQ105" s="307"/>
      <c r="AR105" s="307"/>
      <c r="AS105" s="307"/>
      <c r="AT105" s="307"/>
      <c r="AU105" s="307"/>
      <c r="AV105" s="307"/>
      <c r="AW105" s="307"/>
      <c r="AX105" s="592"/>
      <c r="AY105" s="604"/>
      <c r="AZ105" s="605"/>
      <c r="BA105" s="307"/>
      <c r="BB105" s="307"/>
      <c r="BC105" s="307"/>
      <c r="BD105" s="307"/>
      <c r="BE105" s="307"/>
      <c r="BF105" s="609"/>
      <c r="BG105" s="605"/>
      <c r="BH105" s="605"/>
      <c r="BI105" s="611"/>
      <c r="BJ105" s="592"/>
      <c r="BK105" s="611"/>
      <c r="BL105" s="307"/>
      <c r="BM105" s="307"/>
      <c r="BN105" s="86"/>
      <c r="BO105" s="307"/>
      <c r="BP105" s="307"/>
      <c r="BQ105" s="307"/>
      <c r="BR105" s="86"/>
      <c r="BS105" s="609">
        <f t="shared" si="10"/>
        <v>0</v>
      </c>
    </row>
    <row r="106" spans="1:71" s="430" customFormat="1" ht="91.5" customHeight="1">
      <c r="A106" s="451" t="s">
        <v>148</v>
      </c>
      <c r="B106" s="86">
        <v>305</v>
      </c>
      <c r="C106" s="215">
        <v>1357</v>
      </c>
      <c r="D106" s="215"/>
      <c r="E106" s="1531" t="s">
        <v>552</v>
      </c>
      <c r="F106" s="1532"/>
      <c r="G106" s="1532"/>
      <c r="H106" s="1533"/>
      <c r="I106" s="454"/>
      <c r="J106" s="505">
        <v>3344910</v>
      </c>
      <c r="K106" s="506" t="s">
        <v>109</v>
      </c>
      <c r="L106" s="506" t="s">
        <v>553</v>
      </c>
      <c r="M106" s="507" t="s">
        <v>111</v>
      </c>
      <c r="N106" s="507" t="s">
        <v>554</v>
      </c>
      <c r="O106" s="508" t="s">
        <v>555</v>
      </c>
      <c r="P106" s="454"/>
      <c r="Q106" s="454"/>
      <c r="R106" s="454"/>
      <c r="S106" s="454"/>
      <c r="T106" s="454" t="s">
        <v>114</v>
      </c>
      <c r="U106" s="454"/>
      <c r="V106" s="454"/>
      <c r="W106" s="454"/>
      <c r="X106" s="526" t="s">
        <v>99</v>
      </c>
      <c r="Y106" s="454"/>
      <c r="Z106" s="454"/>
      <c r="AA106" s="454"/>
      <c r="AB106" s="643" t="s">
        <v>556</v>
      </c>
      <c r="AC106" s="549">
        <v>41470</v>
      </c>
      <c r="AD106" s="550" t="s">
        <v>557</v>
      </c>
      <c r="AE106" s="552">
        <v>41633</v>
      </c>
      <c r="AF106" s="551" t="s">
        <v>117</v>
      </c>
      <c r="AG106" s="590" t="s">
        <v>558</v>
      </c>
      <c r="AH106" s="648"/>
      <c r="AI106" s="646" t="s">
        <v>559</v>
      </c>
      <c r="AJ106" s="592">
        <f t="shared" si="9"/>
        <v>1</v>
      </c>
      <c r="AK106" s="307"/>
      <c r="AL106" s="307"/>
      <c r="AM106" s="307">
        <v>1</v>
      </c>
      <c r="AN106" s="307"/>
      <c r="AO106" s="307"/>
      <c r="AP106" s="307"/>
      <c r="AQ106" s="307"/>
      <c r="AR106" s="307"/>
      <c r="AS106" s="307"/>
      <c r="AT106" s="307"/>
      <c r="AU106" s="307"/>
      <c r="AV106" s="307"/>
      <c r="AW106" s="307"/>
      <c r="AX106" s="592"/>
      <c r="AY106" s="604"/>
      <c r="AZ106" s="605"/>
      <c r="BA106" s="307"/>
      <c r="BB106" s="307"/>
      <c r="BC106" s="307"/>
      <c r="BD106" s="307"/>
      <c r="BE106" s="307"/>
      <c r="BF106" s="609"/>
      <c r="BG106" s="605"/>
      <c r="BH106" s="605"/>
      <c r="BI106" s="611"/>
      <c r="BJ106" s="592"/>
      <c r="BK106" s="611"/>
      <c r="BL106" s="307"/>
      <c r="BM106" s="307"/>
      <c r="BN106" s="86"/>
      <c r="BO106" s="307"/>
      <c r="BP106" s="307"/>
      <c r="BQ106" s="307"/>
      <c r="BR106" s="86"/>
      <c r="BS106" s="609">
        <f t="shared" si="10"/>
        <v>0</v>
      </c>
    </row>
    <row r="107" spans="1:71" s="430" customFormat="1" ht="68.25" customHeight="1">
      <c r="A107" s="451" t="s">
        <v>187</v>
      </c>
      <c r="B107" s="86">
        <v>133</v>
      </c>
      <c r="C107" s="215">
        <v>1230</v>
      </c>
      <c r="D107" s="215"/>
      <c r="E107" s="1531" t="s">
        <v>560</v>
      </c>
      <c r="F107" s="1532"/>
      <c r="G107" s="1532"/>
      <c r="H107" s="1533"/>
      <c r="I107" s="454">
        <v>3344026</v>
      </c>
      <c r="J107" s="505">
        <v>3344026</v>
      </c>
      <c r="K107" s="510" t="s">
        <v>139</v>
      </c>
      <c r="L107" s="506" t="s">
        <v>561</v>
      </c>
      <c r="M107" s="507" t="s">
        <v>111</v>
      </c>
      <c r="N107" s="507"/>
      <c r="O107" s="508"/>
      <c r="P107" s="454"/>
      <c r="Q107" s="454"/>
      <c r="R107" s="454"/>
      <c r="S107" s="454"/>
      <c r="T107" s="454" t="s">
        <v>114</v>
      </c>
      <c r="U107" s="454"/>
      <c r="V107" s="454"/>
      <c r="W107" s="454"/>
      <c r="X107" s="526" t="s">
        <v>99</v>
      </c>
      <c r="Y107" s="454"/>
      <c r="Z107" s="454"/>
      <c r="AA107" s="454"/>
      <c r="AB107" s="643" t="s">
        <v>130</v>
      </c>
      <c r="AC107" s="549">
        <v>41485</v>
      </c>
      <c r="AD107" s="550" t="s">
        <v>562</v>
      </c>
      <c r="AE107" s="549">
        <v>41485</v>
      </c>
      <c r="AF107" s="549" t="s">
        <v>132</v>
      </c>
      <c r="AG107" s="590" t="s">
        <v>563</v>
      </c>
      <c r="AH107" s="648"/>
      <c r="AI107" s="646" t="s">
        <v>564</v>
      </c>
      <c r="AJ107" s="592">
        <f t="shared" si="9"/>
        <v>2</v>
      </c>
      <c r="AK107" s="307"/>
      <c r="AL107" s="307"/>
      <c r="AM107" s="307"/>
      <c r="AN107" s="307"/>
      <c r="AO107" s="307"/>
      <c r="AP107" s="307"/>
      <c r="AQ107" s="307"/>
      <c r="AR107" s="307"/>
      <c r="AS107" s="307"/>
      <c r="AT107" s="307"/>
      <c r="AU107" s="307"/>
      <c r="AV107" s="307"/>
      <c r="AW107" s="307"/>
      <c r="AX107" s="592"/>
      <c r="AY107" s="604"/>
      <c r="AZ107" s="605"/>
      <c r="BA107" s="307"/>
      <c r="BB107" s="307"/>
      <c r="BC107" s="307"/>
      <c r="BD107" s="307"/>
      <c r="BE107" s="307"/>
      <c r="BF107" s="609"/>
      <c r="BG107" s="605"/>
      <c r="BH107" s="605"/>
      <c r="BI107" s="611"/>
      <c r="BJ107" s="592">
        <v>1</v>
      </c>
      <c r="BK107" s="611"/>
      <c r="BL107" s="307">
        <v>1</v>
      </c>
      <c r="BM107" s="307"/>
      <c r="BN107" s="86"/>
      <c r="BO107" s="307"/>
      <c r="BP107" s="307"/>
      <c r="BQ107" s="307"/>
      <c r="BR107" s="86"/>
      <c r="BS107" s="609">
        <f t="shared" si="10"/>
        <v>2</v>
      </c>
    </row>
    <row r="108" spans="1:71" s="430" customFormat="1" ht="90.75" customHeight="1">
      <c r="A108" s="451" t="s">
        <v>137</v>
      </c>
      <c r="B108" s="86">
        <v>307</v>
      </c>
      <c r="C108" s="215">
        <v>1330</v>
      </c>
      <c r="D108" s="215"/>
      <c r="E108" s="1531" t="s">
        <v>565</v>
      </c>
      <c r="F108" s="1532"/>
      <c r="G108" s="1532"/>
      <c r="H108" s="1533"/>
      <c r="I108" s="454">
        <v>3344678</v>
      </c>
      <c r="J108" s="505">
        <v>3344678</v>
      </c>
      <c r="K108" s="506" t="s">
        <v>109</v>
      </c>
      <c r="L108" s="506" t="s">
        <v>566</v>
      </c>
      <c r="M108" s="505" t="s">
        <v>151</v>
      </c>
      <c r="N108" s="505"/>
      <c r="O108" s="508">
        <v>194627</v>
      </c>
      <c r="P108" s="454"/>
      <c r="Q108" s="454"/>
      <c r="R108" s="454"/>
      <c r="S108" s="454" t="s">
        <v>114</v>
      </c>
      <c r="T108" s="454"/>
      <c r="U108" s="454"/>
      <c r="V108" s="454"/>
      <c r="W108" s="454"/>
      <c r="X108" s="526" t="s">
        <v>99</v>
      </c>
      <c r="Y108" s="454"/>
      <c r="Z108" s="454" t="s">
        <v>567</v>
      </c>
      <c r="AA108" s="454" t="s">
        <v>568</v>
      </c>
      <c r="AB108" s="643" t="s">
        <v>419</v>
      </c>
      <c r="AC108" s="549">
        <v>41481</v>
      </c>
      <c r="AD108" s="550" t="s">
        <v>569</v>
      </c>
      <c r="AE108" s="551">
        <v>41520</v>
      </c>
      <c r="AF108" s="551" t="s">
        <v>117</v>
      </c>
      <c r="AG108" s="590" t="s">
        <v>570</v>
      </c>
      <c r="AH108" s="648"/>
      <c r="AI108" s="646" t="s">
        <v>571</v>
      </c>
      <c r="AJ108" s="592">
        <f t="shared" si="9"/>
        <v>0</v>
      </c>
      <c r="AK108" s="307"/>
      <c r="AL108" s="307"/>
      <c r="AM108" s="307"/>
      <c r="AN108" s="307"/>
      <c r="AO108" s="307"/>
      <c r="AP108" s="307"/>
      <c r="AQ108" s="307"/>
      <c r="AR108" s="307"/>
      <c r="AS108" s="307"/>
      <c r="AT108" s="307"/>
      <c r="AU108" s="307"/>
      <c r="AV108" s="307"/>
      <c r="AW108" s="307"/>
      <c r="AX108" s="592"/>
      <c r="AY108" s="604"/>
      <c r="AZ108" s="605"/>
      <c r="BA108" s="307"/>
      <c r="BB108" s="307"/>
      <c r="BC108" s="307"/>
      <c r="BD108" s="307"/>
      <c r="BE108" s="307"/>
      <c r="BF108" s="609"/>
      <c r="BG108" s="605"/>
      <c r="BH108" s="605"/>
      <c r="BI108" s="611"/>
      <c r="BJ108" s="592"/>
      <c r="BK108" s="611"/>
      <c r="BL108" s="307"/>
      <c r="BM108" s="307"/>
      <c r="BN108" s="86"/>
      <c r="BO108" s="307"/>
      <c r="BP108" s="307"/>
      <c r="BQ108" s="307"/>
      <c r="BR108" s="86"/>
      <c r="BS108" s="609">
        <f t="shared" si="10"/>
        <v>0</v>
      </c>
    </row>
    <row r="109" spans="1:71" s="430" customFormat="1" ht="72.75" customHeight="1">
      <c r="A109" s="451" t="s">
        <v>148</v>
      </c>
      <c r="B109" s="86">
        <v>84</v>
      </c>
      <c r="C109" s="215">
        <v>1549</v>
      </c>
      <c r="D109" s="215" t="s">
        <v>159</v>
      </c>
      <c r="E109" s="1531" t="s">
        <v>572</v>
      </c>
      <c r="F109" s="1532"/>
      <c r="G109" s="1532"/>
      <c r="H109" s="1533"/>
      <c r="I109" s="454"/>
      <c r="J109" s="505">
        <v>3346452</v>
      </c>
      <c r="K109" s="506" t="s">
        <v>109</v>
      </c>
      <c r="L109" s="506" t="s">
        <v>573</v>
      </c>
      <c r="M109" s="507" t="s">
        <v>111</v>
      </c>
      <c r="N109" s="507" t="s">
        <v>574</v>
      </c>
      <c r="O109" s="508" t="s">
        <v>575</v>
      </c>
      <c r="P109" s="454"/>
      <c r="Q109" s="454"/>
      <c r="R109" s="454"/>
      <c r="S109" s="454"/>
      <c r="T109" s="454" t="s">
        <v>114</v>
      </c>
      <c r="U109" s="454"/>
      <c r="V109" s="454"/>
      <c r="W109" s="454"/>
      <c r="X109" s="526" t="s">
        <v>99</v>
      </c>
      <c r="Y109" s="454"/>
      <c r="Z109" s="640" t="s">
        <v>281</v>
      </c>
      <c r="AA109" s="454" t="s">
        <v>282</v>
      </c>
      <c r="AB109" s="643" t="s">
        <v>419</v>
      </c>
      <c r="AC109" s="549">
        <v>41479</v>
      </c>
      <c r="AD109" s="643" t="s">
        <v>576</v>
      </c>
      <c r="AE109" s="551">
        <v>41511</v>
      </c>
      <c r="AF109" s="551" t="s">
        <v>117</v>
      </c>
      <c r="AG109" s="590" t="s">
        <v>577</v>
      </c>
      <c r="AH109" s="648"/>
      <c r="AI109" s="646" t="s">
        <v>441</v>
      </c>
      <c r="AJ109" s="592">
        <f t="shared" si="9"/>
        <v>1</v>
      </c>
      <c r="AK109" s="307"/>
      <c r="AL109" s="307"/>
      <c r="AM109" s="307"/>
      <c r="AN109" s="307"/>
      <c r="AO109" s="307"/>
      <c r="AP109" s="307"/>
      <c r="AQ109" s="307">
        <v>1</v>
      </c>
      <c r="AR109" s="307"/>
      <c r="AS109" s="307"/>
      <c r="AT109" s="307"/>
      <c r="AU109" s="307"/>
      <c r="AV109" s="307"/>
      <c r="AW109" s="307"/>
      <c r="AX109" s="592"/>
      <c r="AY109" s="604"/>
      <c r="AZ109" s="605"/>
      <c r="BA109" s="307"/>
      <c r="BB109" s="307"/>
      <c r="BC109" s="307"/>
      <c r="BD109" s="307"/>
      <c r="BE109" s="307"/>
      <c r="BF109" s="609"/>
      <c r="BG109" s="605"/>
      <c r="BH109" s="605"/>
      <c r="BI109" s="611"/>
      <c r="BJ109" s="592"/>
      <c r="BK109" s="611"/>
      <c r="BL109" s="307"/>
      <c r="BM109" s="307"/>
      <c r="BN109" s="86"/>
      <c r="BO109" s="307"/>
      <c r="BP109" s="307"/>
      <c r="BQ109" s="307"/>
      <c r="BR109" s="86"/>
      <c r="BS109" s="609">
        <f t="shared" si="10"/>
        <v>0</v>
      </c>
    </row>
    <row r="110" spans="1:71" s="430" customFormat="1" ht="69.75" customHeight="1">
      <c r="A110" s="451" t="s">
        <v>106</v>
      </c>
      <c r="B110" s="86">
        <v>276</v>
      </c>
      <c r="C110" s="215">
        <v>1550</v>
      </c>
      <c r="D110" s="215" t="s">
        <v>123</v>
      </c>
      <c r="E110" s="1531" t="s">
        <v>578</v>
      </c>
      <c r="F110" s="1532"/>
      <c r="G110" s="1532"/>
      <c r="H110" s="1533"/>
      <c r="I110" s="454"/>
      <c r="J110" s="505">
        <v>3346443</v>
      </c>
      <c r="K110" s="506" t="s">
        <v>109</v>
      </c>
      <c r="L110" s="506" t="s">
        <v>579</v>
      </c>
      <c r="M110" s="507" t="s">
        <v>111</v>
      </c>
      <c r="N110" s="507"/>
      <c r="O110" s="508" t="s">
        <v>580</v>
      </c>
      <c r="P110" s="454"/>
      <c r="Q110" s="454"/>
      <c r="R110" s="454"/>
      <c r="S110" s="454" t="s">
        <v>114</v>
      </c>
      <c r="T110" s="454"/>
      <c r="U110" s="454"/>
      <c r="V110" s="454"/>
      <c r="W110" s="454"/>
      <c r="X110" s="526" t="s">
        <v>99</v>
      </c>
      <c r="Y110" s="454"/>
      <c r="Z110" s="454"/>
      <c r="AA110" s="454"/>
      <c r="AB110" s="643" t="s">
        <v>130</v>
      </c>
      <c r="AC110" s="549">
        <v>41478</v>
      </c>
      <c r="AD110" s="550" t="s">
        <v>581</v>
      </c>
      <c r="AE110" s="549" t="s">
        <v>37</v>
      </c>
      <c r="AF110" s="549" t="s">
        <v>132</v>
      </c>
      <c r="AG110" s="590" t="s">
        <v>582</v>
      </c>
      <c r="AH110" s="648"/>
      <c r="AI110" s="646" t="s">
        <v>414</v>
      </c>
      <c r="AJ110" s="592">
        <f t="shared" si="9"/>
        <v>2</v>
      </c>
      <c r="AK110" s="307"/>
      <c r="AL110" s="307"/>
      <c r="AM110" s="307"/>
      <c r="AN110" s="307"/>
      <c r="AO110" s="307"/>
      <c r="AP110" s="307">
        <v>1</v>
      </c>
      <c r="AQ110" s="307">
        <v>1</v>
      </c>
      <c r="AR110" s="307"/>
      <c r="AS110" s="307"/>
      <c r="AT110" s="307"/>
      <c r="AU110" s="307"/>
      <c r="AV110" s="307" t="s">
        <v>136</v>
      </c>
      <c r="AW110" s="307" t="s">
        <v>136</v>
      </c>
      <c r="AX110" s="592"/>
      <c r="AY110" s="604"/>
      <c r="AZ110" s="605"/>
      <c r="BA110" s="307"/>
      <c r="BB110" s="307"/>
      <c r="BC110" s="307"/>
      <c r="BD110" s="307"/>
      <c r="BE110" s="307"/>
      <c r="BF110" s="609"/>
      <c r="BG110" s="605"/>
      <c r="BH110" s="605"/>
      <c r="BI110" s="611"/>
      <c r="BJ110" s="592"/>
      <c r="BK110" s="611"/>
      <c r="BL110" s="307"/>
      <c r="BM110" s="307"/>
      <c r="BN110" s="86"/>
      <c r="BO110" s="307" t="s">
        <v>136</v>
      </c>
      <c r="BP110" s="307"/>
      <c r="BQ110" s="307"/>
      <c r="BR110" s="86"/>
      <c r="BS110" s="609">
        <f t="shared" si="10"/>
        <v>0</v>
      </c>
    </row>
    <row r="111" spans="1:71" s="430" customFormat="1" ht="76.5" customHeight="1">
      <c r="A111" s="451" t="s">
        <v>106</v>
      </c>
      <c r="B111" s="86">
        <v>309</v>
      </c>
      <c r="C111" s="215">
        <v>1552</v>
      </c>
      <c r="D111" s="215" t="s">
        <v>123</v>
      </c>
      <c r="E111" s="1531" t="s">
        <v>583</v>
      </c>
      <c r="F111" s="1532"/>
      <c r="G111" s="1532"/>
      <c r="H111" s="1533"/>
      <c r="I111" s="454"/>
      <c r="J111" s="505">
        <v>3346414</v>
      </c>
      <c r="K111" s="506" t="s">
        <v>109</v>
      </c>
      <c r="L111" s="506" t="s">
        <v>584</v>
      </c>
      <c r="M111" s="507" t="s">
        <v>111</v>
      </c>
      <c r="N111" s="507" t="s">
        <v>585</v>
      </c>
      <c r="O111" s="508" t="s">
        <v>586</v>
      </c>
      <c r="P111" s="454"/>
      <c r="Q111" s="454"/>
      <c r="R111" s="454"/>
      <c r="S111" s="454" t="s">
        <v>114</v>
      </c>
      <c r="T111" s="454"/>
      <c r="U111" s="454"/>
      <c r="V111" s="454"/>
      <c r="W111" s="454"/>
      <c r="X111" s="526" t="s">
        <v>99</v>
      </c>
      <c r="Y111" s="526" t="s">
        <v>40</v>
      </c>
      <c r="Z111" s="454" t="s">
        <v>587</v>
      </c>
      <c r="AA111" s="454" t="s">
        <v>588</v>
      </c>
      <c r="AB111" s="643" t="s">
        <v>589</v>
      </c>
      <c r="AC111" s="551" t="s">
        <v>37</v>
      </c>
      <c r="AD111" s="550" t="s">
        <v>590</v>
      </c>
      <c r="AE111" s="551">
        <v>41593</v>
      </c>
      <c r="AF111" s="551" t="s">
        <v>117</v>
      </c>
      <c r="AG111" s="590" t="s">
        <v>591</v>
      </c>
      <c r="AH111" s="648"/>
      <c r="AI111" s="646" t="s">
        <v>592</v>
      </c>
      <c r="AJ111" s="592">
        <f t="shared" si="9"/>
        <v>2</v>
      </c>
      <c r="AK111" s="307"/>
      <c r="AL111" s="307"/>
      <c r="AM111" s="307"/>
      <c r="AN111" s="307"/>
      <c r="AO111" s="307"/>
      <c r="AP111" s="307"/>
      <c r="AQ111" s="307">
        <v>1</v>
      </c>
      <c r="AR111" s="307"/>
      <c r="AS111" s="307"/>
      <c r="AT111" s="307"/>
      <c r="AU111" s="307"/>
      <c r="AV111" s="307"/>
      <c r="AW111" s="307"/>
      <c r="AX111" s="592"/>
      <c r="AY111" s="604"/>
      <c r="AZ111" s="605"/>
      <c r="BA111" s="307">
        <v>1</v>
      </c>
      <c r="BB111" s="307"/>
      <c r="BC111" s="307"/>
      <c r="BD111" s="307"/>
      <c r="BE111" s="307"/>
      <c r="BF111" s="609"/>
      <c r="BG111" s="605"/>
      <c r="BH111" s="605"/>
      <c r="BI111" s="611"/>
      <c r="BJ111" s="592"/>
      <c r="BK111" s="611"/>
      <c r="BL111" s="307"/>
      <c r="BM111" s="307"/>
      <c r="BN111" s="86"/>
      <c r="BO111" s="307" t="s">
        <v>136</v>
      </c>
      <c r="BP111" s="307"/>
      <c r="BQ111" s="307"/>
      <c r="BR111" s="86"/>
      <c r="BS111" s="609">
        <f t="shared" si="10"/>
        <v>0</v>
      </c>
    </row>
    <row r="112" spans="1:71" s="430" customFormat="1" ht="72" customHeight="1">
      <c r="A112" s="451" t="s">
        <v>179</v>
      </c>
      <c r="B112" s="86">
        <v>311</v>
      </c>
      <c r="C112" s="215">
        <v>1553</v>
      </c>
      <c r="D112" s="215" t="s">
        <v>123</v>
      </c>
      <c r="E112" s="1531" t="s">
        <v>593</v>
      </c>
      <c r="F112" s="1532"/>
      <c r="G112" s="1532"/>
      <c r="H112" s="1533"/>
      <c r="I112" s="454"/>
      <c r="J112" s="505">
        <v>3346455</v>
      </c>
      <c r="K112" s="506" t="s">
        <v>109</v>
      </c>
      <c r="L112" s="506" t="s">
        <v>594</v>
      </c>
      <c r="M112" s="507" t="s">
        <v>111</v>
      </c>
      <c r="N112" s="507" t="s">
        <v>595</v>
      </c>
      <c r="O112" s="508" t="s">
        <v>596</v>
      </c>
      <c r="P112" s="454"/>
      <c r="Q112" s="454"/>
      <c r="R112" s="454"/>
      <c r="S112" s="454" t="s">
        <v>114</v>
      </c>
      <c r="T112" s="454"/>
      <c r="U112" s="454"/>
      <c r="V112" s="454"/>
      <c r="W112" s="454"/>
      <c r="X112" s="526" t="s">
        <v>99</v>
      </c>
      <c r="Y112" s="454"/>
      <c r="Z112" s="454" t="s">
        <v>597</v>
      </c>
      <c r="AA112" s="454"/>
      <c r="AB112" s="643" t="s">
        <v>419</v>
      </c>
      <c r="AC112" s="549">
        <v>41479</v>
      </c>
      <c r="AD112" s="550" t="s">
        <v>598</v>
      </c>
      <c r="AE112" s="552">
        <v>41523</v>
      </c>
      <c r="AF112" s="551" t="s">
        <v>117</v>
      </c>
      <c r="AG112" s="590" t="s">
        <v>599</v>
      </c>
      <c r="AH112" s="648"/>
      <c r="AI112" s="646" t="s">
        <v>600</v>
      </c>
      <c r="AJ112" s="592">
        <f t="shared" si="9"/>
        <v>1</v>
      </c>
      <c r="AK112" s="307"/>
      <c r="AL112" s="307"/>
      <c r="AM112" s="307"/>
      <c r="AN112" s="307"/>
      <c r="AO112" s="307"/>
      <c r="AP112" s="307"/>
      <c r="AQ112" s="307">
        <v>1</v>
      </c>
      <c r="AR112" s="307"/>
      <c r="AS112" s="307"/>
      <c r="AT112" s="307"/>
      <c r="AU112" s="307"/>
      <c r="AV112" s="307"/>
      <c r="AW112" s="307"/>
      <c r="AX112" s="592"/>
      <c r="AY112" s="604"/>
      <c r="AZ112" s="605"/>
      <c r="BA112" s="307"/>
      <c r="BB112" s="307"/>
      <c r="BC112" s="307"/>
      <c r="BD112" s="307"/>
      <c r="BE112" s="307"/>
      <c r="BF112" s="609"/>
      <c r="BG112" s="605"/>
      <c r="BH112" s="605"/>
      <c r="BI112" s="611"/>
      <c r="BJ112" s="592"/>
      <c r="BK112" s="611"/>
      <c r="BL112" s="307"/>
      <c r="BM112" s="307"/>
      <c r="BN112" s="86"/>
      <c r="BO112" s="307"/>
      <c r="BP112" s="307"/>
      <c r="BQ112" s="307"/>
      <c r="BR112" s="86"/>
      <c r="BS112" s="609">
        <f t="shared" si="10"/>
        <v>0</v>
      </c>
    </row>
    <row r="113" spans="1:71" s="430" customFormat="1" ht="58.5" customHeight="1">
      <c r="A113" s="451" t="s">
        <v>148</v>
      </c>
      <c r="B113" s="86">
        <v>314</v>
      </c>
      <c r="C113" s="215">
        <v>1554</v>
      </c>
      <c r="D113" s="215" t="s">
        <v>123</v>
      </c>
      <c r="E113" s="1531" t="s">
        <v>601</v>
      </c>
      <c r="F113" s="1532"/>
      <c r="G113" s="1532"/>
      <c r="H113" s="1533"/>
      <c r="I113" s="454"/>
      <c r="J113" s="454">
        <v>3347853</v>
      </c>
      <c r="K113" s="506" t="s">
        <v>109</v>
      </c>
      <c r="L113" s="506" t="s">
        <v>602</v>
      </c>
      <c r="M113" s="507" t="s">
        <v>111</v>
      </c>
      <c r="N113" s="505" t="s">
        <v>603</v>
      </c>
      <c r="O113" s="508" t="s">
        <v>462</v>
      </c>
      <c r="P113" s="454"/>
      <c r="Q113" s="454"/>
      <c r="R113" s="454"/>
      <c r="S113" s="454" t="s">
        <v>114</v>
      </c>
      <c r="T113" s="454"/>
      <c r="U113" s="454"/>
      <c r="V113" s="454"/>
      <c r="W113" s="454"/>
      <c r="X113" s="526" t="s">
        <v>99</v>
      </c>
      <c r="Y113" s="454"/>
      <c r="Z113" s="454"/>
      <c r="AA113" s="454"/>
      <c r="AB113" s="643" t="s">
        <v>604</v>
      </c>
      <c r="AC113" s="549">
        <v>41479</v>
      </c>
      <c r="AD113" s="550" t="s">
        <v>605</v>
      </c>
      <c r="AE113" s="551">
        <v>41547</v>
      </c>
      <c r="AF113" s="551" t="s">
        <v>117</v>
      </c>
      <c r="AG113" s="590" t="s">
        <v>606</v>
      </c>
      <c r="AH113" s="648"/>
      <c r="AI113" s="646" t="s">
        <v>339</v>
      </c>
      <c r="AJ113" s="592">
        <f t="shared" ref="AJ113:AJ129" si="11">COUNTIF(AK113:BR113,"1")</f>
        <v>3</v>
      </c>
      <c r="AK113" s="307"/>
      <c r="AL113" s="307"/>
      <c r="AM113" s="307"/>
      <c r="AN113" s="307"/>
      <c r="AO113" s="307">
        <v>1</v>
      </c>
      <c r="AP113" s="307"/>
      <c r="AQ113" s="307">
        <v>1</v>
      </c>
      <c r="AR113" s="307"/>
      <c r="AS113" s="307"/>
      <c r="AT113" s="307"/>
      <c r="AU113" s="307"/>
      <c r="AV113" s="307" t="s">
        <v>136</v>
      </c>
      <c r="AW113" s="307" t="s">
        <v>136</v>
      </c>
      <c r="AX113" s="592"/>
      <c r="AY113" s="604"/>
      <c r="AZ113" s="605"/>
      <c r="BA113" s="307"/>
      <c r="BB113" s="307"/>
      <c r="BC113" s="307"/>
      <c r="BD113" s="307"/>
      <c r="BE113" s="307"/>
      <c r="BF113" s="609"/>
      <c r="BG113" s="605"/>
      <c r="BH113" s="605"/>
      <c r="BI113" s="611"/>
      <c r="BJ113" s="592"/>
      <c r="BK113" s="611"/>
      <c r="BL113" s="307"/>
      <c r="BM113" s="307"/>
      <c r="BN113" s="86"/>
      <c r="BO113" s="307">
        <v>1</v>
      </c>
      <c r="BP113" s="307"/>
      <c r="BQ113" s="307"/>
      <c r="BR113" s="86"/>
      <c r="BS113" s="609">
        <f t="shared" ref="BS113:BS144" si="12">COUNT(BI113:BO113)</f>
        <v>1</v>
      </c>
    </row>
    <row r="114" spans="1:71" s="430" customFormat="1" ht="79.5" customHeight="1">
      <c r="A114" s="451">
        <v>3</v>
      </c>
      <c r="B114" s="86">
        <v>315</v>
      </c>
      <c r="C114" s="215">
        <v>1555</v>
      </c>
      <c r="D114" s="215" t="s">
        <v>159</v>
      </c>
      <c r="E114" s="1531" t="s">
        <v>607</v>
      </c>
      <c r="F114" s="1532"/>
      <c r="G114" s="1532"/>
      <c r="H114" s="1533"/>
      <c r="I114" s="454"/>
      <c r="J114" s="505">
        <v>3341346</v>
      </c>
      <c r="K114" s="506" t="s">
        <v>109</v>
      </c>
      <c r="L114" s="506" t="s">
        <v>608</v>
      </c>
      <c r="M114" s="507" t="s">
        <v>111</v>
      </c>
      <c r="N114" s="507"/>
      <c r="O114" s="508" t="s">
        <v>609</v>
      </c>
      <c r="P114" s="454"/>
      <c r="Q114" s="454"/>
      <c r="R114" s="454"/>
      <c r="S114" s="454"/>
      <c r="T114" s="454" t="s">
        <v>114</v>
      </c>
      <c r="U114" s="454"/>
      <c r="V114" s="454"/>
      <c r="W114" s="454"/>
      <c r="X114" s="526" t="s">
        <v>99</v>
      </c>
      <c r="Y114" s="454"/>
      <c r="Z114" s="640" t="s">
        <v>610</v>
      </c>
      <c r="AA114" s="454" t="s">
        <v>282</v>
      </c>
      <c r="AB114" s="643" t="s">
        <v>611</v>
      </c>
      <c r="AC114" s="549">
        <v>41479</v>
      </c>
      <c r="AD114" s="550" t="s">
        <v>612</v>
      </c>
      <c r="AE114" s="551">
        <v>41505</v>
      </c>
      <c r="AF114" s="551" t="s">
        <v>117</v>
      </c>
      <c r="AG114" s="590" t="s">
        <v>613</v>
      </c>
      <c r="AH114" s="648"/>
      <c r="AI114" s="646" t="s">
        <v>614</v>
      </c>
      <c r="AJ114" s="592">
        <f t="shared" si="11"/>
        <v>1</v>
      </c>
      <c r="AK114" s="307"/>
      <c r="AL114" s="307"/>
      <c r="AM114" s="307"/>
      <c r="AN114" s="307"/>
      <c r="AO114" s="307"/>
      <c r="AP114" s="307"/>
      <c r="AQ114" s="307">
        <v>1</v>
      </c>
      <c r="AR114" s="307"/>
      <c r="AS114" s="307"/>
      <c r="AT114" s="307"/>
      <c r="AU114" s="307"/>
      <c r="AV114" s="307"/>
      <c r="AW114" s="307"/>
      <c r="AX114" s="592"/>
      <c r="AY114" s="604"/>
      <c r="AZ114" s="605"/>
      <c r="BA114" s="307"/>
      <c r="BB114" s="307"/>
      <c r="BC114" s="307"/>
      <c r="BD114" s="307"/>
      <c r="BE114" s="307"/>
      <c r="BF114" s="609"/>
      <c r="BG114" s="605"/>
      <c r="BH114" s="605"/>
      <c r="BI114" s="611"/>
      <c r="BJ114" s="592"/>
      <c r="BK114" s="611"/>
      <c r="BL114" s="307"/>
      <c r="BM114" s="307"/>
      <c r="BN114" s="86"/>
      <c r="BO114" s="307"/>
      <c r="BP114" s="307"/>
      <c r="BQ114" s="307"/>
      <c r="BR114" s="86"/>
      <c r="BS114" s="609">
        <f t="shared" si="12"/>
        <v>0</v>
      </c>
    </row>
    <row r="115" spans="1:71" s="430" customFormat="1" ht="134.25" customHeight="1">
      <c r="A115" s="451" t="s">
        <v>106</v>
      </c>
      <c r="B115" s="86">
        <v>88</v>
      </c>
      <c r="C115" s="215">
        <v>1649</v>
      </c>
      <c r="D115" s="215"/>
      <c r="E115" s="1531" t="s">
        <v>615</v>
      </c>
      <c r="F115" s="1532"/>
      <c r="G115" s="1532"/>
      <c r="H115" s="1533"/>
      <c r="I115" s="454"/>
      <c r="J115" s="505">
        <v>3347865</v>
      </c>
      <c r="K115" s="506" t="s">
        <v>109</v>
      </c>
      <c r="L115" s="506" t="s">
        <v>616</v>
      </c>
      <c r="M115" s="507" t="s">
        <v>111</v>
      </c>
      <c r="N115" s="505"/>
      <c r="O115" s="508" t="s">
        <v>617</v>
      </c>
      <c r="P115" s="454"/>
      <c r="Q115" s="454"/>
      <c r="R115" s="454"/>
      <c r="S115" s="454"/>
      <c r="T115" s="454" t="s">
        <v>114</v>
      </c>
      <c r="U115" s="454"/>
      <c r="V115" s="454"/>
      <c r="W115" s="454"/>
      <c r="X115" s="526"/>
      <c r="Y115" s="526" t="s">
        <v>40</v>
      </c>
      <c r="Z115" s="454"/>
      <c r="AA115" s="454"/>
      <c r="AB115" s="643" t="s">
        <v>618</v>
      </c>
      <c r="AC115" s="549">
        <v>41499</v>
      </c>
      <c r="AD115" s="550" t="s">
        <v>619</v>
      </c>
      <c r="AE115" s="552" t="s">
        <v>240</v>
      </c>
      <c r="AF115" s="552" t="s">
        <v>620</v>
      </c>
      <c r="AG115" s="590" t="s">
        <v>621</v>
      </c>
      <c r="AH115" s="648"/>
      <c r="AI115" s="646" t="s">
        <v>622</v>
      </c>
      <c r="AJ115" s="592">
        <f t="shared" si="11"/>
        <v>2</v>
      </c>
      <c r="AK115" s="307"/>
      <c r="AL115" s="307"/>
      <c r="AM115" s="307"/>
      <c r="AN115" s="307"/>
      <c r="AO115" s="307"/>
      <c r="AP115" s="307">
        <v>1</v>
      </c>
      <c r="AQ115" s="307"/>
      <c r="AR115" s="307"/>
      <c r="AS115" s="307"/>
      <c r="AT115" s="307"/>
      <c r="AU115" s="307"/>
      <c r="AV115" s="307" t="s">
        <v>136</v>
      </c>
      <c r="AW115" s="307" t="s">
        <v>136</v>
      </c>
      <c r="AX115" s="592"/>
      <c r="AY115" s="604"/>
      <c r="AZ115" s="605"/>
      <c r="BA115" s="307">
        <v>1</v>
      </c>
      <c r="BB115" s="307"/>
      <c r="BC115" s="307"/>
      <c r="BD115" s="307"/>
      <c r="BE115" s="307"/>
      <c r="BF115" s="609"/>
      <c r="BG115" s="605"/>
      <c r="BH115" s="605"/>
      <c r="BI115" s="611"/>
      <c r="BJ115" s="592"/>
      <c r="BK115" s="611"/>
      <c r="BL115" s="307"/>
      <c r="BM115" s="307"/>
      <c r="BN115" s="86"/>
      <c r="BO115" s="307" t="s">
        <v>136</v>
      </c>
      <c r="BP115" s="307"/>
      <c r="BQ115" s="307"/>
      <c r="BR115" s="86"/>
      <c r="BS115" s="609">
        <f t="shared" si="12"/>
        <v>0</v>
      </c>
    </row>
    <row r="116" spans="1:71" s="430" customFormat="1" ht="79.5" customHeight="1">
      <c r="A116" s="451">
        <v>5</v>
      </c>
      <c r="B116" s="86">
        <v>119</v>
      </c>
      <c r="C116" s="215">
        <v>1785</v>
      </c>
      <c r="D116" s="215"/>
      <c r="E116" s="1531" t="s">
        <v>623</v>
      </c>
      <c r="F116" s="1532"/>
      <c r="G116" s="1532"/>
      <c r="H116" s="1533"/>
      <c r="I116" s="454"/>
      <c r="J116" s="505">
        <v>3350106</v>
      </c>
      <c r="K116" s="506" t="s">
        <v>303</v>
      </c>
      <c r="L116" s="506" t="e">
        <v>#N/A</v>
      </c>
      <c r="M116" s="507" t="s">
        <v>111</v>
      </c>
      <c r="N116" s="507"/>
      <c r="O116" s="508" t="s">
        <v>624</v>
      </c>
      <c r="P116" s="454"/>
      <c r="Q116" s="454"/>
      <c r="R116" s="454"/>
      <c r="S116" s="454"/>
      <c r="T116" s="454" t="s">
        <v>114</v>
      </c>
      <c r="U116" s="454"/>
      <c r="V116" s="454"/>
      <c r="W116" s="454"/>
      <c r="X116" s="526"/>
      <c r="Y116" s="526" t="s">
        <v>40</v>
      </c>
      <c r="Z116" s="454"/>
      <c r="AA116" s="454"/>
      <c r="AB116" s="643" t="s">
        <v>419</v>
      </c>
      <c r="AC116" s="549">
        <v>41492</v>
      </c>
      <c r="AD116" s="550" t="s">
        <v>625</v>
      </c>
      <c r="AE116" s="551" t="s">
        <v>37</v>
      </c>
      <c r="AF116" s="549" t="s">
        <v>132</v>
      </c>
      <c r="AG116" s="590" t="s">
        <v>626</v>
      </c>
      <c r="AH116" s="648"/>
      <c r="AI116" s="646" t="s">
        <v>627</v>
      </c>
      <c r="AJ116" s="592">
        <f t="shared" si="11"/>
        <v>1</v>
      </c>
      <c r="AK116" s="307"/>
      <c r="AL116" s="307"/>
      <c r="AM116" s="307"/>
      <c r="AN116" s="307"/>
      <c r="AO116" s="307"/>
      <c r="AP116" s="307"/>
      <c r="AQ116" s="307"/>
      <c r="AR116" s="307"/>
      <c r="AS116" s="307"/>
      <c r="AT116" s="307"/>
      <c r="AU116" s="307"/>
      <c r="AV116" s="307"/>
      <c r="AW116" s="307"/>
      <c r="AX116" s="592"/>
      <c r="AY116" s="604"/>
      <c r="AZ116" s="605"/>
      <c r="BA116" s="307">
        <v>1</v>
      </c>
      <c r="BB116" s="307"/>
      <c r="BC116" s="307"/>
      <c r="BD116" s="307"/>
      <c r="BE116" s="307"/>
      <c r="BF116" s="609"/>
      <c r="BG116" s="605"/>
      <c r="BH116" s="605"/>
      <c r="BI116" s="611"/>
      <c r="BJ116" s="592"/>
      <c r="BK116" s="611"/>
      <c r="BL116" s="307"/>
      <c r="BM116" s="307"/>
      <c r="BN116" s="86"/>
      <c r="BO116" s="307"/>
      <c r="BP116" s="307"/>
      <c r="BQ116" s="307"/>
      <c r="BR116" s="86"/>
      <c r="BS116" s="609">
        <f t="shared" si="12"/>
        <v>0</v>
      </c>
    </row>
    <row r="117" spans="1:71" s="430" customFormat="1" ht="79.5" customHeight="1">
      <c r="A117" s="451" t="s">
        <v>137</v>
      </c>
      <c r="B117" s="86">
        <v>187</v>
      </c>
      <c r="C117" s="215">
        <v>1790</v>
      </c>
      <c r="D117" s="215" t="s">
        <v>123</v>
      </c>
      <c r="E117" s="1531" t="s">
        <v>628</v>
      </c>
      <c r="F117" s="1532"/>
      <c r="G117" s="1532"/>
      <c r="H117" s="1533"/>
      <c r="I117" s="454"/>
      <c r="J117" s="505">
        <v>3282327</v>
      </c>
      <c r="K117" s="506" t="s">
        <v>303</v>
      </c>
      <c r="L117" s="506" t="s">
        <v>629</v>
      </c>
      <c r="M117" s="507" t="s">
        <v>111</v>
      </c>
      <c r="N117" s="507"/>
      <c r="O117" s="508" t="s">
        <v>630</v>
      </c>
      <c r="P117" s="454"/>
      <c r="Q117" s="454"/>
      <c r="R117" s="454"/>
      <c r="S117" s="454"/>
      <c r="T117" s="454" t="s">
        <v>114</v>
      </c>
      <c r="U117" s="454"/>
      <c r="V117" s="454"/>
      <c r="W117" s="454"/>
      <c r="X117" s="526"/>
      <c r="Y117" s="526" t="s">
        <v>40</v>
      </c>
      <c r="Z117" s="454" t="s">
        <v>631</v>
      </c>
      <c r="AA117" s="454" t="s">
        <v>632</v>
      </c>
      <c r="AB117" s="643" t="s">
        <v>633</v>
      </c>
      <c r="AC117" s="549">
        <v>41425</v>
      </c>
      <c r="AD117" s="550" t="s">
        <v>634</v>
      </c>
      <c r="AE117" s="551">
        <v>41467</v>
      </c>
      <c r="AF117" s="551" t="s">
        <v>117</v>
      </c>
      <c r="AG117" s="590"/>
      <c r="AH117" s="648"/>
      <c r="AI117" s="646" t="s">
        <v>635</v>
      </c>
      <c r="AJ117" s="592">
        <f t="shared" si="11"/>
        <v>3</v>
      </c>
      <c r="AK117" s="307"/>
      <c r="AL117" s="307"/>
      <c r="AM117" s="307"/>
      <c r="AN117" s="307"/>
      <c r="AO117" s="307"/>
      <c r="AP117" s="307"/>
      <c r="AQ117" s="307"/>
      <c r="AR117" s="307"/>
      <c r="AS117" s="307"/>
      <c r="AT117" s="307"/>
      <c r="AU117" s="307"/>
      <c r="AV117" s="307">
        <v>1</v>
      </c>
      <c r="AW117" s="307">
        <v>1</v>
      </c>
      <c r="AX117" s="592"/>
      <c r="AY117" s="604"/>
      <c r="AZ117" s="605"/>
      <c r="BA117" s="307">
        <v>1</v>
      </c>
      <c r="BB117" s="307"/>
      <c r="BC117" s="307"/>
      <c r="BD117" s="307"/>
      <c r="BE117" s="307"/>
      <c r="BF117" s="609"/>
      <c r="BG117" s="605"/>
      <c r="BH117" s="605"/>
      <c r="BI117" s="611"/>
      <c r="BJ117" s="592"/>
      <c r="BK117" s="611"/>
      <c r="BL117" s="307"/>
      <c r="BM117" s="307"/>
      <c r="BN117" s="86"/>
      <c r="BO117" s="307"/>
      <c r="BP117" s="307"/>
      <c r="BQ117" s="307"/>
      <c r="BR117" s="86"/>
      <c r="BS117" s="609">
        <f t="shared" si="12"/>
        <v>0</v>
      </c>
    </row>
    <row r="118" spans="1:71" s="430" customFormat="1" ht="79.5" customHeight="1">
      <c r="A118" s="451" t="s">
        <v>148</v>
      </c>
      <c r="B118" s="86">
        <v>192</v>
      </c>
      <c r="C118" s="215">
        <v>1787</v>
      </c>
      <c r="D118" s="215"/>
      <c r="E118" s="1531" t="s">
        <v>636</v>
      </c>
      <c r="F118" s="1532"/>
      <c r="G118" s="1532"/>
      <c r="H118" s="1533"/>
      <c r="I118" s="454"/>
      <c r="J118" s="505">
        <v>3349953</v>
      </c>
      <c r="K118" s="506" t="s">
        <v>303</v>
      </c>
      <c r="L118" s="506" t="e">
        <v>#N/A</v>
      </c>
      <c r="M118" s="507" t="s">
        <v>111</v>
      </c>
      <c r="N118" s="507" t="s">
        <v>637</v>
      </c>
      <c r="O118" s="508" t="s">
        <v>638</v>
      </c>
      <c r="P118" s="454"/>
      <c r="Q118" s="454"/>
      <c r="R118" s="454"/>
      <c r="S118" s="454" t="s">
        <v>114</v>
      </c>
      <c r="T118" s="454"/>
      <c r="U118" s="454"/>
      <c r="V118" s="454"/>
      <c r="W118" s="454"/>
      <c r="X118" s="526"/>
      <c r="Y118" s="526" t="s">
        <v>40</v>
      </c>
      <c r="Z118" s="454"/>
      <c r="AA118" s="454"/>
      <c r="AB118" s="643" t="s">
        <v>419</v>
      </c>
      <c r="AC118" s="549">
        <v>41499</v>
      </c>
      <c r="AD118" s="550" t="s">
        <v>639</v>
      </c>
      <c r="AE118" s="552">
        <v>41537</v>
      </c>
      <c r="AF118" s="551" t="s">
        <v>117</v>
      </c>
      <c r="AG118" s="590" t="s">
        <v>640</v>
      </c>
      <c r="AH118" s="648"/>
      <c r="AI118" s="646" t="s">
        <v>641</v>
      </c>
      <c r="AJ118" s="592">
        <f t="shared" si="11"/>
        <v>1</v>
      </c>
      <c r="AK118" s="307"/>
      <c r="AL118" s="307"/>
      <c r="AM118" s="307"/>
      <c r="AN118" s="307"/>
      <c r="AO118" s="307"/>
      <c r="AP118" s="307"/>
      <c r="AQ118" s="307"/>
      <c r="AR118" s="307"/>
      <c r="AS118" s="307"/>
      <c r="AT118" s="307"/>
      <c r="AU118" s="307"/>
      <c r="AV118" s="307"/>
      <c r="AW118" s="307"/>
      <c r="AX118" s="592"/>
      <c r="AY118" s="604"/>
      <c r="AZ118" s="605"/>
      <c r="BA118" s="307">
        <v>1</v>
      </c>
      <c r="BB118" s="307"/>
      <c r="BC118" s="307"/>
      <c r="BD118" s="307"/>
      <c r="BE118" s="307"/>
      <c r="BF118" s="609"/>
      <c r="BG118" s="605"/>
      <c r="BH118" s="605"/>
      <c r="BI118" s="611"/>
      <c r="BJ118" s="592"/>
      <c r="BK118" s="611"/>
      <c r="BL118" s="307"/>
      <c r="BM118" s="307"/>
      <c r="BN118" s="86"/>
      <c r="BO118" s="307"/>
      <c r="BP118" s="307"/>
      <c r="BQ118" s="307"/>
      <c r="BR118" s="86"/>
      <c r="BS118" s="609">
        <f t="shared" si="12"/>
        <v>0</v>
      </c>
    </row>
    <row r="119" spans="1:71" s="430" customFormat="1" ht="153.75" customHeight="1">
      <c r="A119" s="451" t="s">
        <v>148</v>
      </c>
      <c r="B119" s="86">
        <v>193</v>
      </c>
      <c r="C119" s="215">
        <v>1788</v>
      </c>
      <c r="D119" s="215"/>
      <c r="E119" s="1531" t="s">
        <v>642</v>
      </c>
      <c r="F119" s="1532"/>
      <c r="G119" s="1532"/>
      <c r="H119" s="1533"/>
      <c r="I119" s="454"/>
      <c r="J119" s="505">
        <v>3349956</v>
      </c>
      <c r="K119" s="506" t="s">
        <v>643</v>
      </c>
      <c r="L119" s="506" t="e">
        <v>#N/A</v>
      </c>
      <c r="M119" s="507" t="s">
        <v>111</v>
      </c>
      <c r="N119" s="507"/>
      <c r="O119" s="508"/>
      <c r="P119" s="454"/>
      <c r="Q119" s="454"/>
      <c r="R119" s="454"/>
      <c r="S119" s="454" t="s">
        <v>114</v>
      </c>
      <c r="T119" s="454" t="s">
        <v>114</v>
      </c>
      <c r="U119" s="454"/>
      <c r="V119" s="454"/>
      <c r="W119" s="454"/>
      <c r="X119" s="526"/>
      <c r="Y119" s="526" t="s">
        <v>40</v>
      </c>
      <c r="Z119" s="454"/>
      <c r="AA119" s="454"/>
      <c r="AB119" s="643"/>
      <c r="AC119" s="552" t="s">
        <v>240</v>
      </c>
      <c r="AD119" s="550"/>
      <c r="AE119" s="552" t="s">
        <v>240</v>
      </c>
      <c r="AF119" s="552" t="s">
        <v>620</v>
      </c>
      <c r="AG119" s="590" t="s">
        <v>644</v>
      </c>
      <c r="AH119" s="648"/>
      <c r="AI119" s="646" t="s">
        <v>641</v>
      </c>
      <c r="AJ119" s="592">
        <f t="shared" si="11"/>
        <v>1</v>
      </c>
      <c r="AK119" s="307"/>
      <c r="AL119" s="307"/>
      <c r="AM119" s="307"/>
      <c r="AN119" s="307"/>
      <c r="AO119" s="307"/>
      <c r="AP119" s="307"/>
      <c r="AQ119" s="307"/>
      <c r="AR119" s="307"/>
      <c r="AS119" s="307"/>
      <c r="AT119" s="307"/>
      <c r="AU119" s="307"/>
      <c r="AV119" s="307"/>
      <c r="AW119" s="307"/>
      <c r="AX119" s="592"/>
      <c r="AY119" s="604"/>
      <c r="AZ119" s="605"/>
      <c r="BA119" s="307">
        <v>1</v>
      </c>
      <c r="BB119" s="307"/>
      <c r="BC119" s="307"/>
      <c r="BD119" s="307"/>
      <c r="BE119" s="307"/>
      <c r="BF119" s="609"/>
      <c r="BG119" s="605"/>
      <c r="BH119" s="605"/>
      <c r="BI119" s="611"/>
      <c r="BJ119" s="592"/>
      <c r="BK119" s="611"/>
      <c r="BL119" s="307"/>
      <c r="BM119" s="307"/>
      <c r="BN119" s="86"/>
      <c r="BO119" s="307"/>
      <c r="BP119" s="307"/>
      <c r="BQ119" s="307"/>
      <c r="BR119" s="86"/>
      <c r="BS119" s="609">
        <f t="shared" si="12"/>
        <v>0</v>
      </c>
    </row>
    <row r="120" spans="1:71" s="430" customFormat="1" ht="79.5" customHeight="1">
      <c r="A120" s="451" t="s">
        <v>137</v>
      </c>
      <c r="B120" s="86">
        <v>217</v>
      </c>
      <c r="C120" s="215">
        <v>1789</v>
      </c>
      <c r="D120" s="215"/>
      <c r="E120" s="1531" t="s">
        <v>645</v>
      </c>
      <c r="F120" s="1532"/>
      <c r="G120" s="1532"/>
      <c r="H120" s="1533"/>
      <c r="I120" s="454"/>
      <c r="J120" s="505">
        <v>3333229</v>
      </c>
      <c r="K120" s="506" t="s">
        <v>303</v>
      </c>
      <c r="L120" s="506" t="s">
        <v>646</v>
      </c>
      <c r="M120" s="505" t="s">
        <v>151</v>
      </c>
      <c r="N120" s="505"/>
      <c r="O120" s="508">
        <v>192885</v>
      </c>
      <c r="P120" s="454"/>
      <c r="Q120" s="454"/>
      <c r="R120" s="454"/>
      <c r="S120" s="454"/>
      <c r="T120" s="454" t="s">
        <v>114</v>
      </c>
      <c r="U120" s="454"/>
      <c r="V120" s="454"/>
      <c r="W120" s="454"/>
      <c r="X120" s="526"/>
      <c r="Y120" s="526" t="s">
        <v>40</v>
      </c>
      <c r="Z120" s="454"/>
      <c r="AA120" s="454"/>
      <c r="AB120" s="643"/>
      <c r="AC120" s="552" t="s">
        <v>240</v>
      </c>
      <c r="AD120" s="550"/>
      <c r="AE120" s="552" t="s">
        <v>240</v>
      </c>
      <c r="AF120" s="552" t="s">
        <v>620</v>
      </c>
      <c r="AG120" s="590"/>
      <c r="AH120" s="648"/>
      <c r="AI120" s="646" t="s">
        <v>647</v>
      </c>
      <c r="AJ120" s="592">
        <f t="shared" si="11"/>
        <v>1</v>
      </c>
      <c r="AK120" s="307"/>
      <c r="AL120" s="307"/>
      <c r="AM120" s="307"/>
      <c r="AN120" s="307"/>
      <c r="AO120" s="307"/>
      <c r="AP120" s="307"/>
      <c r="AQ120" s="307"/>
      <c r="AR120" s="307"/>
      <c r="AS120" s="307"/>
      <c r="AT120" s="307"/>
      <c r="AU120" s="307"/>
      <c r="AV120" s="307"/>
      <c r="AW120" s="307"/>
      <c r="AX120" s="592"/>
      <c r="AY120" s="604"/>
      <c r="AZ120" s="605"/>
      <c r="BA120" s="307">
        <v>1</v>
      </c>
      <c r="BB120" s="307"/>
      <c r="BC120" s="307"/>
      <c r="BD120" s="307"/>
      <c r="BE120" s="307"/>
      <c r="BF120" s="609"/>
      <c r="BG120" s="605"/>
      <c r="BH120" s="605"/>
      <c r="BI120" s="611"/>
      <c r="BJ120" s="592"/>
      <c r="BK120" s="611"/>
      <c r="BL120" s="307"/>
      <c r="BM120" s="307"/>
      <c r="BN120" s="86"/>
      <c r="BO120" s="307"/>
      <c r="BP120" s="307"/>
      <c r="BQ120" s="307"/>
      <c r="BR120" s="86"/>
      <c r="BS120" s="609">
        <f t="shared" si="12"/>
        <v>0</v>
      </c>
    </row>
    <row r="121" spans="1:71" s="430" customFormat="1" ht="79.5" customHeight="1">
      <c r="A121" s="451" t="s">
        <v>148</v>
      </c>
      <c r="B121" s="86">
        <v>220</v>
      </c>
      <c r="C121" s="215">
        <v>1791</v>
      </c>
      <c r="D121" s="215" t="s">
        <v>123</v>
      </c>
      <c r="E121" s="1531" t="s">
        <v>648</v>
      </c>
      <c r="F121" s="1532"/>
      <c r="G121" s="1532"/>
      <c r="H121" s="1533"/>
      <c r="I121" s="454"/>
      <c r="J121" s="505">
        <v>3349958</v>
      </c>
      <c r="K121" s="506" t="s">
        <v>109</v>
      </c>
      <c r="L121" s="506" t="e">
        <v>#N/A</v>
      </c>
      <c r="M121" s="507" t="s">
        <v>111</v>
      </c>
      <c r="N121" s="507" t="s">
        <v>649</v>
      </c>
      <c r="O121" s="508" t="s">
        <v>650</v>
      </c>
      <c r="P121" s="454"/>
      <c r="Q121" s="454"/>
      <c r="R121" s="454"/>
      <c r="S121" s="454"/>
      <c r="T121" s="454" t="s">
        <v>114</v>
      </c>
      <c r="U121" s="454"/>
      <c r="V121" s="454"/>
      <c r="W121" s="454"/>
      <c r="X121" s="526"/>
      <c r="Y121" s="526" t="s">
        <v>40</v>
      </c>
      <c r="Z121" s="454"/>
      <c r="AA121" s="454"/>
      <c r="AB121" s="643" t="s">
        <v>651</v>
      </c>
      <c r="AC121" s="552" t="s">
        <v>240</v>
      </c>
      <c r="AD121" s="550" t="s">
        <v>652</v>
      </c>
      <c r="AE121" s="551" t="s">
        <v>653</v>
      </c>
      <c r="AF121" s="551" t="s">
        <v>117</v>
      </c>
      <c r="AG121" s="590"/>
      <c r="AH121" s="648"/>
      <c r="AI121" s="646" t="s">
        <v>654</v>
      </c>
      <c r="AJ121" s="592">
        <f t="shared" si="11"/>
        <v>1</v>
      </c>
      <c r="AK121" s="307"/>
      <c r="AL121" s="307"/>
      <c r="AM121" s="307"/>
      <c r="AN121" s="307"/>
      <c r="AO121" s="307"/>
      <c r="AP121" s="307"/>
      <c r="AQ121" s="307"/>
      <c r="AR121" s="307"/>
      <c r="AS121" s="307"/>
      <c r="AT121" s="307"/>
      <c r="AU121" s="307"/>
      <c r="AV121" s="307"/>
      <c r="AW121" s="307"/>
      <c r="AX121" s="592"/>
      <c r="AY121" s="604"/>
      <c r="AZ121" s="605"/>
      <c r="BA121" s="307">
        <v>1</v>
      </c>
      <c r="BB121" s="307"/>
      <c r="BC121" s="307"/>
      <c r="BD121" s="307"/>
      <c r="BE121" s="307"/>
      <c r="BF121" s="609"/>
      <c r="BG121" s="605"/>
      <c r="BH121" s="605"/>
      <c r="BI121" s="611"/>
      <c r="BJ121" s="592"/>
      <c r="BK121" s="611"/>
      <c r="BL121" s="307"/>
      <c r="BM121" s="307"/>
      <c r="BN121" s="86"/>
      <c r="BO121" s="307"/>
      <c r="BP121" s="307"/>
      <c r="BQ121" s="307"/>
      <c r="BR121" s="86"/>
      <c r="BS121" s="609">
        <f t="shared" si="12"/>
        <v>0</v>
      </c>
    </row>
    <row r="122" spans="1:71" s="430" customFormat="1" ht="79.5" customHeight="1">
      <c r="A122" s="451" t="s">
        <v>106</v>
      </c>
      <c r="B122" s="86">
        <v>320</v>
      </c>
      <c r="C122" s="215">
        <v>1687</v>
      </c>
      <c r="D122" s="215"/>
      <c r="E122" s="1531" t="s">
        <v>655</v>
      </c>
      <c r="F122" s="1532"/>
      <c r="G122" s="1532"/>
      <c r="H122" s="1533"/>
      <c r="I122" s="454"/>
      <c r="J122" s="505">
        <v>3349704</v>
      </c>
      <c r="K122" s="506" t="s">
        <v>109</v>
      </c>
      <c r="L122" s="506" t="e">
        <v>#N/A</v>
      </c>
      <c r="M122" s="505" t="s">
        <v>151</v>
      </c>
      <c r="N122" s="505"/>
      <c r="O122" s="508"/>
      <c r="P122" s="454"/>
      <c r="Q122" s="454"/>
      <c r="R122" s="454"/>
      <c r="S122" s="454" t="s">
        <v>114</v>
      </c>
      <c r="T122" s="454"/>
      <c r="U122" s="454"/>
      <c r="V122" s="454"/>
      <c r="W122" s="454"/>
      <c r="X122" s="526"/>
      <c r="Y122" s="526" t="s">
        <v>40</v>
      </c>
      <c r="Z122" s="454"/>
      <c r="AA122" s="454"/>
      <c r="AB122" s="643"/>
      <c r="AC122" s="552" t="s">
        <v>240</v>
      </c>
      <c r="AD122" s="550"/>
      <c r="AE122" s="552" t="s">
        <v>240</v>
      </c>
      <c r="AF122" s="552" t="s">
        <v>620</v>
      </c>
      <c r="AG122" s="590" t="s">
        <v>644</v>
      </c>
      <c r="AH122" s="648"/>
      <c r="AI122" s="646" t="s">
        <v>656</v>
      </c>
      <c r="AJ122" s="592">
        <f t="shared" si="11"/>
        <v>1</v>
      </c>
      <c r="AK122" s="307"/>
      <c r="AL122" s="307"/>
      <c r="AM122" s="307"/>
      <c r="AN122" s="307"/>
      <c r="AO122" s="307"/>
      <c r="AP122" s="307"/>
      <c r="AQ122" s="307"/>
      <c r="AR122" s="307"/>
      <c r="AS122" s="307"/>
      <c r="AT122" s="307"/>
      <c r="AU122" s="307"/>
      <c r="AV122" s="307"/>
      <c r="AW122" s="307"/>
      <c r="AX122" s="592"/>
      <c r="AY122" s="604"/>
      <c r="AZ122" s="605"/>
      <c r="BA122" s="307">
        <v>1</v>
      </c>
      <c r="BB122" s="307"/>
      <c r="BC122" s="307"/>
      <c r="BD122" s="307"/>
      <c r="BE122" s="307"/>
      <c r="BF122" s="609"/>
      <c r="BG122" s="605"/>
      <c r="BH122" s="605"/>
      <c r="BI122" s="611"/>
      <c r="BJ122" s="592"/>
      <c r="BK122" s="611"/>
      <c r="BL122" s="307"/>
      <c r="BM122" s="307"/>
      <c r="BN122" s="86"/>
      <c r="BO122" s="307"/>
      <c r="BP122" s="307"/>
      <c r="BQ122" s="307"/>
      <c r="BR122" s="86"/>
      <c r="BS122" s="609">
        <f t="shared" si="12"/>
        <v>0</v>
      </c>
    </row>
    <row r="123" spans="1:71" s="430" customFormat="1" ht="79.5" customHeight="1">
      <c r="A123" s="451" t="s">
        <v>106</v>
      </c>
      <c r="B123" s="86">
        <v>321</v>
      </c>
      <c r="C123" s="215">
        <v>1688</v>
      </c>
      <c r="D123" s="215"/>
      <c r="E123" s="1531" t="s">
        <v>657</v>
      </c>
      <c r="F123" s="1532"/>
      <c r="G123" s="1532"/>
      <c r="H123" s="1533"/>
      <c r="I123" s="454"/>
      <c r="J123" s="505">
        <v>3347817</v>
      </c>
      <c r="K123" s="506" t="s">
        <v>303</v>
      </c>
      <c r="L123" s="506" t="s">
        <v>658</v>
      </c>
      <c r="M123" s="505" t="s">
        <v>202</v>
      </c>
      <c r="N123" s="505"/>
      <c r="O123" s="508">
        <v>195532</v>
      </c>
      <c r="P123" s="454"/>
      <c r="Q123" s="454"/>
      <c r="R123" s="454"/>
      <c r="S123" s="454" t="s">
        <v>114</v>
      </c>
      <c r="T123" s="454"/>
      <c r="U123" s="454"/>
      <c r="V123" s="454"/>
      <c r="W123" s="454"/>
      <c r="X123" s="526"/>
      <c r="Y123" s="526" t="s">
        <v>40</v>
      </c>
      <c r="Z123" s="454"/>
      <c r="AA123" s="454"/>
      <c r="AB123" s="643"/>
      <c r="AC123" s="552" t="s">
        <v>240</v>
      </c>
      <c r="AD123" s="550"/>
      <c r="AE123" s="552" t="s">
        <v>240</v>
      </c>
      <c r="AF123" s="552" t="s">
        <v>620</v>
      </c>
      <c r="AG123" s="590" t="s">
        <v>659</v>
      </c>
      <c r="AH123" s="648"/>
      <c r="AI123" s="646" t="s">
        <v>660</v>
      </c>
      <c r="AJ123" s="592">
        <f t="shared" si="11"/>
        <v>1</v>
      </c>
      <c r="AK123" s="307"/>
      <c r="AL123" s="307"/>
      <c r="AM123" s="307"/>
      <c r="AN123" s="307"/>
      <c r="AO123" s="307"/>
      <c r="AP123" s="307"/>
      <c r="AQ123" s="307"/>
      <c r="AR123" s="307"/>
      <c r="AS123" s="307"/>
      <c r="AT123" s="307"/>
      <c r="AU123" s="307"/>
      <c r="AV123" s="307"/>
      <c r="AW123" s="307"/>
      <c r="AX123" s="592"/>
      <c r="AY123" s="604"/>
      <c r="AZ123" s="605"/>
      <c r="BA123" s="307">
        <v>1</v>
      </c>
      <c r="BB123" s="307"/>
      <c r="BC123" s="307"/>
      <c r="BD123" s="307"/>
      <c r="BE123" s="307"/>
      <c r="BF123" s="609"/>
      <c r="BG123" s="605"/>
      <c r="BH123" s="605"/>
      <c r="BI123" s="611"/>
      <c r="BJ123" s="592"/>
      <c r="BK123" s="611"/>
      <c r="BL123" s="307"/>
      <c r="BM123" s="307"/>
      <c r="BN123" s="86"/>
      <c r="BO123" s="307"/>
      <c r="BP123" s="307"/>
      <c r="BQ123" s="307"/>
      <c r="BR123" s="86"/>
      <c r="BS123" s="609">
        <f t="shared" si="12"/>
        <v>0</v>
      </c>
    </row>
    <row r="124" spans="1:71" s="430" customFormat="1" ht="79.5" customHeight="1">
      <c r="A124" s="451" t="s">
        <v>106</v>
      </c>
      <c r="B124" s="86">
        <v>322</v>
      </c>
      <c r="C124" s="215">
        <v>1689</v>
      </c>
      <c r="D124" s="215"/>
      <c r="E124" s="1531" t="s">
        <v>661</v>
      </c>
      <c r="F124" s="1532"/>
      <c r="G124" s="1532"/>
      <c r="H124" s="1533"/>
      <c r="I124" s="454"/>
      <c r="J124" s="505">
        <v>3349707</v>
      </c>
      <c r="K124" s="506" t="s">
        <v>643</v>
      </c>
      <c r="L124" s="506" t="e">
        <v>#N/A</v>
      </c>
      <c r="M124" s="505" t="s">
        <v>662</v>
      </c>
      <c r="N124" s="505"/>
      <c r="O124" s="508"/>
      <c r="P124" s="454"/>
      <c r="Q124" s="454"/>
      <c r="R124" s="454"/>
      <c r="S124" s="454" t="s">
        <v>114</v>
      </c>
      <c r="T124" s="454"/>
      <c r="U124" s="454"/>
      <c r="V124" s="454"/>
      <c r="W124" s="454"/>
      <c r="X124" s="526"/>
      <c r="Y124" s="526" t="s">
        <v>40</v>
      </c>
      <c r="Z124" s="454"/>
      <c r="AA124" s="454"/>
      <c r="AB124" s="643"/>
      <c r="AC124" s="552" t="s">
        <v>240</v>
      </c>
      <c r="AD124" s="550"/>
      <c r="AE124" s="552" t="s">
        <v>240</v>
      </c>
      <c r="AF124" s="552" t="s">
        <v>620</v>
      </c>
      <c r="AG124" s="590" t="s">
        <v>644</v>
      </c>
      <c r="AH124" s="648"/>
      <c r="AI124" s="646" t="s">
        <v>663</v>
      </c>
      <c r="AJ124" s="592">
        <f t="shared" si="11"/>
        <v>2</v>
      </c>
      <c r="AK124" s="307"/>
      <c r="AL124" s="307"/>
      <c r="AM124" s="307"/>
      <c r="AN124" s="307"/>
      <c r="AO124" s="307"/>
      <c r="AP124" s="307">
        <v>1</v>
      </c>
      <c r="AQ124" s="307"/>
      <c r="AR124" s="307"/>
      <c r="AS124" s="307"/>
      <c r="AT124" s="307"/>
      <c r="AU124" s="307"/>
      <c r="AV124" s="307" t="s">
        <v>136</v>
      </c>
      <c r="AW124" s="307" t="s">
        <v>136</v>
      </c>
      <c r="AX124" s="592"/>
      <c r="AY124" s="604"/>
      <c r="AZ124" s="605"/>
      <c r="BA124" s="307">
        <v>1</v>
      </c>
      <c r="BB124" s="307"/>
      <c r="BC124" s="307"/>
      <c r="BD124" s="307"/>
      <c r="BE124" s="307"/>
      <c r="BF124" s="609"/>
      <c r="BG124" s="605"/>
      <c r="BH124" s="605"/>
      <c r="BI124" s="611"/>
      <c r="BJ124" s="592"/>
      <c r="BK124" s="611"/>
      <c r="BL124" s="307"/>
      <c r="BM124" s="307"/>
      <c r="BN124" s="86"/>
      <c r="BO124" s="307" t="s">
        <v>136</v>
      </c>
      <c r="BP124" s="307"/>
      <c r="BQ124" s="307"/>
      <c r="BR124" s="86"/>
      <c r="BS124" s="609">
        <f t="shared" si="12"/>
        <v>0</v>
      </c>
    </row>
    <row r="125" spans="1:71" s="430" customFormat="1" ht="79.5" customHeight="1">
      <c r="A125" s="451" t="s">
        <v>148</v>
      </c>
      <c r="B125" s="86">
        <v>325</v>
      </c>
      <c r="C125" s="215">
        <v>1690</v>
      </c>
      <c r="D125" s="215"/>
      <c r="E125" s="1531" t="s">
        <v>664</v>
      </c>
      <c r="F125" s="1532"/>
      <c r="G125" s="1532"/>
      <c r="H125" s="1533"/>
      <c r="I125" s="454"/>
      <c r="J125" s="505">
        <v>3347852</v>
      </c>
      <c r="K125" s="506" t="s">
        <v>109</v>
      </c>
      <c r="L125" s="506" t="s">
        <v>665</v>
      </c>
      <c r="M125" s="507" t="s">
        <v>111</v>
      </c>
      <c r="N125" s="505"/>
      <c r="O125" s="508" t="s">
        <v>666</v>
      </c>
      <c r="P125" s="454"/>
      <c r="Q125" s="454"/>
      <c r="R125" s="454"/>
      <c r="S125" s="454" t="s">
        <v>114</v>
      </c>
      <c r="T125" s="454" t="s">
        <v>114</v>
      </c>
      <c r="U125" s="454"/>
      <c r="V125" s="454"/>
      <c r="W125" s="454"/>
      <c r="X125" s="526"/>
      <c r="Y125" s="526" t="s">
        <v>40</v>
      </c>
      <c r="Z125" s="454"/>
      <c r="AA125" s="454"/>
      <c r="AB125" s="643"/>
      <c r="AC125" s="552" t="s">
        <v>240</v>
      </c>
      <c r="AD125" s="550" t="s">
        <v>667</v>
      </c>
      <c r="AE125" s="552" t="s">
        <v>240</v>
      </c>
      <c r="AF125" s="552" t="s">
        <v>620</v>
      </c>
      <c r="AG125" s="590" t="s">
        <v>668</v>
      </c>
      <c r="AH125" s="648"/>
      <c r="AI125" s="646" t="s">
        <v>641</v>
      </c>
      <c r="AJ125" s="592">
        <f t="shared" si="11"/>
        <v>1</v>
      </c>
      <c r="AK125" s="307"/>
      <c r="AL125" s="307"/>
      <c r="AM125" s="307"/>
      <c r="AN125" s="307"/>
      <c r="AO125" s="307"/>
      <c r="AP125" s="307"/>
      <c r="AQ125" s="307"/>
      <c r="AR125" s="307"/>
      <c r="AS125" s="307"/>
      <c r="AT125" s="307"/>
      <c r="AU125" s="307"/>
      <c r="AV125" s="307"/>
      <c r="AW125" s="307"/>
      <c r="AX125" s="592"/>
      <c r="AY125" s="604"/>
      <c r="AZ125" s="605"/>
      <c r="BA125" s="307">
        <v>1</v>
      </c>
      <c r="BB125" s="307"/>
      <c r="BC125" s="307"/>
      <c r="BD125" s="307"/>
      <c r="BE125" s="307"/>
      <c r="BF125" s="609"/>
      <c r="BG125" s="605"/>
      <c r="BH125" s="605"/>
      <c r="BI125" s="611"/>
      <c r="BJ125" s="592"/>
      <c r="BK125" s="611"/>
      <c r="BL125" s="307"/>
      <c r="BM125" s="307"/>
      <c r="BN125" s="86"/>
      <c r="BO125" s="307"/>
      <c r="BP125" s="307"/>
      <c r="BQ125" s="307"/>
      <c r="BR125" s="86"/>
      <c r="BS125" s="609">
        <f t="shared" si="12"/>
        <v>0</v>
      </c>
    </row>
    <row r="126" spans="1:71" s="430" customFormat="1" ht="79.5" customHeight="1">
      <c r="A126" s="451" t="s">
        <v>187</v>
      </c>
      <c r="B126" s="86">
        <v>326</v>
      </c>
      <c r="C126" s="215">
        <v>1691</v>
      </c>
      <c r="D126" s="215"/>
      <c r="E126" s="1531" t="s">
        <v>669</v>
      </c>
      <c r="F126" s="1532"/>
      <c r="G126" s="1532"/>
      <c r="H126" s="1533"/>
      <c r="I126" s="454"/>
      <c r="J126" s="505">
        <v>3347818</v>
      </c>
      <c r="K126" s="635" t="s">
        <v>643</v>
      </c>
      <c r="L126" s="506" t="s">
        <v>670</v>
      </c>
      <c r="M126" s="505" t="s">
        <v>111</v>
      </c>
      <c r="N126" s="505"/>
      <c r="O126" s="508"/>
      <c r="P126" s="454"/>
      <c r="Q126" s="454"/>
      <c r="R126" s="454"/>
      <c r="S126" s="454"/>
      <c r="T126" s="454" t="s">
        <v>114</v>
      </c>
      <c r="U126" s="454"/>
      <c r="V126" s="454"/>
      <c r="W126" s="454"/>
      <c r="X126" s="526"/>
      <c r="Y126" s="526" t="s">
        <v>40</v>
      </c>
      <c r="Z126" s="454" t="s">
        <v>671</v>
      </c>
      <c r="AA126" s="454" t="s">
        <v>130</v>
      </c>
      <c r="AB126" s="643"/>
      <c r="AC126" s="552" t="s">
        <v>240</v>
      </c>
      <c r="AD126" s="550"/>
      <c r="AE126" s="552" t="s">
        <v>240</v>
      </c>
      <c r="AF126" s="552" t="s">
        <v>620</v>
      </c>
      <c r="AG126" s="590" t="s">
        <v>672</v>
      </c>
      <c r="AH126" s="648"/>
      <c r="AI126" s="646" t="s">
        <v>673</v>
      </c>
      <c r="AJ126" s="592">
        <f t="shared" si="11"/>
        <v>1</v>
      </c>
      <c r="AK126" s="307"/>
      <c r="AL126" s="307"/>
      <c r="AM126" s="307"/>
      <c r="AN126" s="307"/>
      <c r="AO126" s="307"/>
      <c r="AP126" s="307"/>
      <c r="AQ126" s="307"/>
      <c r="AR126" s="307"/>
      <c r="AS126" s="307"/>
      <c r="AT126" s="307"/>
      <c r="AU126" s="307"/>
      <c r="AV126" s="307"/>
      <c r="AW126" s="307"/>
      <c r="AX126" s="592"/>
      <c r="AY126" s="604"/>
      <c r="AZ126" s="605"/>
      <c r="BA126" s="307">
        <v>1</v>
      </c>
      <c r="BB126" s="307"/>
      <c r="BC126" s="307"/>
      <c r="BD126" s="307"/>
      <c r="BE126" s="307"/>
      <c r="BF126" s="609"/>
      <c r="BG126" s="605"/>
      <c r="BH126" s="605"/>
      <c r="BI126" s="611"/>
      <c r="BJ126" s="592"/>
      <c r="BK126" s="611"/>
      <c r="BL126" s="307"/>
      <c r="BM126" s="307"/>
      <c r="BN126" s="86"/>
      <c r="BO126" s="307"/>
      <c r="BP126" s="307"/>
      <c r="BQ126" s="307"/>
      <c r="BR126" s="86"/>
      <c r="BS126" s="609">
        <f t="shared" si="12"/>
        <v>0</v>
      </c>
    </row>
    <row r="127" spans="1:71" s="430" customFormat="1" ht="79.5" customHeight="1">
      <c r="A127" s="451" t="s">
        <v>106</v>
      </c>
      <c r="B127" s="86">
        <v>327</v>
      </c>
      <c r="C127" s="215">
        <v>1692</v>
      </c>
      <c r="D127" s="215"/>
      <c r="E127" s="1531" t="s">
        <v>674</v>
      </c>
      <c r="F127" s="1532"/>
      <c r="G127" s="1532"/>
      <c r="H127" s="1533"/>
      <c r="I127" s="454"/>
      <c r="J127" s="505">
        <v>3347841</v>
      </c>
      <c r="K127" s="506" t="s">
        <v>109</v>
      </c>
      <c r="L127" s="506" t="s">
        <v>675</v>
      </c>
      <c r="M127" s="507" t="s">
        <v>111</v>
      </c>
      <c r="N127" s="507"/>
      <c r="O127" s="508"/>
      <c r="P127" s="454"/>
      <c r="Q127" s="454"/>
      <c r="R127" s="454"/>
      <c r="S127" s="454"/>
      <c r="T127" s="454" t="s">
        <v>114</v>
      </c>
      <c r="U127" s="454"/>
      <c r="V127" s="454"/>
      <c r="W127" s="454"/>
      <c r="X127" s="526"/>
      <c r="Y127" s="526" t="s">
        <v>40</v>
      </c>
      <c r="Z127" s="454"/>
      <c r="AA127" s="454"/>
      <c r="AB127" s="643"/>
      <c r="AC127" s="552" t="s">
        <v>240</v>
      </c>
      <c r="AD127" s="550"/>
      <c r="AE127" s="552" t="s">
        <v>240</v>
      </c>
      <c r="AF127" s="552" t="s">
        <v>620</v>
      </c>
      <c r="AG127" s="590" t="s">
        <v>676</v>
      </c>
      <c r="AH127" s="648"/>
      <c r="AI127" s="646" t="s">
        <v>677</v>
      </c>
      <c r="AJ127" s="592">
        <f t="shared" si="11"/>
        <v>1</v>
      </c>
      <c r="AK127" s="307"/>
      <c r="AL127" s="307"/>
      <c r="AM127" s="307"/>
      <c r="AN127" s="307"/>
      <c r="AO127" s="307"/>
      <c r="AP127" s="307"/>
      <c r="AQ127" s="307"/>
      <c r="AR127" s="307"/>
      <c r="AS127" s="307"/>
      <c r="AT127" s="307"/>
      <c r="AU127" s="307"/>
      <c r="AV127" s="307"/>
      <c r="AW127" s="307"/>
      <c r="AX127" s="592"/>
      <c r="AY127" s="604"/>
      <c r="AZ127" s="605"/>
      <c r="BA127" s="307">
        <v>1</v>
      </c>
      <c r="BB127" s="307"/>
      <c r="BC127" s="307"/>
      <c r="BD127" s="307"/>
      <c r="BE127" s="307"/>
      <c r="BF127" s="609"/>
      <c r="BG127" s="605"/>
      <c r="BH127" s="605"/>
      <c r="BI127" s="611"/>
      <c r="BJ127" s="592"/>
      <c r="BK127" s="611"/>
      <c r="BL127" s="307"/>
      <c r="BM127" s="307"/>
      <c r="BN127" s="86"/>
      <c r="BO127" s="307"/>
      <c r="BP127" s="307"/>
      <c r="BQ127" s="307"/>
      <c r="BR127" s="86"/>
      <c r="BS127" s="609">
        <f t="shared" si="12"/>
        <v>0</v>
      </c>
    </row>
    <row r="128" spans="1:71" s="430" customFormat="1" ht="79.5" customHeight="1">
      <c r="A128" s="451">
        <v>3</v>
      </c>
      <c r="B128" s="86">
        <v>87</v>
      </c>
      <c r="C128" s="215">
        <v>1648</v>
      </c>
      <c r="D128" s="215"/>
      <c r="E128" s="1531" t="s">
        <v>678</v>
      </c>
      <c r="F128" s="1532"/>
      <c r="G128" s="1532"/>
      <c r="H128" s="1533"/>
      <c r="I128" s="454"/>
      <c r="J128" s="505">
        <v>3347819</v>
      </c>
      <c r="K128" s="635" t="s">
        <v>643</v>
      </c>
      <c r="L128" s="506" t="s">
        <v>679</v>
      </c>
      <c r="M128" s="505" t="s">
        <v>202</v>
      </c>
      <c r="N128" s="505"/>
      <c r="O128" s="508">
        <v>195214</v>
      </c>
      <c r="P128" s="454"/>
      <c r="Q128" s="454"/>
      <c r="R128" s="454"/>
      <c r="S128" s="454"/>
      <c r="T128" s="454"/>
      <c r="U128" s="454" t="s">
        <v>114</v>
      </c>
      <c r="V128" s="454"/>
      <c r="W128" s="454"/>
      <c r="X128" s="526" t="s">
        <v>99</v>
      </c>
      <c r="Y128" s="639"/>
      <c r="Z128" s="454"/>
      <c r="AA128" s="454"/>
      <c r="AB128" s="643"/>
      <c r="AC128" s="644" t="s">
        <v>240</v>
      </c>
      <c r="AD128" s="645"/>
      <c r="AE128" s="644" t="s">
        <v>240</v>
      </c>
      <c r="AF128" s="552" t="s">
        <v>620</v>
      </c>
      <c r="AG128" s="590" t="s">
        <v>680</v>
      </c>
      <c r="AH128" s="648"/>
      <c r="AI128" s="646" t="s">
        <v>681</v>
      </c>
      <c r="AJ128" s="592">
        <f t="shared" si="11"/>
        <v>6</v>
      </c>
      <c r="AK128" s="307"/>
      <c r="AL128" s="307"/>
      <c r="AM128" s="307"/>
      <c r="AN128" s="307"/>
      <c r="AO128" s="307"/>
      <c r="AP128" s="307">
        <v>1</v>
      </c>
      <c r="AQ128" s="307">
        <v>1</v>
      </c>
      <c r="AR128" s="307"/>
      <c r="AS128" s="307"/>
      <c r="AT128" s="307">
        <v>1</v>
      </c>
      <c r="AU128" s="307"/>
      <c r="AV128" s="307">
        <v>1</v>
      </c>
      <c r="AW128" s="307">
        <v>1</v>
      </c>
      <c r="AX128" s="592"/>
      <c r="AY128" s="604"/>
      <c r="AZ128" s="605"/>
      <c r="BA128" s="307"/>
      <c r="BB128" s="307"/>
      <c r="BC128" s="307"/>
      <c r="BD128" s="307"/>
      <c r="BE128" s="307"/>
      <c r="BF128" s="609"/>
      <c r="BG128" s="605"/>
      <c r="BH128" s="605"/>
      <c r="BI128" s="611"/>
      <c r="BJ128" s="592"/>
      <c r="BK128" s="611"/>
      <c r="BL128" s="307"/>
      <c r="BM128" s="307"/>
      <c r="BN128" s="86"/>
      <c r="BO128" s="307">
        <v>1</v>
      </c>
      <c r="BP128" s="307"/>
      <c r="BQ128" s="307"/>
      <c r="BR128" s="86"/>
      <c r="BS128" s="609">
        <f t="shared" si="12"/>
        <v>1</v>
      </c>
    </row>
    <row r="129" spans="1:73" s="430" customFormat="1" ht="79.5" customHeight="1">
      <c r="A129" s="451" t="s">
        <v>106</v>
      </c>
      <c r="B129" s="86">
        <v>316</v>
      </c>
      <c r="C129" s="215">
        <v>1650</v>
      </c>
      <c r="D129" s="215"/>
      <c r="E129" s="1531" t="s">
        <v>682</v>
      </c>
      <c r="F129" s="1532"/>
      <c r="G129" s="1532"/>
      <c r="H129" s="1533"/>
      <c r="I129" s="454"/>
      <c r="J129" s="505">
        <v>3347815</v>
      </c>
      <c r="K129" s="510" t="s">
        <v>139</v>
      </c>
      <c r="L129" s="506" t="s">
        <v>683</v>
      </c>
      <c r="M129" s="505" t="s">
        <v>202</v>
      </c>
      <c r="N129" s="505"/>
      <c r="O129" s="508"/>
      <c r="P129" s="454"/>
      <c r="Q129" s="454"/>
      <c r="R129" s="454"/>
      <c r="S129" s="454"/>
      <c r="T129" s="454" t="s">
        <v>114</v>
      </c>
      <c r="U129" s="454"/>
      <c r="V129" s="454"/>
      <c r="W129" s="454"/>
      <c r="X129" s="526" t="s">
        <v>99</v>
      </c>
      <c r="Y129" s="639"/>
      <c r="Z129" s="454"/>
      <c r="AA129" s="454"/>
      <c r="AB129" s="643" t="s">
        <v>130</v>
      </c>
      <c r="AC129" s="684">
        <v>41500</v>
      </c>
      <c r="AD129" s="645" t="s">
        <v>684</v>
      </c>
      <c r="AE129" s="684" t="s">
        <v>685</v>
      </c>
      <c r="AF129" s="549" t="s">
        <v>132</v>
      </c>
      <c r="AG129" s="590" t="s">
        <v>686</v>
      </c>
      <c r="AH129" s="648"/>
      <c r="AI129" s="646" t="s">
        <v>687</v>
      </c>
      <c r="AJ129" s="592">
        <f t="shared" si="11"/>
        <v>1</v>
      </c>
      <c r="AK129" s="307"/>
      <c r="AL129" s="307"/>
      <c r="AM129" s="307"/>
      <c r="AN129" s="307"/>
      <c r="AO129" s="307"/>
      <c r="AP129" s="307"/>
      <c r="AQ129" s="307"/>
      <c r="AR129" s="307"/>
      <c r="AS129" s="307">
        <v>1</v>
      </c>
      <c r="AT129" s="307"/>
      <c r="AU129" s="307"/>
      <c r="AV129" s="307"/>
      <c r="AW129" s="307"/>
      <c r="AX129" s="592"/>
      <c r="AY129" s="604"/>
      <c r="AZ129" s="605"/>
      <c r="BA129" s="307"/>
      <c r="BB129" s="307"/>
      <c r="BC129" s="307"/>
      <c r="BD129" s="307"/>
      <c r="BE129" s="307"/>
      <c r="BF129" s="609"/>
      <c r="BG129" s="605"/>
      <c r="BH129" s="605"/>
      <c r="BI129" s="611"/>
      <c r="BJ129" s="592"/>
      <c r="BK129" s="611"/>
      <c r="BL129" s="307"/>
      <c r="BM129" s="307"/>
      <c r="BN129" s="86"/>
      <c r="BO129" s="307"/>
      <c r="BP129" s="307"/>
      <c r="BQ129" s="307"/>
      <c r="BR129" s="86"/>
      <c r="BS129" s="609">
        <f t="shared" si="12"/>
        <v>0</v>
      </c>
    </row>
    <row r="130" spans="1:73" s="430" customFormat="1" ht="79.5" customHeight="1">
      <c r="A130" s="451"/>
      <c r="B130" s="86"/>
      <c r="C130" s="215">
        <v>0</v>
      </c>
      <c r="D130" s="215"/>
      <c r="E130" s="1531"/>
      <c r="F130" s="1532"/>
      <c r="G130" s="1532"/>
      <c r="H130" s="1533"/>
      <c r="I130" s="454"/>
      <c r="J130" s="505"/>
      <c r="K130" s="506"/>
      <c r="L130" s="506" t="e">
        <v>#N/A</v>
      </c>
      <c r="M130" s="505"/>
      <c r="N130" s="505"/>
      <c r="O130" s="508"/>
      <c r="P130" s="454"/>
      <c r="Q130" s="454"/>
      <c r="R130" s="454"/>
      <c r="S130" s="454"/>
      <c r="T130" s="454"/>
      <c r="U130" s="454"/>
      <c r="V130" s="454"/>
      <c r="W130" s="454"/>
      <c r="X130" s="526"/>
      <c r="Y130" s="454"/>
      <c r="Z130" s="454"/>
      <c r="AA130" s="454"/>
      <c r="AB130" s="643"/>
      <c r="AC130" s="454"/>
      <c r="AD130" s="643"/>
      <c r="AE130" s="454"/>
      <c r="AF130" s="454"/>
      <c r="AG130" s="590"/>
      <c r="AH130" s="648"/>
      <c r="AI130" s="646"/>
      <c r="AJ130" s="592"/>
      <c r="AK130" s="307"/>
      <c r="AL130" s="307"/>
      <c r="AM130" s="307"/>
      <c r="AN130" s="307"/>
      <c r="AO130" s="307"/>
      <c r="AP130" s="307"/>
      <c r="AQ130" s="307"/>
      <c r="AR130" s="307"/>
      <c r="AS130" s="307"/>
      <c r="AT130" s="307"/>
      <c r="AU130" s="307"/>
      <c r="AV130" s="307"/>
      <c r="AW130" s="307"/>
      <c r="AX130" s="592"/>
      <c r="AY130" s="604"/>
      <c r="AZ130" s="605"/>
      <c r="BA130" s="307"/>
      <c r="BB130" s="307"/>
      <c r="BC130" s="307"/>
      <c r="BD130" s="307"/>
      <c r="BE130" s="307"/>
      <c r="BF130" s="609"/>
      <c r="BG130" s="605"/>
      <c r="BH130" s="605"/>
      <c r="BI130" s="611"/>
      <c r="BJ130" s="592"/>
      <c r="BK130" s="611"/>
      <c r="BL130" s="307"/>
      <c r="BM130" s="307"/>
      <c r="BN130" s="86"/>
      <c r="BO130" s="307"/>
      <c r="BP130" s="307"/>
      <c r="BQ130" s="307"/>
      <c r="BR130" s="86"/>
      <c r="BS130" s="609">
        <f t="shared" si="12"/>
        <v>0</v>
      </c>
    </row>
    <row r="131" spans="1:73" s="430" customFormat="1" ht="12.75" customHeight="1">
      <c r="A131" s="451"/>
      <c r="B131" s="86"/>
      <c r="C131" s="215">
        <v>0</v>
      </c>
      <c r="D131" s="215"/>
      <c r="E131" s="452"/>
      <c r="F131" s="453"/>
      <c r="G131" s="453"/>
      <c r="H131" s="454"/>
      <c r="I131" s="454"/>
      <c r="J131" s="505"/>
      <c r="K131" s="505"/>
      <c r="L131" s="506" t="e">
        <v>#N/A</v>
      </c>
      <c r="M131" s="505"/>
      <c r="N131" s="505"/>
      <c r="O131" s="508"/>
      <c r="P131" s="508"/>
      <c r="Q131" s="508"/>
      <c r="R131" s="508"/>
      <c r="S131" s="508"/>
      <c r="T131" s="508"/>
      <c r="U131" s="508"/>
      <c r="V131" s="508"/>
      <c r="W131" s="508"/>
      <c r="X131" s="508"/>
      <c r="Y131" s="508"/>
      <c r="Z131" s="508"/>
      <c r="AA131" s="508"/>
      <c r="AB131" s="590"/>
      <c r="AC131" s="508"/>
      <c r="AD131" s="590"/>
      <c r="AE131" s="508"/>
      <c r="AF131" s="508"/>
      <c r="AG131" s="590"/>
      <c r="AH131" s="648"/>
      <c r="AI131" s="646"/>
      <c r="AJ131" s="592"/>
      <c r="AK131" s="307"/>
      <c r="AL131" s="307"/>
      <c r="AM131" s="307"/>
      <c r="AN131" s="307"/>
      <c r="AO131" s="307"/>
      <c r="AP131" s="307"/>
      <c r="AQ131" s="307"/>
      <c r="AR131" s="307"/>
      <c r="AS131" s="307"/>
      <c r="AT131" s="307"/>
      <c r="AU131" s="307"/>
      <c r="AV131" s="307"/>
      <c r="AW131" s="307"/>
      <c r="AX131" s="592"/>
      <c r="AY131" s="604"/>
      <c r="AZ131" s="605"/>
      <c r="BA131" s="307"/>
      <c r="BB131" s="307"/>
      <c r="BC131" s="307"/>
      <c r="BD131" s="307"/>
      <c r="BE131" s="307"/>
      <c r="BF131" s="609"/>
      <c r="BG131" s="605"/>
      <c r="BH131" s="605"/>
      <c r="BI131" s="611"/>
      <c r="BJ131" s="592"/>
      <c r="BK131" s="611"/>
      <c r="BL131" s="307"/>
      <c r="BM131" s="307"/>
      <c r="BN131" s="86"/>
      <c r="BO131" s="307"/>
      <c r="BP131" s="307"/>
      <c r="BQ131" s="307"/>
      <c r="BR131" s="86"/>
      <c r="BS131" s="609">
        <f t="shared" si="12"/>
        <v>0</v>
      </c>
    </row>
    <row r="132" spans="1:73" ht="12.75" customHeight="1">
      <c r="A132" s="650"/>
      <c r="B132" s="651"/>
      <c r="C132" s="215">
        <v>0</v>
      </c>
      <c r="D132" s="651"/>
      <c r="E132" s="652"/>
      <c r="F132" s="652"/>
      <c r="G132" s="652"/>
      <c r="H132" s="652"/>
      <c r="I132" s="652"/>
      <c r="J132" s="652"/>
      <c r="K132" s="652"/>
      <c r="L132" s="506" t="e">
        <v>#N/A</v>
      </c>
      <c r="M132" s="652"/>
      <c r="N132" s="652"/>
      <c r="O132" s="652"/>
      <c r="P132" s="652"/>
      <c r="Q132" s="652"/>
      <c r="R132" s="652"/>
      <c r="S132" s="652"/>
      <c r="T132" s="652"/>
      <c r="U132" s="674"/>
      <c r="V132" s="675"/>
      <c r="W132" s="675"/>
      <c r="X132" s="675"/>
      <c r="Y132" s="675"/>
      <c r="Z132" s="685"/>
      <c r="AA132" s="685"/>
      <c r="AB132" s="686"/>
      <c r="AC132" s="675"/>
      <c r="AD132" s="686"/>
      <c r="AE132" s="687"/>
      <c r="AF132" s="687"/>
      <c r="AG132" s="674"/>
      <c r="AH132" s="687"/>
      <c r="AI132" s="687"/>
      <c r="AJ132" s="687"/>
      <c r="AK132" s="687"/>
      <c r="AL132" s="687"/>
      <c r="AM132" s="687"/>
      <c r="AN132" s="687"/>
      <c r="AO132" s="687"/>
      <c r="AP132" s="687"/>
      <c r="AQ132" s="687"/>
      <c r="AR132" s="687"/>
      <c r="AS132" s="687"/>
      <c r="AT132" s="687"/>
      <c r="AU132" s="687"/>
      <c r="AV132" s="307"/>
      <c r="AW132" s="307"/>
      <c r="AX132" s="687"/>
      <c r="AY132" s="687"/>
      <c r="AZ132" s="687"/>
      <c r="BA132" s="687"/>
      <c r="BB132" s="687"/>
      <c r="BC132" s="687"/>
      <c r="BD132" s="687"/>
      <c r="BE132" s="687"/>
      <c r="BF132" s="687"/>
      <c r="BG132" s="687"/>
      <c r="BH132" s="687"/>
      <c r="BI132" s="687"/>
      <c r="BJ132" s="687"/>
      <c r="BK132" s="687"/>
      <c r="BL132" s="687"/>
      <c r="BM132" s="687"/>
      <c r="BN132" s="687"/>
      <c r="BO132" s="307"/>
      <c r="BP132" s="307"/>
      <c r="BQ132" s="307"/>
      <c r="BR132" s="687"/>
      <c r="BS132" s="609">
        <f t="shared" si="12"/>
        <v>0</v>
      </c>
      <c r="BT132" s="687"/>
      <c r="BU132" s="687"/>
    </row>
    <row r="133" spans="1:73" s="184" customFormat="1" ht="12.75" customHeight="1">
      <c r="A133" s="653"/>
      <c r="B133" s="653"/>
      <c r="C133" s="215">
        <v>0</v>
      </c>
      <c r="D133" s="653"/>
      <c r="E133" s="654"/>
      <c r="F133" s="654"/>
      <c r="G133" s="654"/>
      <c r="H133" s="654"/>
      <c r="I133" s="654"/>
      <c r="J133" s="654"/>
      <c r="K133" s="654"/>
      <c r="L133" s="506" t="e">
        <v>#N/A</v>
      </c>
      <c r="M133" s="654"/>
      <c r="N133" s="654"/>
      <c r="O133" s="654"/>
      <c r="P133" s="654"/>
      <c r="Q133" s="654"/>
      <c r="R133" s="654"/>
      <c r="S133" s="676"/>
      <c r="T133" s="676"/>
      <c r="U133" s="677"/>
      <c r="V133" s="677"/>
      <c r="W133" s="677"/>
      <c r="X133" s="677"/>
      <c r="Y133" s="677"/>
      <c r="Z133" s="688"/>
      <c r="AA133" s="688"/>
      <c r="AB133" s="689"/>
      <c r="AC133" s="677"/>
      <c r="AD133" s="689"/>
      <c r="AE133" s="654"/>
      <c r="AF133" s="654"/>
      <c r="AG133" s="694"/>
      <c r="AH133" s="654"/>
      <c r="AI133" s="654"/>
      <c r="AJ133" s="654"/>
      <c r="AK133" s="654"/>
      <c r="AL133" s="654"/>
      <c r="AM133" s="654"/>
      <c r="AN133" s="654"/>
      <c r="AO133" s="654"/>
      <c r="AP133" s="654"/>
      <c r="AQ133" s="654"/>
      <c r="AR133" s="654"/>
      <c r="AS133" s="654"/>
      <c r="AT133" s="654"/>
      <c r="AU133" s="654"/>
      <c r="AV133" s="307"/>
      <c r="AW133" s="307"/>
      <c r="AX133" s="654"/>
      <c r="AY133" s="654"/>
      <c r="AZ133" s="654"/>
      <c r="BA133" s="654"/>
      <c r="BB133" s="654"/>
      <c r="BC133" s="654"/>
      <c r="BD133" s="654"/>
      <c r="BE133" s="654"/>
      <c r="BF133" s="654"/>
      <c r="BG133" s="654"/>
      <c r="BH133" s="654"/>
      <c r="BI133" s="654"/>
      <c r="BJ133" s="654"/>
      <c r="BK133" s="654"/>
      <c r="BL133" s="654"/>
      <c r="BM133" s="654"/>
      <c r="BN133" s="654"/>
      <c r="BO133" s="307"/>
      <c r="BP133" s="307"/>
      <c r="BQ133" s="307"/>
      <c r="BR133" s="654"/>
      <c r="BS133" s="609">
        <f t="shared" si="12"/>
        <v>0</v>
      </c>
      <c r="BT133" s="654"/>
      <c r="BU133" s="654"/>
    </row>
    <row r="134" spans="1:73" s="184" customFormat="1" ht="12.75" customHeight="1">
      <c r="A134" s="653"/>
      <c r="B134" s="653"/>
      <c r="C134" s="215">
        <v>0</v>
      </c>
      <c r="D134" s="653"/>
      <c r="E134" s="654"/>
      <c r="F134" s="654"/>
      <c r="G134" s="654"/>
      <c r="H134" s="654"/>
      <c r="I134" s="654"/>
      <c r="J134" s="654"/>
      <c r="K134" s="654"/>
      <c r="L134" s="506" t="e">
        <v>#N/A</v>
      </c>
      <c r="M134" s="654"/>
      <c r="N134" s="654"/>
      <c r="O134" s="654"/>
      <c r="P134" s="654"/>
      <c r="Q134" s="654"/>
      <c r="R134" s="654"/>
      <c r="S134" s="676"/>
      <c r="T134" s="676"/>
      <c r="U134" s="677"/>
      <c r="V134" s="677"/>
      <c r="W134" s="677"/>
      <c r="X134" s="677"/>
      <c r="Y134" s="677"/>
      <c r="Z134" s="688"/>
      <c r="AA134" s="688"/>
      <c r="AB134" s="689"/>
      <c r="AC134" s="677"/>
      <c r="AD134" s="689"/>
      <c r="AE134" s="654"/>
      <c r="AF134" s="654"/>
      <c r="AG134" s="694"/>
      <c r="AH134" s="654"/>
      <c r="AI134" s="654"/>
      <c r="AJ134" s="654"/>
      <c r="AK134" s="654"/>
      <c r="AL134" s="654"/>
      <c r="AM134" s="654"/>
      <c r="AN134" s="654"/>
      <c r="AO134" s="654"/>
      <c r="AP134" s="654"/>
      <c r="AQ134" s="654"/>
      <c r="AR134" s="654"/>
      <c r="AS134" s="654"/>
      <c r="AT134" s="654"/>
      <c r="AU134" s="654"/>
      <c r="AV134" s="307"/>
      <c r="AW134" s="307"/>
      <c r="AX134" s="654"/>
      <c r="AY134" s="654"/>
      <c r="AZ134" s="654"/>
      <c r="BA134" s="654"/>
      <c r="BB134" s="654"/>
      <c r="BC134" s="654"/>
      <c r="BD134" s="654"/>
      <c r="BE134" s="654"/>
      <c r="BF134" s="654"/>
      <c r="BG134" s="654"/>
      <c r="BH134" s="654"/>
      <c r="BI134" s="654"/>
      <c r="BJ134" s="654"/>
      <c r="BK134" s="654"/>
      <c r="BL134" s="654"/>
      <c r="BM134" s="654"/>
      <c r="BN134" s="654"/>
      <c r="BO134" s="307"/>
      <c r="BP134" s="307"/>
      <c r="BQ134" s="307"/>
      <c r="BR134" s="654"/>
      <c r="BS134" s="609">
        <f t="shared" si="12"/>
        <v>0</v>
      </c>
      <c r="BT134" s="654"/>
      <c r="BU134" s="654"/>
    </row>
    <row r="135" spans="1:73" ht="12.75" customHeight="1">
      <c r="A135" s="655" t="s">
        <v>688</v>
      </c>
      <c r="B135" s="656"/>
      <c r="C135" s="215">
        <v>0</v>
      </c>
      <c r="D135" s="656"/>
      <c r="E135" s="657"/>
      <c r="F135" s="658"/>
      <c r="G135" s="658"/>
      <c r="H135" s="659"/>
      <c r="I135" s="667"/>
      <c r="J135" s="668"/>
      <c r="K135" s="668"/>
      <c r="L135" s="506" t="e">
        <v>#N/A</v>
      </c>
      <c r="M135" s="668"/>
      <c r="N135" s="668"/>
      <c r="O135" s="668"/>
      <c r="P135" s="668"/>
      <c r="Q135" s="668"/>
      <c r="R135" s="668"/>
      <c r="S135" s="678"/>
      <c r="T135" s="678"/>
      <c r="U135" s="679"/>
      <c r="V135" s="679"/>
      <c r="W135" s="679"/>
      <c r="X135" s="679"/>
      <c r="Y135" s="679"/>
      <c r="Z135" s="686"/>
      <c r="AA135" s="686"/>
      <c r="AB135" s="686"/>
      <c r="AC135" s="679"/>
      <c r="AD135" s="686"/>
      <c r="AE135" s="690"/>
      <c r="AF135" s="690"/>
      <c r="AG135" s="695"/>
      <c r="AH135" s="690"/>
      <c r="AI135" s="690"/>
      <c r="AJ135" s="690"/>
      <c r="AK135" s="690"/>
      <c r="AL135" s="690"/>
      <c r="AM135" s="690"/>
      <c r="AN135" s="690"/>
      <c r="AO135" s="690"/>
      <c r="AP135" s="690"/>
      <c r="AQ135" s="690"/>
      <c r="AR135" s="690"/>
      <c r="AS135" s="690"/>
      <c r="AT135" s="690"/>
      <c r="AU135" s="690"/>
      <c r="AV135" s="307"/>
      <c r="AW135" s="307"/>
      <c r="AX135" s="690"/>
      <c r="AY135" s="690"/>
      <c r="AZ135" s="690"/>
      <c r="BA135" s="690"/>
      <c r="BB135" s="690"/>
      <c r="BC135" s="690"/>
      <c r="BD135" s="690"/>
      <c r="BE135" s="690"/>
      <c r="BF135" s="690"/>
      <c r="BG135" s="690"/>
      <c r="BH135" s="690"/>
      <c r="BI135" s="690"/>
      <c r="BJ135" s="690"/>
      <c r="BK135" s="690"/>
      <c r="BL135" s="690"/>
      <c r="BM135" s="690"/>
      <c r="BN135" s="690"/>
      <c r="BO135" s="307"/>
      <c r="BP135" s="307"/>
      <c r="BQ135" s="307"/>
      <c r="BR135" s="690"/>
      <c r="BS135" s="609">
        <f t="shared" si="12"/>
        <v>0</v>
      </c>
      <c r="BT135" s="690"/>
      <c r="BU135" s="690"/>
    </row>
    <row r="136" spans="1:73" ht="60" customHeight="1">
      <c r="A136" s="451" t="s">
        <v>137</v>
      </c>
      <c r="B136" s="86">
        <v>329</v>
      </c>
      <c r="C136" s="215">
        <v>1779</v>
      </c>
      <c r="D136" s="215"/>
      <c r="E136" s="1531" t="s">
        <v>689</v>
      </c>
      <c r="F136" s="1532"/>
      <c r="G136" s="1532"/>
      <c r="H136" s="1533"/>
      <c r="I136" s="454"/>
      <c r="J136" s="646" t="s">
        <v>690</v>
      </c>
      <c r="K136" s="646" t="s">
        <v>691</v>
      </c>
      <c r="L136" s="506" t="e">
        <v>#N/A</v>
      </c>
      <c r="M136" s="669" t="s">
        <v>111</v>
      </c>
      <c r="N136" s="669"/>
      <c r="O136" s="508"/>
      <c r="P136" s="509"/>
      <c r="Q136" s="680"/>
      <c r="R136" s="680"/>
      <c r="S136" s="526" t="s">
        <v>114</v>
      </c>
      <c r="T136" s="526" t="s">
        <v>114</v>
      </c>
      <c r="U136" s="526"/>
      <c r="V136" s="526"/>
      <c r="W136" s="526"/>
      <c r="X136" s="526" t="s">
        <v>99</v>
      </c>
      <c r="Y136" s="526"/>
      <c r="Z136" s="526"/>
      <c r="AA136" s="526"/>
      <c r="AB136" s="548"/>
      <c r="AC136" s="552" t="s">
        <v>240</v>
      </c>
      <c r="AD136" s="550"/>
      <c r="AE136" s="552" t="s">
        <v>240</v>
      </c>
      <c r="AF136" s="552" t="s">
        <v>620</v>
      </c>
      <c r="AG136" s="590"/>
      <c r="AH136" s="696"/>
      <c r="AI136" s="646" t="s">
        <v>692</v>
      </c>
      <c r="AJ136" s="592">
        <f t="shared" ref="AJ136:AJ145" si="13">COUNTIF(AK136:BR136,"1")</f>
        <v>0</v>
      </c>
      <c r="AK136" s="307"/>
      <c r="AL136" s="307"/>
      <c r="AM136" s="307"/>
      <c r="AN136" s="307"/>
      <c r="AO136" s="307"/>
      <c r="AP136" s="307"/>
      <c r="AQ136" s="307"/>
      <c r="AR136" s="307"/>
      <c r="AS136" s="307"/>
      <c r="AT136" s="307"/>
      <c r="AU136" s="307"/>
      <c r="AV136" s="307"/>
      <c r="AW136" s="307"/>
      <c r="AX136" s="592"/>
      <c r="AY136" s="604"/>
      <c r="AZ136" s="605"/>
      <c r="BA136" s="307"/>
      <c r="BB136" s="307"/>
      <c r="BC136" s="307"/>
      <c r="BD136" s="307"/>
      <c r="BE136" s="307"/>
      <c r="BF136" s="609"/>
      <c r="BG136" s="605"/>
      <c r="BH136" s="605"/>
      <c r="BI136" s="592"/>
      <c r="BJ136" s="592"/>
      <c r="BK136" s="592"/>
      <c r="BL136" s="592"/>
      <c r="BM136" s="592"/>
      <c r="BN136" s="86"/>
      <c r="BO136" s="307"/>
      <c r="BP136" s="307"/>
      <c r="BQ136" s="307"/>
      <c r="BR136" s="592"/>
      <c r="BS136" s="609">
        <f t="shared" si="12"/>
        <v>0</v>
      </c>
    </row>
    <row r="137" spans="1:73" ht="60" customHeight="1">
      <c r="A137" s="451" t="s">
        <v>106</v>
      </c>
      <c r="B137" s="86">
        <v>95</v>
      </c>
      <c r="C137" s="215">
        <v>1780</v>
      </c>
      <c r="D137" s="215"/>
      <c r="E137" s="1531" t="s">
        <v>693</v>
      </c>
      <c r="F137" s="1532"/>
      <c r="G137" s="1532"/>
      <c r="H137" s="1533"/>
      <c r="I137" s="454"/>
      <c r="J137" s="646" t="s">
        <v>690</v>
      </c>
      <c r="K137" s="646" t="s">
        <v>691</v>
      </c>
      <c r="L137" s="506" t="e">
        <v>#N/A</v>
      </c>
      <c r="M137" s="669" t="s">
        <v>111</v>
      </c>
      <c r="N137" s="669"/>
      <c r="O137" s="508"/>
      <c r="P137" s="509"/>
      <c r="Q137" s="680"/>
      <c r="R137" s="680"/>
      <c r="S137" s="526" t="s">
        <v>114</v>
      </c>
      <c r="T137" s="526" t="s">
        <v>114</v>
      </c>
      <c r="U137" s="526"/>
      <c r="V137" s="526"/>
      <c r="W137" s="526"/>
      <c r="X137" s="526" t="s">
        <v>99</v>
      </c>
      <c r="Y137" s="526"/>
      <c r="Z137" s="526"/>
      <c r="AA137" s="526"/>
      <c r="AB137" s="548"/>
      <c r="AC137" s="552" t="s">
        <v>240</v>
      </c>
      <c r="AD137" s="550"/>
      <c r="AE137" s="552" t="s">
        <v>240</v>
      </c>
      <c r="AF137" s="552" t="s">
        <v>620</v>
      </c>
      <c r="AG137" s="590" t="s">
        <v>644</v>
      </c>
      <c r="AH137" s="696"/>
      <c r="AI137" s="646" t="s">
        <v>694</v>
      </c>
      <c r="AJ137" s="592">
        <f t="shared" si="13"/>
        <v>2</v>
      </c>
      <c r="AK137" s="307"/>
      <c r="AL137" s="307"/>
      <c r="AM137" s="307"/>
      <c r="AN137" s="307"/>
      <c r="AO137" s="307"/>
      <c r="AP137" s="307"/>
      <c r="AQ137" s="307"/>
      <c r="AR137" s="307"/>
      <c r="AS137" s="307"/>
      <c r="AT137" s="307"/>
      <c r="AU137" s="307"/>
      <c r="AV137" s="307">
        <v>1</v>
      </c>
      <c r="AW137" s="307">
        <v>1</v>
      </c>
      <c r="AX137" s="592"/>
      <c r="AY137" s="604"/>
      <c r="AZ137" s="605"/>
      <c r="BA137" s="307"/>
      <c r="BB137" s="307"/>
      <c r="BC137" s="307"/>
      <c r="BD137" s="307"/>
      <c r="BE137" s="307"/>
      <c r="BF137" s="609"/>
      <c r="BG137" s="605"/>
      <c r="BH137" s="605"/>
      <c r="BI137" s="592"/>
      <c r="BJ137" s="592"/>
      <c r="BK137" s="592"/>
      <c r="BL137" s="592"/>
      <c r="BM137" s="592"/>
      <c r="BN137" s="86"/>
      <c r="BO137" s="307" t="s">
        <v>136</v>
      </c>
      <c r="BP137" s="307"/>
      <c r="BQ137" s="307"/>
      <c r="BR137" s="592"/>
      <c r="BS137" s="609">
        <f t="shared" si="12"/>
        <v>0</v>
      </c>
    </row>
    <row r="138" spans="1:73" s="430" customFormat="1" ht="120" customHeight="1">
      <c r="A138" s="451" t="s">
        <v>428</v>
      </c>
      <c r="B138" s="86">
        <v>237</v>
      </c>
      <c r="C138" s="215">
        <v>624</v>
      </c>
      <c r="D138" s="215" t="s">
        <v>123</v>
      </c>
      <c r="E138" s="1531" t="s">
        <v>695</v>
      </c>
      <c r="F138" s="1532"/>
      <c r="G138" s="1532"/>
      <c r="H138" s="1533"/>
      <c r="I138" s="454"/>
      <c r="J138" s="505">
        <v>3339815</v>
      </c>
      <c r="K138" s="506" t="s">
        <v>109</v>
      </c>
      <c r="L138" s="506" t="s">
        <v>696</v>
      </c>
      <c r="M138" s="507" t="s">
        <v>111</v>
      </c>
      <c r="N138" s="507" t="s">
        <v>697</v>
      </c>
      <c r="O138" s="508" t="s">
        <v>698</v>
      </c>
      <c r="P138" s="509"/>
      <c r="Q138" s="525"/>
      <c r="R138" s="525"/>
      <c r="S138" s="526"/>
      <c r="T138" s="526" t="s">
        <v>114</v>
      </c>
      <c r="U138" s="526"/>
      <c r="V138" s="526"/>
      <c r="W138" s="526"/>
      <c r="X138" s="526" t="s">
        <v>99</v>
      </c>
      <c r="Y138" s="526"/>
      <c r="Z138" s="640" t="s">
        <v>699</v>
      </c>
      <c r="AA138" s="640" t="s">
        <v>700</v>
      </c>
      <c r="AB138" s="548" t="s">
        <v>701</v>
      </c>
      <c r="AC138" s="549">
        <v>41445</v>
      </c>
      <c r="AD138" s="550" t="s">
        <v>702</v>
      </c>
      <c r="AE138" s="549">
        <v>41516</v>
      </c>
      <c r="AF138" s="549" t="s">
        <v>132</v>
      </c>
      <c r="AG138" s="590" t="s">
        <v>703</v>
      </c>
      <c r="AH138" s="591" t="s">
        <v>704</v>
      </c>
      <c r="AI138" s="505" t="s">
        <v>433</v>
      </c>
      <c r="AJ138" s="592">
        <f t="shared" si="13"/>
        <v>13</v>
      </c>
      <c r="AK138" s="307"/>
      <c r="AL138" s="307"/>
      <c r="AM138" s="594">
        <v>1</v>
      </c>
      <c r="AN138" s="594">
        <v>1</v>
      </c>
      <c r="AO138" s="307"/>
      <c r="AP138" s="307"/>
      <c r="AQ138" s="594">
        <v>1</v>
      </c>
      <c r="AR138" s="594">
        <v>1</v>
      </c>
      <c r="AS138" s="307"/>
      <c r="AT138" s="307"/>
      <c r="AU138" s="594">
        <v>1</v>
      </c>
      <c r="AV138" s="307"/>
      <c r="AW138" s="307"/>
      <c r="AX138" s="592"/>
      <c r="AY138" s="604"/>
      <c r="AZ138" s="605"/>
      <c r="BA138" s="307"/>
      <c r="BB138" s="307"/>
      <c r="BC138" s="307"/>
      <c r="BD138" s="307"/>
      <c r="BE138" s="307"/>
      <c r="BF138" s="609"/>
      <c r="BG138" s="605"/>
      <c r="BH138" s="605"/>
      <c r="BI138" s="699">
        <v>1</v>
      </c>
      <c r="BJ138" s="594">
        <v>1</v>
      </c>
      <c r="BK138" s="699">
        <v>1</v>
      </c>
      <c r="BL138" s="594">
        <v>1</v>
      </c>
      <c r="BM138" s="594">
        <v>1</v>
      </c>
      <c r="BN138" s="621">
        <v>1</v>
      </c>
      <c r="BO138" s="307"/>
      <c r="BP138" s="594">
        <v>1</v>
      </c>
      <c r="BQ138" s="594">
        <v>1</v>
      </c>
      <c r="BR138" s="86"/>
      <c r="BS138" s="609">
        <f t="shared" si="12"/>
        <v>6</v>
      </c>
    </row>
    <row r="139" spans="1:73" ht="60" customHeight="1">
      <c r="A139" s="451">
        <v>3</v>
      </c>
      <c r="B139" s="86">
        <v>152</v>
      </c>
      <c r="C139" s="215">
        <v>0</v>
      </c>
      <c r="D139" s="215" t="s">
        <v>123</v>
      </c>
      <c r="E139" s="1531" t="s">
        <v>705</v>
      </c>
      <c r="F139" s="1532"/>
      <c r="G139" s="1532"/>
      <c r="H139" s="1533"/>
      <c r="I139" s="454"/>
      <c r="J139" s="646">
        <v>3266229</v>
      </c>
      <c r="K139" s="506" t="s">
        <v>109</v>
      </c>
      <c r="L139" s="506" t="s">
        <v>706</v>
      </c>
      <c r="M139" s="507" t="s">
        <v>111</v>
      </c>
      <c r="N139" s="669"/>
      <c r="O139" s="508" t="s">
        <v>707</v>
      </c>
      <c r="P139" s="509"/>
      <c r="Q139" s="680"/>
      <c r="R139" s="680"/>
      <c r="S139" s="526"/>
      <c r="T139" s="526" t="s">
        <v>114</v>
      </c>
      <c r="U139" s="526"/>
      <c r="V139" s="526"/>
      <c r="W139" s="526"/>
      <c r="X139" s="526" t="s">
        <v>99</v>
      </c>
      <c r="Y139" s="526"/>
      <c r="Z139" s="526"/>
      <c r="AA139" s="526"/>
      <c r="AB139" s="548"/>
      <c r="AC139" s="552" t="s">
        <v>240</v>
      </c>
      <c r="AD139" s="550"/>
      <c r="AE139" s="552">
        <v>41341</v>
      </c>
      <c r="AF139" s="552" t="s">
        <v>620</v>
      </c>
      <c r="AG139" s="590"/>
      <c r="AH139" s="696"/>
      <c r="AI139" s="646" t="s">
        <v>708</v>
      </c>
      <c r="AJ139" s="592">
        <f t="shared" si="13"/>
        <v>0</v>
      </c>
      <c r="AK139" s="307"/>
      <c r="AL139" s="307"/>
      <c r="AM139" s="307"/>
      <c r="AN139" s="307"/>
      <c r="AO139" s="307"/>
      <c r="AP139" s="307"/>
      <c r="AQ139" s="307"/>
      <c r="AR139" s="307"/>
      <c r="AS139" s="307"/>
      <c r="AT139" s="307"/>
      <c r="AU139" s="307"/>
      <c r="AV139" s="307" t="s">
        <v>136</v>
      </c>
      <c r="AW139" s="307" t="s">
        <v>136</v>
      </c>
      <c r="AX139" s="592"/>
      <c r="AY139" s="604"/>
      <c r="AZ139" s="605"/>
      <c r="BA139" s="307"/>
      <c r="BB139" s="307"/>
      <c r="BC139" s="307"/>
      <c r="BD139" s="307"/>
      <c r="BE139" s="307"/>
      <c r="BF139" s="609"/>
      <c r="BG139" s="605"/>
      <c r="BH139" s="605"/>
      <c r="BI139" s="592"/>
      <c r="BJ139" s="592"/>
      <c r="BK139" s="592"/>
      <c r="BL139" s="592"/>
      <c r="BM139" s="592"/>
      <c r="BN139" s="86"/>
      <c r="BO139" s="307" t="s">
        <v>136</v>
      </c>
      <c r="BP139" s="307"/>
      <c r="BQ139" s="307"/>
      <c r="BR139" s="592"/>
      <c r="BS139" s="609">
        <f t="shared" si="12"/>
        <v>0</v>
      </c>
    </row>
    <row r="140" spans="1:73" ht="60" customHeight="1">
      <c r="A140" s="451">
        <v>3</v>
      </c>
      <c r="B140" s="86">
        <v>70</v>
      </c>
      <c r="C140" s="215">
        <v>1781</v>
      </c>
      <c r="D140" s="215"/>
      <c r="E140" s="1531" t="s">
        <v>709</v>
      </c>
      <c r="F140" s="1532"/>
      <c r="G140" s="1532"/>
      <c r="H140" s="1533"/>
      <c r="I140" s="454"/>
      <c r="J140" s="646" t="s">
        <v>690</v>
      </c>
      <c r="K140" s="646" t="s">
        <v>691</v>
      </c>
      <c r="L140" s="506" t="e">
        <v>#N/A</v>
      </c>
      <c r="M140" s="669" t="s">
        <v>111</v>
      </c>
      <c r="N140" s="669"/>
      <c r="O140" s="508"/>
      <c r="P140" s="509"/>
      <c r="Q140" s="680"/>
      <c r="R140" s="680"/>
      <c r="S140" s="526"/>
      <c r="T140" s="526" t="s">
        <v>114</v>
      </c>
      <c r="U140" s="526"/>
      <c r="V140" s="526"/>
      <c r="W140" s="526"/>
      <c r="X140" s="526" t="s">
        <v>99</v>
      </c>
      <c r="Y140" s="526"/>
      <c r="Z140" s="526"/>
      <c r="AA140" s="526"/>
      <c r="AB140" s="548"/>
      <c r="AC140" s="552" t="s">
        <v>240</v>
      </c>
      <c r="AD140" s="550"/>
      <c r="AE140" s="552" t="s">
        <v>240</v>
      </c>
      <c r="AF140" s="552" t="s">
        <v>620</v>
      </c>
      <c r="AG140" s="590"/>
      <c r="AH140" s="696"/>
      <c r="AI140" s="646" t="s">
        <v>710</v>
      </c>
      <c r="AJ140" s="592">
        <f t="shared" si="13"/>
        <v>4</v>
      </c>
      <c r="AK140" s="307"/>
      <c r="AL140" s="307"/>
      <c r="AM140" s="307"/>
      <c r="AN140" s="307"/>
      <c r="AO140" s="307"/>
      <c r="AP140" s="307">
        <v>1</v>
      </c>
      <c r="AQ140" s="307"/>
      <c r="AR140" s="307"/>
      <c r="AS140" s="307"/>
      <c r="AT140" s="307"/>
      <c r="AU140" s="307"/>
      <c r="AV140" s="307">
        <v>1</v>
      </c>
      <c r="AW140" s="307">
        <v>1</v>
      </c>
      <c r="AX140" s="592"/>
      <c r="AY140" s="604"/>
      <c r="AZ140" s="605"/>
      <c r="BA140" s="307"/>
      <c r="BB140" s="307"/>
      <c r="BC140" s="307"/>
      <c r="BD140" s="307"/>
      <c r="BE140" s="307"/>
      <c r="BF140" s="609"/>
      <c r="BG140" s="605"/>
      <c r="BH140" s="605"/>
      <c r="BI140" s="592"/>
      <c r="BJ140" s="592"/>
      <c r="BK140" s="592"/>
      <c r="BL140" s="592"/>
      <c r="BM140" s="592"/>
      <c r="BN140" s="86"/>
      <c r="BO140" s="307">
        <v>1</v>
      </c>
      <c r="BP140" s="307"/>
      <c r="BQ140" s="307"/>
      <c r="BR140" s="592"/>
      <c r="BS140" s="609">
        <f t="shared" si="12"/>
        <v>1</v>
      </c>
    </row>
    <row r="141" spans="1:73" ht="60" customHeight="1">
      <c r="A141" s="451" t="s">
        <v>187</v>
      </c>
      <c r="B141" s="86">
        <v>333</v>
      </c>
      <c r="C141" s="215">
        <v>1782</v>
      </c>
      <c r="D141" s="215" t="s">
        <v>123</v>
      </c>
      <c r="E141" s="1531" t="s">
        <v>711</v>
      </c>
      <c r="F141" s="1532"/>
      <c r="G141" s="1532"/>
      <c r="H141" s="1533"/>
      <c r="I141" s="643"/>
      <c r="J141" s="646" t="s">
        <v>690</v>
      </c>
      <c r="K141" s="646" t="s">
        <v>691</v>
      </c>
      <c r="L141" s="506" t="e">
        <v>#N/A</v>
      </c>
      <c r="M141" s="670" t="s">
        <v>111</v>
      </c>
      <c r="N141" s="670"/>
      <c r="O141" s="508" t="s">
        <v>712</v>
      </c>
      <c r="P141" s="509"/>
      <c r="Q141" s="681"/>
      <c r="R141" s="681"/>
      <c r="S141" s="526"/>
      <c r="T141" s="526" t="s">
        <v>114</v>
      </c>
      <c r="U141" s="526"/>
      <c r="V141" s="526"/>
      <c r="W141" s="526"/>
      <c r="X141" s="526" t="s">
        <v>99</v>
      </c>
      <c r="Y141" s="526"/>
      <c r="Z141" s="526"/>
      <c r="AA141" s="526"/>
      <c r="AB141" s="548"/>
      <c r="AC141" s="552" t="s">
        <v>240</v>
      </c>
      <c r="AD141" s="550"/>
      <c r="AE141" s="552">
        <v>41573</v>
      </c>
      <c r="AF141" s="552" t="s">
        <v>620</v>
      </c>
      <c r="AG141" s="590" t="s">
        <v>644</v>
      </c>
      <c r="AH141" s="672"/>
      <c r="AI141" s="646" t="s">
        <v>713</v>
      </c>
      <c r="AJ141" s="592">
        <f t="shared" si="13"/>
        <v>1</v>
      </c>
      <c r="AK141" s="307"/>
      <c r="AL141" s="307"/>
      <c r="AM141" s="307"/>
      <c r="AN141" s="307"/>
      <c r="AO141" s="307"/>
      <c r="AP141" s="307"/>
      <c r="AQ141" s="307"/>
      <c r="AR141" s="307"/>
      <c r="AS141" s="307"/>
      <c r="AT141" s="307"/>
      <c r="AU141" s="307"/>
      <c r="AV141" s="307" t="s">
        <v>136</v>
      </c>
      <c r="AW141" s="307" t="s">
        <v>136</v>
      </c>
      <c r="AX141" s="592"/>
      <c r="AY141" s="604"/>
      <c r="AZ141" s="605"/>
      <c r="BA141" s="307"/>
      <c r="BB141" s="307"/>
      <c r="BC141" s="307"/>
      <c r="BD141" s="307"/>
      <c r="BE141" s="307"/>
      <c r="BF141" s="609">
        <f>SUM(BA141:BE141)</f>
        <v>0</v>
      </c>
      <c r="BG141" s="605"/>
      <c r="BH141" s="605"/>
      <c r="BI141" s="592"/>
      <c r="BJ141" s="592"/>
      <c r="BK141" s="592"/>
      <c r="BL141" s="592"/>
      <c r="BM141" s="592"/>
      <c r="BN141" s="86"/>
      <c r="BO141" s="307">
        <v>1</v>
      </c>
      <c r="BP141" s="307"/>
      <c r="BQ141" s="307"/>
      <c r="BR141" s="592"/>
      <c r="BS141" s="609">
        <f t="shared" si="12"/>
        <v>1</v>
      </c>
    </row>
    <row r="142" spans="1:73" ht="60" customHeight="1">
      <c r="A142" s="451" t="s">
        <v>187</v>
      </c>
      <c r="B142" s="86">
        <v>336</v>
      </c>
      <c r="C142" s="215">
        <v>1783</v>
      </c>
      <c r="D142" s="215"/>
      <c r="E142" s="1531" t="s">
        <v>714</v>
      </c>
      <c r="F142" s="1532"/>
      <c r="G142" s="1532"/>
      <c r="H142" s="1533"/>
      <c r="I142" s="454"/>
      <c r="J142" s="646" t="s">
        <v>690</v>
      </c>
      <c r="K142" s="646" t="s">
        <v>691</v>
      </c>
      <c r="L142" s="506" t="e">
        <v>#N/A</v>
      </c>
      <c r="M142" s="669" t="s">
        <v>111</v>
      </c>
      <c r="N142" s="669"/>
      <c r="O142" s="508"/>
      <c r="P142" s="509"/>
      <c r="Q142" s="681"/>
      <c r="R142" s="681"/>
      <c r="S142" s="526" t="s">
        <v>114</v>
      </c>
      <c r="T142" s="526" t="s">
        <v>114</v>
      </c>
      <c r="U142" s="526"/>
      <c r="V142" s="526"/>
      <c r="W142" s="526"/>
      <c r="X142" s="526" t="s">
        <v>99</v>
      </c>
      <c r="Y142" s="526"/>
      <c r="Z142" s="526"/>
      <c r="AA142" s="526"/>
      <c r="AB142" s="548"/>
      <c r="AC142" s="552" t="s">
        <v>240</v>
      </c>
      <c r="AD142" s="550"/>
      <c r="AE142" s="552" t="s">
        <v>240</v>
      </c>
      <c r="AF142" s="552" t="s">
        <v>620</v>
      </c>
      <c r="AG142" s="590" t="s">
        <v>715</v>
      </c>
      <c r="AH142" s="696"/>
      <c r="AI142" s="646" t="s">
        <v>716</v>
      </c>
      <c r="AJ142" s="592">
        <f t="shared" si="13"/>
        <v>1</v>
      </c>
      <c r="AK142" s="307"/>
      <c r="AL142" s="307"/>
      <c r="AM142" s="307"/>
      <c r="AN142" s="307"/>
      <c r="AO142" s="307"/>
      <c r="AP142" s="307">
        <v>1</v>
      </c>
      <c r="AQ142" s="307"/>
      <c r="AR142" s="307"/>
      <c r="AS142" s="307"/>
      <c r="AT142" s="307"/>
      <c r="AU142" s="307"/>
      <c r="AV142" s="307" t="s">
        <v>136</v>
      </c>
      <c r="AW142" s="307" t="s">
        <v>136</v>
      </c>
      <c r="AX142" s="592"/>
      <c r="AY142" s="604"/>
      <c r="AZ142" s="605"/>
      <c r="BA142" s="307"/>
      <c r="BB142" s="307"/>
      <c r="BC142" s="307"/>
      <c r="BD142" s="307"/>
      <c r="BE142" s="307"/>
      <c r="BF142" s="609"/>
      <c r="BG142" s="605"/>
      <c r="BH142" s="605"/>
      <c r="BI142" s="592"/>
      <c r="BJ142" s="592"/>
      <c r="BK142" s="592"/>
      <c r="BL142" s="592"/>
      <c r="BM142" s="592"/>
      <c r="BN142" s="86"/>
      <c r="BO142" s="307"/>
      <c r="BP142" s="307"/>
      <c r="BQ142" s="307"/>
      <c r="BR142" s="592"/>
      <c r="BS142" s="609">
        <f t="shared" si="12"/>
        <v>0</v>
      </c>
    </row>
    <row r="143" spans="1:73" ht="60" customHeight="1">
      <c r="A143" s="451" t="s">
        <v>187</v>
      </c>
      <c r="B143" s="86">
        <v>337</v>
      </c>
      <c r="C143" s="215">
        <v>1784</v>
      </c>
      <c r="D143" s="215"/>
      <c r="E143" s="1531" t="s">
        <v>717</v>
      </c>
      <c r="F143" s="1532"/>
      <c r="G143" s="1532"/>
      <c r="H143" s="1533"/>
      <c r="I143" s="454"/>
      <c r="J143" s="646" t="s">
        <v>690</v>
      </c>
      <c r="K143" s="646" t="s">
        <v>691</v>
      </c>
      <c r="L143" s="506" t="e">
        <v>#N/A</v>
      </c>
      <c r="M143" s="669" t="s">
        <v>202</v>
      </c>
      <c r="N143" s="669"/>
      <c r="O143" s="508"/>
      <c r="P143" s="509"/>
      <c r="Q143" s="681"/>
      <c r="R143" s="681"/>
      <c r="S143" s="526"/>
      <c r="T143" s="526" t="s">
        <v>114</v>
      </c>
      <c r="U143" s="526"/>
      <c r="V143" s="526"/>
      <c r="W143" s="526"/>
      <c r="X143" s="526" t="s">
        <v>99</v>
      </c>
      <c r="Y143" s="526"/>
      <c r="Z143" s="526"/>
      <c r="AA143" s="526"/>
      <c r="AB143" s="548"/>
      <c r="AC143" s="552" t="s">
        <v>240</v>
      </c>
      <c r="AD143" s="550"/>
      <c r="AE143" s="552" t="s">
        <v>240</v>
      </c>
      <c r="AF143" s="552" t="s">
        <v>620</v>
      </c>
      <c r="AG143" s="590" t="s">
        <v>718</v>
      </c>
      <c r="AH143" s="696"/>
      <c r="AI143" s="646" t="s">
        <v>719</v>
      </c>
      <c r="AJ143" s="592">
        <f t="shared" si="13"/>
        <v>1</v>
      </c>
      <c r="AK143" s="307"/>
      <c r="AL143" s="307"/>
      <c r="AM143" s="307"/>
      <c r="AN143" s="307"/>
      <c r="AO143" s="307"/>
      <c r="AP143" s="307">
        <v>1</v>
      </c>
      <c r="AQ143" s="307"/>
      <c r="AR143" s="307"/>
      <c r="AS143" s="307"/>
      <c r="AT143" s="307"/>
      <c r="AU143" s="307"/>
      <c r="AV143" s="307" t="s">
        <v>136</v>
      </c>
      <c r="AW143" s="307" t="s">
        <v>136</v>
      </c>
      <c r="AX143" s="592"/>
      <c r="AY143" s="604"/>
      <c r="AZ143" s="605"/>
      <c r="BA143" s="307"/>
      <c r="BB143" s="307"/>
      <c r="BC143" s="307"/>
      <c r="BD143" s="307"/>
      <c r="BE143" s="307"/>
      <c r="BF143" s="609"/>
      <c r="BG143" s="605"/>
      <c r="BH143" s="605"/>
      <c r="BI143" s="592"/>
      <c r="BJ143" s="592"/>
      <c r="BK143" s="592"/>
      <c r="BL143" s="592"/>
      <c r="BM143" s="592"/>
      <c r="BN143" s="86"/>
      <c r="BO143" s="307" t="s">
        <v>136</v>
      </c>
      <c r="BP143" s="307"/>
      <c r="BQ143" s="307"/>
      <c r="BR143" s="592"/>
      <c r="BS143" s="609">
        <f t="shared" si="12"/>
        <v>0</v>
      </c>
    </row>
    <row r="144" spans="1:73" ht="60" customHeight="1">
      <c r="A144" s="451">
        <v>3</v>
      </c>
      <c r="B144" s="86">
        <v>338</v>
      </c>
      <c r="C144" s="215">
        <v>1786</v>
      </c>
      <c r="D144" s="215"/>
      <c r="E144" s="1531" t="s">
        <v>720</v>
      </c>
      <c r="F144" s="1532"/>
      <c r="G144" s="1532"/>
      <c r="H144" s="1533"/>
      <c r="I144" s="454"/>
      <c r="J144" s="646" t="s">
        <v>690</v>
      </c>
      <c r="K144" s="646" t="s">
        <v>691</v>
      </c>
      <c r="L144" s="506" t="e">
        <v>#N/A</v>
      </c>
      <c r="M144" s="669" t="s">
        <v>111</v>
      </c>
      <c r="N144" s="669"/>
      <c r="O144" s="508"/>
      <c r="P144" s="509"/>
      <c r="Q144" s="681"/>
      <c r="R144" s="681"/>
      <c r="S144" s="526"/>
      <c r="T144" s="526" t="s">
        <v>114</v>
      </c>
      <c r="U144" s="526"/>
      <c r="V144" s="526"/>
      <c r="W144" s="526"/>
      <c r="X144" s="526" t="s">
        <v>99</v>
      </c>
      <c r="Y144" s="526"/>
      <c r="Z144" s="526"/>
      <c r="AA144" s="526"/>
      <c r="AB144" s="548"/>
      <c r="AC144" s="552" t="s">
        <v>240</v>
      </c>
      <c r="AD144" s="550"/>
      <c r="AE144" s="552" t="s">
        <v>240</v>
      </c>
      <c r="AF144" s="552" t="s">
        <v>620</v>
      </c>
      <c r="AG144" s="590"/>
      <c r="AH144" s="696"/>
      <c r="AI144" s="646" t="s">
        <v>710</v>
      </c>
      <c r="AJ144" s="592">
        <f t="shared" si="13"/>
        <v>1</v>
      </c>
      <c r="AK144" s="307"/>
      <c r="AL144" s="307"/>
      <c r="AM144" s="307"/>
      <c r="AN144" s="307"/>
      <c r="AO144" s="307"/>
      <c r="AP144" s="307">
        <v>1</v>
      </c>
      <c r="AQ144" s="307"/>
      <c r="AR144" s="307"/>
      <c r="AS144" s="307"/>
      <c r="AT144" s="307"/>
      <c r="AU144" s="307"/>
      <c r="AV144" s="307" t="s">
        <v>136</v>
      </c>
      <c r="AW144" s="307" t="s">
        <v>136</v>
      </c>
      <c r="AX144" s="592"/>
      <c r="AY144" s="604"/>
      <c r="AZ144" s="605"/>
      <c r="BA144" s="307"/>
      <c r="BB144" s="307"/>
      <c r="BC144" s="307"/>
      <c r="BD144" s="307"/>
      <c r="BE144" s="307"/>
      <c r="BF144" s="609"/>
      <c r="BG144" s="605"/>
      <c r="BH144" s="605"/>
      <c r="BI144" s="592"/>
      <c r="BJ144" s="592"/>
      <c r="BK144" s="592"/>
      <c r="BL144" s="592"/>
      <c r="BM144" s="592"/>
      <c r="BN144" s="86"/>
      <c r="BO144" s="307" t="s">
        <v>136</v>
      </c>
      <c r="BP144" s="307"/>
      <c r="BQ144" s="307"/>
      <c r="BR144" s="592"/>
      <c r="BS144" s="609">
        <f t="shared" si="12"/>
        <v>0</v>
      </c>
    </row>
    <row r="145" spans="1:73" ht="60" customHeight="1">
      <c r="A145" s="451" t="s">
        <v>106</v>
      </c>
      <c r="B145" s="86">
        <v>340</v>
      </c>
      <c r="C145" s="215">
        <v>0</v>
      </c>
      <c r="D145" s="215"/>
      <c r="E145" s="1531" t="s">
        <v>721</v>
      </c>
      <c r="F145" s="1532"/>
      <c r="G145" s="1532"/>
      <c r="H145" s="1533"/>
      <c r="I145" s="454"/>
      <c r="J145" s="646" t="s">
        <v>690</v>
      </c>
      <c r="K145" s="646" t="s">
        <v>691</v>
      </c>
      <c r="L145" s="506" t="e">
        <v>#N/A</v>
      </c>
      <c r="M145" s="669" t="s">
        <v>111</v>
      </c>
      <c r="N145" s="669"/>
      <c r="O145" s="508"/>
      <c r="P145" s="509"/>
      <c r="Q145" s="681"/>
      <c r="R145" s="681"/>
      <c r="S145" s="526"/>
      <c r="T145" s="526" t="s">
        <v>114</v>
      </c>
      <c r="U145" s="526"/>
      <c r="V145" s="526"/>
      <c r="W145" s="526"/>
      <c r="X145" s="526" t="s">
        <v>99</v>
      </c>
      <c r="Y145" s="526"/>
      <c r="Z145" s="526"/>
      <c r="AA145" s="526"/>
      <c r="AB145" s="548"/>
      <c r="AC145" s="552" t="s">
        <v>240</v>
      </c>
      <c r="AD145" s="550"/>
      <c r="AE145" s="552" t="s">
        <v>240</v>
      </c>
      <c r="AF145" s="552" t="s">
        <v>620</v>
      </c>
      <c r="AG145" s="590" t="s">
        <v>676</v>
      </c>
      <c r="AH145" s="696"/>
      <c r="AI145" s="646" t="s">
        <v>677</v>
      </c>
      <c r="AJ145" s="592">
        <f t="shared" si="13"/>
        <v>1</v>
      </c>
      <c r="AK145" s="307"/>
      <c r="AL145" s="307"/>
      <c r="AM145" s="307"/>
      <c r="AN145" s="307"/>
      <c r="AO145" s="307"/>
      <c r="AP145" s="307">
        <v>1</v>
      </c>
      <c r="AQ145" s="307"/>
      <c r="AR145" s="307"/>
      <c r="AS145" s="307"/>
      <c r="AT145" s="307"/>
      <c r="AU145" s="307"/>
      <c r="AV145" s="307" t="s">
        <v>136</v>
      </c>
      <c r="AW145" s="307" t="s">
        <v>136</v>
      </c>
      <c r="AX145" s="592"/>
      <c r="AY145" s="604"/>
      <c r="AZ145" s="605"/>
      <c r="BA145" s="307"/>
      <c r="BB145" s="307"/>
      <c r="BC145" s="307"/>
      <c r="BD145" s="307"/>
      <c r="BE145" s="307"/>
      <c r="BF145" s="609"/>
      <c r="BG145" s="605"/>
      <c r="BH145" s="605"/>
      <c r="BI145" s="592"/>
      <c r="BJ145" s="592"/>
      <c r="BK145" s="592"/>
      <c r="BL145" s="592"/>
      <c r="BM145" s="592"/>
      <c r="BN145" s="86"/>
      <c r="BO145" s="307" t="s">
        <v>136</v>
      </c>
      <c r="BP145" s="307"/>
      <c r="BQ145" s="307"/>
      <c r="BR145" s="592"/>
      <c r="BS145" s="609">
        <f t="shared" ref="BS145:BS164" si="14">COUNT(BI145:BO145)</f>
        <v>0</v>
      </c>
    </row>
    <row r="146" spans="1:73" s="430" customFormat="1" ht="60" customHeight="1">
      <c r="A146" s="660"/>
      <c r="B146" s="86"/>
      <c r="C146" s="215">
        <v>0</v>
      </c>
      <c r="D146" s="215"/>
      <c r="E146" s="661"/>
      <c r="F146" s="662"/>
      <c r="G146" s="662"/>
      <c r="H146" s="643"/>
      <c r="I146" s="643"/>
      <c r="J146" s="646"/>
      <c r="K146" s="646"/>
      <c r="L146" s="506" t="e">
        <v>#N/A</v>
      </c>
      <c r="M146" s="646"/>
      <c r="N146" s="646"/>
      <c r="O146" s="646"/>
      <c r="P146" s="509" t="e">
        <v>#N/A</v>
      </c>
      <c r="Q146" s="646"/>
      <c r="R146" s="646"/>
      <c r="S146" s="508"/>
      <c r="T146" s="508"/>
      <c r="U146" s="508"/>
      <c r="V146" s="508"/>
      <c r="W146" s="508"/>
      <c r="X146" s="526" t="e">
        <f>#REF!&amp;K146</f>
        <v>#REF!</v>
      </c>
      <c r="Y146" s="526"/>
      <c r="Z146" s="526"/>
      <c r="AA146" s="526"/>
      <c r="AB146" s="548"/>
      <c r="AC146" s="646"/>
      <c r="AD146" s="691"/>
      <c r="AE146" s="646"/>
      <c r="AF146" s="646"/>
      <c r="AG146" s="590"/>
      <c r="AH146" s="646"/>
      <c r="AI146" s="646"/>
      <c r="AJ146" s="592"/>
      <c r="AK146" s="307"/>
      <c r="AL146" s="307"/>
      <c r="AM146" s="307"/>
      <c r="AN146" s="307"/>
      <c r="AO146" s="307"/>
      <c r="AP146" s="307"/>
      <c r="AQ146" s="307"/>
      <c r="AR146" s="307"/>
      <c r="AS146" s="307"/>
      <c r="AT146" s="307"/>
      <c r="AU146" s="307"/>
      <c r="AV146" s="307"/>
      <c r="AW146" s="307"/>
      <c r="AX146" s="592"/>
      <c r="AY146" s="604"/>
      <c r="AZ146" s="605"/>
      <c r="BA146" s="307"/>
      <c r="BB146" s="307"/>
      <c r="BC146" s="307"/>
      <c r="BD146" s="307"/>
      <c r="BE146" s="307"/>
      <c r="BF146" s="609">
        <f>SUM(BA146:BE146)</f>
        <v>0</v>
      </c>
      <c r="BG146" s="605"/>
      <c r="BH146" s="605"/>
      <c r="BI146" s="592"/>
      <c r="BJ146" s="592"/>
      <c r="BK146" s="592"/>
      <c r="BL146" s="592"/>
      <c r="BM146" s="592"/>
      <c r="BN146" s="86"/>
      <c r="BO146" s="307"/>
      <c r="BP146" s="307"/>
      <c r="BQ146" s="307"/>
      <c r="BR146" s="592"/>
      <c r="BS146" s="609">
        <f t="shared" si="14"/>
        <v>0</v>
      </c>
    </row>
    <row r="147" spans="1:73" ht="12.75" customHeight="1">
      <c r="A147" s="650"/>
      <c r="B147" s="650"/>
      <c r="C147" s="215">
        <v>0</v>
      </c>
      <c r="D147" s="650"/>
      <c r="E147" s="663"/>
      <c r="F147" s="663"/>
      <c r="G147" s="663"/>
      <c r="H147" s="663"/>
      <c r="I147" s="663"/>
      <c r="J147" s="663"/>
      <c r="K147" s="663"/>
      <c r="L147" s="506" t="e">
        <v>#N/A</v>
      </c>
      <c r="M147" s="663"/>
      <c r="N147" s="663"/>
      <c r="O147" s="663"/>
      <c r="P147" s="663"/>
      <c r="Q147" s="663"/>
      <c r="R147" s="663"/>
      <c r="S147" s="678"/>
      <c r="T147" s="678"/>
      <c r="U147" s="663"/>
      <c r="V147" s="663"/>
      <c r="W147" s="663"/>
      <c r="X147" s="663"/>
      <c r="Y147" s="663"/>
      <c r="Z147" s="678"/>
      <c r="AA147" s="678"/>
      <c r="AB147" s="678"/>
      <c r="AC147" s="663"/>
      <c r="AD147" s="678"/>
      <c r="AE147" s="663"/>
      <c r="AF147" s="663"/>
      <c r="AG147" s="663"/>
      <c r="AH147" s="663"/>
      <c r="AI147" s="663"/>
      <c r="AJ147" s="663"/>
      <c r="AK147" s="663"/>
      <c r="AL147" s="663"/>
      <c r="AM147" s="663"/>
      <c r="AN147" s="663"/>
      <c r="AO147" s="663"/>
      <c r="AP147" s="663"/>
      <c r="AQ147" s="663"/>
      <c r="AR147" s="663"/>
      <c r="AS147" s="663"/>
      <c r="AT147" s="663"/>
      <c r="AU147" s="663"/>
      <c r="AV147" s="307"/>
      <c r="AW147" s="307"/>
      <c r="AX147" s="663"/>
      <c r="AY147" s="663"/>
      <c r="AZ147" s="663"/>
      <c r="BA147" s="663"/>
      <c r="BB147" s="663"/>
      <c r="BC147" s="663"/>
      <c r="BD147" s="663"/>
      <c r="BE147" s="663"/>
      <c r="BF147" s="663"/>
      <c r="BG147" s="663"/>
      <c r="BH147" s="663"/>
      <c r="BI147" s="663"/>
      <c r="BJ147" s="663"/>
      <c r="BK147" s="663"/>
      <c r="BL147" s="663"/>
      <c r="BM147" s="663"/>
      <c r="BN147" s="663"/>
      <c r="BO147" s="307"/>
      <c r="BP147" s="307"/>
      <c r="BQ147" s="307"/>
      <c r="BR147" s="663"/>
      <c r="BS147" s="609">
        <f t="shared" si="14"/>
        <v>0</v>
      </c>
      <c r="BT147" s="663"/>
      <c r="BU147" s="663"/>
    </row>
    <row r="148" spans="1:73" ht="12.75" customHeight="1">
      <c r="A148" s="83"/>
      <c r="B148" s="83"/>
      <c r="C148" s="215">
        <v>0</v>
      </c>
      <c r="D148" s="83"/>
      <c r="E148" s="664"/>
      <c r="F148" s="664"/>
      <c r="G148" s="664"/>
      <c r="H148" s="664"/>
      <c r="I148" s="664"/>
      <c r="J148" s="664"/>
      <c r="K148" s="664"/>
      <c r="L148" s="506" t="e">
        <v>#N/A</v>
      </c>
      <c r="M148" s="664"/>
      <c r="N148" s="664"/>
      <c r="O148" s="664"/>
      <c r="P148" s="664"/>
      <c r="Q148" s="664"/>
      <c r="R148" s="664"/>
      <c r="S148" s="682"/>
      <c r="T148" s="682"/>
      <c r="U148" s="664"/>
      <c r="V148" s="664"/>
      <c r="W148" s="664"/>
      <c r="X148" s="664"/>
      <c r="Y148" s="664"/>
      <c r="Z148" s="682"/>
      <c r="AA148" s="682"/>
      <c r="AB148" s="682"/>
      <c r="AC148" s="664"/>
      <c r="AD148" s="682"/>
      <c r="AE148" s="664"/>
      <c r="AF148" s="664"/>
      <c r="AG148" s="664"/>
      <c r="AH148" s="664"/>
      <c r="AI148" s="664"/>
      <c r="AJ148" s="664"/>
      <c r="AK148" s="664"/>
      <c r="AL148" s="664"/>
      <c r="AM148" s="664"/>
      <c r="AN148" s="664"/>
      <c r="AO148" s="664"/>
      <c r="AP148" s="664"/>
      <c r="AQ148" s="664"/>
      <c r="AR148" s="664"/>
      <c r="AS148" s="664"/>
      <c r="AT148" s="664"/>
      <c r="AU148" s="664"/>
      <c r="AV148" s="307"/>
      <c r="AW148" s="307"/>
      <c r="AX148" s="664"/>
      <c r="AY148" s="664"/>
      <c r="AZ148" s="664"/>
      <c r="BA148" s="664"/>
      <c r="BB148" s="664"/>
      <c r="BC148" s="664"/>
      <c r="BD148" s="664"/>
      <c r="BE148" s="664"/>
      <c r="BF148" s="664"/>
      <c r="BG148" s="664"/>
      <c r="BH148" s="664"/>
      <c r="BI148" s="664"/>
      <c r="BJ148" s="664"/>
      <c r="BK148" s="664"/>
      <c r="BL148" s="664"/>
      <c r="BM148" s="664"/>
      <c r="BN148" s="664"/>
      <c r="BO148" s="307"/>
      <c r="BP148" s="307"/>
      <c r="BQ148" s="307"/>
      <c r="BR148" s="664"/>
      <c r="BS148" s="609">
        <f t="shared" si="14"/>
        <v>0</v>
      </c>
      <c r="BT148" s="664"/>
      <c r="BU148" s="664"/>
    </row>
    <row r="149" spans="1:73" ht="12.75" customHeight="1">
      <c r="A149" s="665" t="s">
        <v>722</v>
      </c>
      <c r="B149" s="666"/>
      <c r="C149" s="215">
        <v>0</v>
      </c>
      <c r="D149" s="666"/>
      <c r="E149" s="657"/>
      <c r="F149" s="658"/>
      <c r="G149" s="658"/>
      <c r="H149" s="659"/>
      <c r="I149" s="667"/>
      <c r="J149" s="664"/>
      <c r="K149" s="664"/>
      <c r="L149" s="506" t="e">
        <v>#N/A</v>
      </c>
      <c r="M149" s="664"/>
      <c r="N149" s="664"/>
      <c r="O149" s="664"/>
      <c r="P149" s="664"/>
      <c r="Q149" s="664"/>
      <c r="R149" s="664"/>
      <c r="S149" s="682"/>
      <c r="T149" s="682"/>
      <c r="U149" s="664"/>
      <c r="V149" s="664"/>
      <c r="W149" s="664"/>
      <c r="X149" s="664"/>
      <c r="Y149" s="664"/>
      <c r="Z149" s="682"/>
      <c r="AA149" s="682"/>
      <c r="AB149" s="682"/>
      <c r="AC149" s="664"/>
      <c r="AD149" s="682"/>
      <c r="AE149" s="664"/>
      <c r="AF149" s="664"/>
      <c r="AG149" s="664"/>
      <c r="AH149" s="664"/>
      <c r="AI149" s="664"/>
      <c r="AJ149" s="664"/>
      <c r="AK149" s="664"/>
      <c r="AL149" s="664"/>
      <c r="AM149" s="664"/>
      <c r="AN149" s="664"/>
      <c r="AO149" s="664"/>
      <c r="AP149" s="664"/>
      <c r="AQ149" s="664"/>
      <c r="AR149" s="664"/>
      <c r="AS149" s="664"/>
      <c r="AT149" s="664"/>
      <c r="AU149" s="664"/>
      <c r="AV149" s="307"/>
      <c r="AW149" s="307"/>
      <c r="AX149" s="664"/>
      <c r="AY149" s="664"/>
      <c r="AZ149" s="664"/>
      <c r="BA149" s="664"/>
      <c r="BB149" s="664"/>
      <c r="BC149" s="664"/>
      <c r="BD149" s="664"/>
      <c r="BE149" s="664"/>
      <c r="BF149" s="664"/>
      <c r="BG149" s="664"/>
      <c r="BH149" s="664"/>
      <c r="BI149" s="664"/>
      <c r="BJ149" s="664"/>
      <c r="BK149" s="664"/>
      <c r="BL149" s="664"/>
      <c r="BM149" s="664"/>
      <c r="BN149" s="664"/>
      <c r="BO149" s="307"/>
      <c r="BP149" s="307"/>
      <c r="BQ149" s="307"/>
      <c r="BR149" s="664"/>
      <c r="BS149" s="609">
        <f t="shared" si="14"/>
        <v>0</v>
      </c>
      <c r="BT149" s="664"/>
      <c r="BU149" s="664"/>
    </row>
    <row r="150" spans="1:73" ht="72" customHeight="1">
      <c r="A150" s="451">
        <v>5</v>
      </c>
      <c r="B150" s="86">
        <v>205</v>
      </c>
      <c r="C150" s="215">
        <v>1157</v>
      </c>
      <c r="D150" s="215"/>
      <c r="E150" s="1531" t="s">
        <v>723</v>
      </c>
      <c r="F150" s="1532"/>
      <c r="G150" s="1532"/>
      <c r="H150" s="1533"/>
      <c r="I150" s="671"/>
      <c r="J150" s="672">
        <v>3343310</v>
      </c>
      <c r="K150" s="510" t="s">
        <v>139</v>
      </c>
      <c r="L150" s="506" t="s">
        <v>724</v>
      </c>
      <c r="M150" s="505" t="s">
        <v>202</v>
      </c>
      <c r="N150" s="505" t="s">
        <v>725</v>
      </c>
      <c r="O150" s="508"/>
      <c r="P150" s="509"/>
      <c r="Q150" s="681"/>
      <c r="R150" s="681"/>
      <c r="S150" s="526"/>
      <c r="T150" s="526" t="s">
        <v>114</v>
      </c>
      <c r="U150" s="526"/>
      <c r="V150" s="526"/>
      <c r="W150" s="526"/>
      <c r="X150" s="526" t="s">
        <v>99</v>
      </c>
      <c r="Y150" s="526"/>
      <c r="Z150" s="692" t="s">
        <v>671</v>
      </c>
      <c r="AA150" s="692"/>
      <c r="AB150" s="507"/>
      <c r="AC150" s="549">
        <v>41468</v>
      </c>
      <c r="AD150" s="550"/>
      <c r="AE150" s="549">
        <v>41485</v>
      </c>
      <c r="AF150" s="549" t="s">
        <v>132</v>
      </c>
      <c r="AG150" s="697" t="s">
        <v>726</v>
      </c>
      <c r="AH150" s="648"/>
      <c r="AI150" s="646" t="s">
        <v>727</v>
      </c>
      <c r="AJ150" s="592">
        <f t="shared" ref="AJ150:AJ164" si="15">COUNTIF(AK150:BR150,"1")</f>
        <v>1</v>
      </c>
      <c r="AK150" s="307"/>
      <c r="AL150" s="307"/>
      <c r="AM150" s="307"/>
      <c r="AN150" s="307">
        <v>1</v>
      </c>
      <c r="AO150" s="307"/>
      <c r="AP150" s="307"/>
      <c r="AQ150" s="307"/>
      <c r="AR150" s="307"/>
      <c r="AS150" s="307"/>
      <c r="AT150" s="307"/>
      <c r="AU150" s="307"/>
      <c r="AV150" s="307"/>
      <c r="AW150" s="307"/>
      <c r="AX150" s="592"/>
      <c r="AY150" s="604"/>
      <c r="AZ150" s="605"/>
      <c r="BA150" s="307"/>
      <c r="BB150" s="307"/>
      <c r="BC150" s="307"/>
      <c r="BD150" s="307"/>
      <c r="BE150" s="307"/>
      <c r="BF150" s="609">
        <f t="shared" ref="BF150:BF161" si="16">SUM(BA150:BE150)</f>
        <v>0</v>
      </c>
      <c r="BG150" s="605"/>
      <c r="BH150" s="605"/>
      <c r="BI150" s="611"/>
      <c r="BJ150" s="592"/>
      <c r="BK150" s="592"/>
      <c r="BL150" s="307"/>
      <c r="BM150" s="307"/>
      <c r="BN150" s="86"/>
      <c r="BO150" s="307"/>
      <c r="BP150" s="307"/>
      <c r="BQ150" s="307"/>
      <c r="BR150" s="86"/>
      <c r="BS150" s="609">
        <f t="shared" si="14"/>
        <v>0</v>
      </c>
    </row>
    <row r="151" spans="1:73" ht="72" customHeight="1">
      <c r="A151" s="451" t="s">
        <v>137</v>
      </c>
      <c r="B151" s="86">
        <v>242</v>
      </c>
      <c r="C151" s="215">
        <v>687</v>
      </c>
      <c r="D151" s="215" t="s">
        <v>159</v>
      </c>
      <c r="E151" s="1531" t="s">
        <v>728</v>
      </c>
      <c r="F151" s="1532"/>
      <c r="G151" s="1532"/>
      <c r="H151" s="1533"/>
      <c r="I151" s="671"/>
      <c r="J151" s="672">
        <v>3340833</v>
      </c>
      <c r="K151" s="506" t="s">
        <v>109</v>
      </c>
      <c r="L151" s="506" t="s">
        <v>729</v>
      </c>
      <c r="M151" s="507" t="s">
        <v>111</v>
      </c>
      <c r="N151" s="507" t="s">
        <v>730</v>
      </c>
      <c r="O151" s="673" t="s">
        <v>731</v>
      </c>
      <c r="P151" s="509"/>
      <c r="Q151" s="681"/>
      <c r="R151" s="681"/>
      <c r="S151" s="683"/>
      <c r="T151" s="526" t="s">
        <v>114</v>
      </c>
      <c r="U151" s="526"/>
      <c r="V151" s="526"/>
      <c r="W151" s="526"/>
      <c r="X151" s="526" t="s">
        <v>99</v>
      </c>
      <c r="Y151" s="526"/>
      <c r="Z151" s="692"/>
      <c r="AA151" s="692"/>
      <c r="AB151" s="507"/>
      <c r="AC151" s="549">
        <v>41460</v>
      </c>
      <c r="AD151" s="550"/>
      <c r="AE151" s="551">
        <v>41522</v>
      </c>
      <c r="AF151" s="551" t="s">
        <v>117</v>
      </c>
      <c r="AG151" s="697" t="s">
        <v>732</v>
      </c>
      <c r="AH151" s="648"/>
      <c r="AI151" s="646" t="s">
        <v>733</v>
      </c>
      <c r="AJ151" s="592">
        <f t="shared" si="15"/>
        <v>3</v>
      </c>
      <c r="AK151" s="307"/>
      <c r="AL151" s="307"/>
      <c r="AM151" s="307"/>
      <c r="AN151" s="307"/>
      <c r="AO151" s="307"/>
      <c r="AP151" s="307"/>
      <c r="AQ151" s="307"/>
      <c r="AR151" s="307"/>
      <c r="AS151" s="307"/>
      <c r="AT151" s="307"/>
      <c r="AU151" s="307"/>
      <c r="AV151" s="307"/>
      <c r="AW151" s="307"/>
      <c r="AX151" s="592"/>
      <c r="AY151" s="604"/>
      <c r="AZ151" s="605"/>
      <c r="BA151" s="307"/>
      <c r="BB151" s="307"/>
      <c r="BC151" s="307"/>
      <c r="BD151" s="307"/>
      <c r="BE151" s="307"/>
      <c r="BF151" s="609">
        <f t="shared" si="16"/>
        <v>0</v>
      </c>
      <c r="BG151" s="605"/>
      <c r="BH151" s="605"/>
      <c r="BI151" s="611"/>
      <c r="BJ151" s="592">
        <v>1</v>
      </c>
      <c r="BK151" s="592"/>
      <c r="BL151" s="307">
        <v>1</v>
      </c>
      <c r="BM151" s="307"/>
      <c r="BN151" s="86">
        <v>1</v>
      </c>
      <c r="BO151" s="307"/>
      <c r="BP151" s="307"/>
      <c r="BQ151" s="307"/>
      <c r="BR151" s="86"/>
      <c r="BS151" s="609">
        <f t="shared" si="14"/>
        <v>3</v>
      </c>
    </row>
    <row r="152" spans="1:73" ht="48" customHeight="1">
      <c r="A152" s="451" t="s">
        <v>179</v>
      </c>
      <c r="B152" s="86">
        <v>251</v>
      </c>
      <c r="C152" s="215">
        <v>1012</v>
      </c>
      <c r="D152" s="215"/>
      <c r="E152" s="1531" t="s">
        <v>734</v>
      </c>
      <c r="F152" s="1532"/>
      <c r="G152" s="1532"/>
      <c r="H152" s="1533"/>
      <c r="I152" s="671"/>
      <c r="J152" s="672">
        <v>3342658</v>
      </c>
      <c r="K152" s="510" t="s">
        <v>139</v>
      </c>
      <c r="L152" s="506" t="s">
        <v>735</v>
      </c>
      <c r="M152" s="505" t="s">
        <v>151</v>
      </c>
      <c r="N152" s="505"/>
      <c r="O152" s="673">
        <v>194439</v>
      </c>
      <c r="P152" s="509"/>
      <c r="Q152" s="681"/>
      <c r="R152" s="681"/>
      <c r="S152" s="526" t="s">
        <v>114</v>
      </c>
      <c r="T152" s="526"/>
      <c r="U152" s="526"/>
      <c r="V152" s="526"/>
      <c r="W152" s="526"/>
      <c r="X152" s="526" t="s">
        <v>99</v>
      </c>
      <c r="Y152" s="526"/>
      <c r="Z152" s="692"/>
      <c r="AA152" s="692"/>
      <c r="AB152" s="507"/>
      <c r="AC152" s="549">
        <v>41464</v>
      </c>
      <c r="AD152" s="550"/>
      <c r="AE152" s="549" t="s">
        <v>37</v>
      </c>
      <c r="AF152" s="549" t="s">
        <v>132</v>
      </c>
      <c r="AG152" s="697" t="s">
        <v>736</v>
      </c>
      <c r="AH152" s="648"/>
      <c r="AI152" s="646" t="s">
        <v>737</v>
      </c>
      <c r="AJ152" s="592">
        <f t="shared" si="15"/>
        <v>5</v>
      </c>
      <c r="AK152" s="307"/>
      <c r="AL152" s="307"/>
      <c r="AM152" s="307"/>
      <c r="AN152" s="307"/>
      <c r="AO152" s="307">
        <v>1</v>
      </c>
      <c r="AP152" s="307"/>
      <c r="AQ152" s="307"/>
      <c r="AR152" s="307"/>
      <c r="AS152" s="307"/>
      <c r="AT152" s="307"/>
      <c r="AU152" s="307">
        <v>1</v>
      </c>
      <c r="AV152" s="307"/>
      <c r="AW152" s="307"/>
      <c r="AX152" s="592"/>
      <c r="AY152" s="604"/>
      <c r="AZ152" s="605"/>
      <c r="BA152" s="307"/>
      <c r="BB152" s="307"/>
      <c r="BC152" s="307"/>
      <c r="BD152" s="307"/>
      <c r="BE152" s="307"/>
      <c r="BF152" s="609">
        <f t="shared" si="16"/>
        <v>0</v>
      </c>
      <c r="BG152" s="605"/>
      <c r="BH152" s="605"/>
      <c r="BI152" s="611"/>
      <c r="BJ152" s="592"/>
      <c r="BK152" s="592"/>
      <c r="BL152" s="307">
        <v>1</v>
      </c>
      <c r="BM152" s="307">
        <v>1</v>
      </c>
      <c r="BN152" s="86">
        <v>1</v>
      </c>
      <c r="BO152" s="307"/>
      <c r="BP152" s="307"/>
      <c r="BQ152" s="307"/>
      <c r="BR152" s="86"/>
      <c r="BS152" s="609">
        <f t="shared" si="14"/>
        <v>3</v>
      </c>
    </row>
    <row r="153" spans="1:73" ht="36" customHeight="1">
      <c r="A153" s="451" t="s">
        <v>179</v>
      </c>
      <c r="B153" s="86">
        <v>264</v>
      </c>
      <c r="C153" s="215">
        <v>1085</v>
      </c>
      <c r="D153" s="215"/>
      <c r="E153" s="1531" t="s">
        <v>738</v>
      </c>
      <c r="F153" s="1532"/>
      <c r="G153" s="1532"/>
      <c r="H153" s="1533"/>
      <c r="I153" s="671"/>
      <c r="J153" s="672">
        <v>3342616</v>
      </c>
      <c r="K153" s="506" t="s">
        <v>109</v>
      </c>
      <c r="L153" s="506" t="s">
        <v>739</v>
      </c>
      <c r="M153" s="505" t="s">
        <v>151</v>
      </c>
      <c r="N153" s="505" t="s">
        <v>740</v>
      </c>
      <c r="O153" s="673">
        <v>194315</v>
      </c>
      <c r="P153" s="509"/>
      <c r="Q153" s="681"/>
      <c r="R153" s="681"/>
      <c r="S153" s="526"/>
      <c r="T153" s="526" t="s">
        <v>114</v>
      </c>
      <c r="U153" s="526"/>
      <c r="V153" s="526"/>
      <c r="W153" s="526"/>
      <c r="X153" s="526" t="s">
        <v>99</v>
      </c>
      <c r="Y153" s="526"/>
      <c r="Z153" s="692"/>
      <c r="AA153" s="692"/>
      <c r="AB153" s="507"/>
      <c r="AC153" s="549">
        <v>41468</v>
      </c>
      <c r="AD153" s="550"/>
      <c r="AE153" s="552" t="s">
        <v>240</v>
      </c>
      <c r="AF153" s="551" t="s">
        <v>117</v>
      </c>
      <c r="AG153" s="697" t="s">
        <v>741</v>
      </c>
      <c r="AH153" s="648"/>
      <c r="AI153" s="646" t="s">
        <v>742</v>
      </c>
      <c r="AJ153" s="592">
        <f t="shared" si="15"/>
        <v>1</v>
      </c>
      <c r="AK153" s="307"/>
      <c r="AL153" s="307"/>
      <c r="AM153" s="307"/>
      <c r="AN153" s="307"/>
      <c r="AO153" s="307"/>
      <c r="AP153" s="307"/>
      <c r="AQ153" s="307"/>
      <c r="AR153" s="307"/>
      <c r="AS153" s="307"/>
      <c r="AT153" s="307"/>
      <c r="AU153" s="307"/>
      <c r="AV153" s="307"/>
      <c r="AW153" s="307"/>
      <c r="AX153" s="592"/>
      <c r="AY153" s="604"/>
      <c r="AZ153" s="605"/>
      <c r="BA153" s="307"/>
      <c r="BB153" s="307"/>
      <c r="BC153" s="307"/>
      <c r="BD153" s="307"/>
      <c r="BE153" s="307"/>
      <c r="BF153" s="609">
        <f t="shared" si="16"/>
        <v>0</v>
      </c>
      <c r="BG153" s="605"/>
      <c r="BH153" s="605"/>
      <c r="BI153" s="611"/>
      <c r="BJ153" s="592"/>
      <c r="BK153" s="592"/>
      <c r="BL153" s="307">
        <v>1</v>
      </c>
      <c r="BM153" s="307"/>
      <c r="BN153" s="86"/>
      <c r="BO153" s="307"/>
      <c r="BP153" s="307"/>
      <c r="BQ153" s="307"/>
      <c r="BR153" s="86"/>
      <c r="BS153" s="609">
        <f t="shared" si="14"/>
        <v>1</v>
      </c>
    </row>
    <row r="154" spans="1:73" ht="34.5" customHeight="1">
      <c r="A154" s="451">
        <v>3</v>
      </c>
      <c r="B154" s="86">
        <v>265</v>
      </c>
      <c r="C154" s="215">
        <v>1014</v>
      </c>
      <c r="D154" s="215" t="s">
        <v>123</v>
      </c>
      <c r="E154" s="1531" t="s">
        <v>743</v>
      </c>
      <c r="F154" s="1532"/>
      <c r="G154" s="1532"/>
      <c r="H154" s="1533"/>
      <c r="I154" s="671"/>
      <c r="J154" s="672">
        <v>3342659</v>
      </c>
      <c r="K154" s="506" t="s">
        <v>109</v>
      </c>
      <c r="L154" s="506" t="s">
        <v>744</v>
      </c>
      <c r="M154" s="507" t="s">
        <v>111</v>
      </c>
      <c r="N154" s="507" t="s">
        <v>745</v>
      </c>
      <c r="O154" s="673" t="s">
        <v>746</v>
      </c>
      <c r="P154" s="509"/>
      <c r="Q154" s="681"/>
      <c r="R154" s="681"/>
      <c r="S154" s="526" t="s">
        <v>114</v>
      </c>
      <c r="T154" s="526" t="s">
        <v>114</v>
      </c>
      <c r="U154" s="526"/>
      <c r="V154" s="526"/>
      <c r="W154" s="526"/>
      <c r="X154" s="526" t="s">
        <v>99</v>
      </c>
      <c r="Y154" s="526"/>
      <c r="Z154" s="640" t="s">
        <v>747</v>
      </c>
      <c r="AA154" s="505" t="s">
        <v>282</v>
      </c>
      <c r="AB154" s="507"/>
      <c r="AC154" s="549">
        <v>41466</v>
      </c>
      <c r="AD154" s="550"/>
      <c r="AE154" s="552" t="s">
        <v>240</v>
      </c>
      <c r="AF154" s="551" t="s">
        <v>117</v>
      </c>
      <c r="AG154" s="697" t="s">
        <v>748</v>
      </c>
      <c r="AH154" s="648" t="s">
        <v>749</v>
      </c>
      <c r="AI154" s="646" t="s">
        <v>750</v>
      </c>
      <c r="AJ154" s="592">
        <f t="shared" si="15"/>
        <v>2</v>
      </c>
      <c r="AK154" s="307"/>
      <c r="AL154" s="307"/>
      <c r="AM154" s="307"/>
      <c r="AN154" s="307"/>
      <c r="AO154" s="307"/>
      <c r="AP154" s="307"/>
      <c r="AQ154" s="307"/>
      <c r="AR154" s="307">
        <v>1</v>
      </c>
      <c r="AS154" s="307"/>
      <c r="AT154" s="307"/>
      <c r="AU154" s="307"/>
      <c r="AV154" s="307"/>
      <c r="AW154" s="307"/>
      <c r="AX154" s="592"/>
      <c r="AY154" s="604"/>
      <c r="AZ154" s="605"/>
      <c r="BA154" s="307"/>
      <c r="BB154" s="307"/>
      <c r="BC154" s="307"/>
      <c r="BD154" s="307"/>
      <c r="BE154" s="307"/>
      <c r="BF154" s="609">
        <f t="shared" si="16"/>
        <v>0</v>
      </c>
      <c r="BG154" s="605"/>
      <c r="BH154" s="605"/>
      <c r="BI154" s="611"/>
      <c r="BJ154" s="592"/>
      <c r="BK154" s="592"/>
      <c r="BL154" s="307">
        <v>1</v>
      </c>
      <c r="BM154" s="307"/>
      <c r="BN154" s="86"/>
      <c r="BO154" s="307"/>
      <c r="BP154" s="307"/>
      <c r="BQ154" s="307"/>
      <c r="BR154" s="86"/>
      <c r="BS154" s="609">
        <f t="shared" si="14"/>
        <v>1</v>
      </c>
    </row>
    <row r="155" spans="1:73" ht="174" customHeight="1">
      <c r="A155" s="451" t="s">
        <v>187</v>
      </c>
      <c r="B155" s="86">
        <v>267</v>
      </c>
      <c r="C155" s="215">
        <v>1049</v>
      </c>
      <c r="D155" s="215"/>
      <c r="E155" s="1531" t="s">
        <v>751</v>
      </c>
      <c r="F155" s="1532"/>
      <c r="G155" s="1532"/>
      <c r="H155" s="1533"/>
      <c r="I155" s="671"/>
      <c r="J155" s="672">
        <v>3343272</v>
      </c>
      <c r="K155" s="506" t="s">
        <v>109</v>
      </c>
      <c r="L155" s="506" t="s">
        <v>752</v>
      </c>
      <c r="M155" s="505" t="s">
        <v>151</v>
      </c>
      <c r="N155" s="505"/>
      <c r="O155" s="673">
        <v>194449</v>
      </c>
      <c r="P155" s="509"/>
      <c r="Q155" s="681"/>
      <c r="R155" s="681"/>
      <c r="S155" s="526" t="s">
        <v>114</v>
      </c>
      <c r="T155" s="526"/>
      <c r="U155" s="526"/>
      <c r="V155" s="526"/>
      <c r="W155" s="526"/>
      <c r="X155" s="526" t="s">
        <v>99</v>
      </c>
      <c r="Y155" s="526"/>
      <c r="Z155" s="692"/>
      <c r="AA155" s="692"/>
      <c r="AB155" s="507"/>
      <c r="AC155" s="549">
        <v>41479</v>
      </c>
      <c r="AD155" s="550"/>
      <c r="AE155" s="552" t="s">
        <v>240</v>
      </c>
      <c r="AF155" s="551" t="s">
        <v>117</v>
      </c>
      <c r="AG155" s="697" t="s">
        <v>753</v>
      </c>
      <c r="AH155" s="648"/>
      <c r="AI155" s="646" t="s">
        <v>754</v>
      </c>
      <c r="AJ155" s="592">
        <f t="shared" si="15"/>
        <v>2</v>
      </c>
      <c r="AK155" s="307">
        <v>1</v>
      </c>
      <c r="AL155" s="307"/>
      <c r="AM155" s="307"/>
      <c r="AN155" s="307"/>
      <c r="AO155" s="307"/>
      <c r="AP155" s="307"/>
      <c r="AQ155" s="307"/>
      <c r="AR155" s="307"/>
      <c r="AS155" s="307">
        <v>1</v>
      </c>
      <c r="AT155" s="307"/>
      <c r="AU155" s="307"/>
      <c r="AV155" s="307"/>
      <c r="AW155" s="307"/>
      <c r="AX155" s="592"/>
      <c r="AY155" s="604"/>
      <c r="AZ155" s="605"/>
      <c r="BA155" s="307"/>
      <c r="BB155" s="307"/>
      <c r="BC155" s="307"/>
      <c r="BD155" s="307"/>
      <c r="BE155" s="307"/>
      <c r="BF155" s="609">
        <f t="shared" si="16"/>
        <v>0</v>
      </c>
      <c r="BG155" s="605"/>
      <c r="BH155" s="605"/>
      <c r="BI155" s="611"/>
      <c r="BJ155" s="592"/>
      <c r="BK155" s="592"/>
      <c r="BL155" s="307"/>
      <c r="BM155" s="307"/>
      <c r="BN155" s="86"/>
      <c r="BO155" s="307"/>
      <c r="BP155" s="307"/>
      <c r="BQ155" s="307"/>
      <c r="BR155" s="86"/>
      <c r="BS155" s="609">
        <f t="shared" si="14"/>
        <v>0</v>
      </c>
    </row>
    <row r="156" spans="1:73" ht="36" customHeight="1">
      <c r="A156" s="451" t="s">
        <v>106</v>
      </c>
      <c r="B156" s="86">
        <v>268</v>
      </c>
      <c r="C156" s="215">
        <v>1074</v>
      </c>
      <c r="D156" s="215"/>
      <c r="E156" s="1531" t="s">
        <v>755</v>
      </c>
      <c r="F156" s="1532"/>
      <c r="G156" s="1532"/>
      <c r="H156" s="1533"/>
      <c r="I156" s="671"/>
      <c r="J156" s="672">
        <v>3342654</v>
      </c>
      <c r="K156" s="510" t="s">
        <v>139</v>
      </c>
      <c r="L156" s="506" t="s">
        <v>756</v>
      </c>
      <c r="M156" s="505" t="s">
        <v>151</v>
      </c>
      <c r="N156" s="505"/>
      <c r="O156" s="673">
        <v>0</v>
      </c>
      <c r="P156" s="509"/>
      <c r="Q156" s="681"/>
      <c r="R156" s="681"/>
      <c r="S156" s="526" t="s">
        <v>114</v>
      </c>
      <c r="T156" s="526"/>
      <c r="U156" s="526"/>
      <c r="V156" s="526"/>
      <c r="W156" s="526"/>
      <c r="X156" s="526" t="s">
        <v>99</v>
      </c>
      <c r="Y156" s="526"/>
      <c r="Z156" s="692"/>
      <c r="AA156" s="692"/>
      <c r="AB156" s="507"/>
      <c r="AC156" s="549">
        <v>41465</v>
      </c>
      <c r="AD156" s="550"/>
      <c r="AE156" s="549">
        <v>41465</v>
      </c>
      <c r="AF156" s="549" t="s">
        <v>132</v>
      </c>
      <c r="AG156" s="697" t="s">
        <v>757</v>
      </c>
      <c r="AH156" s="648"/>
      <c r="AI156" s="646" t="s">
        <v>758</v>
      </c>
      <c r="AJ156" s="592">
        <f t="shared" si="15"/>
        <v>2</v>
      </c>
      <c r="AK156" s="307"/>
      <c r="AL156" s="307"/>
      <c r="AM156" s="307">
        <v>1</v>
      </c>
      <c r="AN156" s="307"/>
      <c r="AO156" s="307">
        <v>1</v>
      </c>
      <c r="AP156" s="307"/>
      <c r="AQ156" s="307"/>
      <c r="AR156" s="307"/>
      <c r="AS156" s="307"/>
      <c r="AT156" s="307"/>
      <c r="AU156" s="307"/>
      <c r="AV156" s="307"/>
      <c r="AW156" s="307"/>
      <c r="AX156" s="592"/>
      <c r="AY156" s="604"/>
      <c r="AZ156" s="605"/>
      <c r="BA156" s="307"/>
      <c r="BB156" s="307"/>
      <c r="BC156" s="307"/>
      <c r="BD156" s="307"/>
      <c r="BE156" s="307"/>
      <c r="BF156" s="609">
        <f t="shared" si="16"/>
        <v>0</v>
      </c>
      <c r="BG156" s="605"/>
      <c r="BH156" s="605"/>
      <c r="BI156" s="611"/>
      <c r="BJ156" s="592"/>
      <c r="BK156" s="592"/>
      <c r="BL156" s="307"/>
      <c r="BM156" s="307"/>
      <c r="BN156" s="86"/>
      <c r="BO156" s="307"/>
      <c r="BP156" s="307"/>
      <c r="BQ156" s="307"/>
      <c r="BR156" s="86"/>
      <c r="BS156" s="609">
        <f t="shared" si="14"/>
        <v>0</v>
      </c>
    </row>
    <row r="157" spans="1:73" ht="60" customHeight="1">
      <c r="A157" s="451" t="s">
        <v>106</v>
      </c>
      <c r="B157" s="86">
        <v>318</v>
      </c>
      <c r="C157" s="215" t="s">
        <v>759</v>
      </c>
      <c r="D157" s="215"/>
      <c r="E157" s="1531" t="s">
        <v>760</v>
      </c>
      <c r="F157" s="1532"/>
      <c r="G157" s="1532"/>
      <c r="H157" s="1533"/>
      <c r="I157" s="454"/>
      <c r="J157" s="646">
        <v>3347134</v>
      </c>
      <c r="K157" s="635" t="s">
        <v>643</v>
      </c>
      <c r="L157" s="506" t="s">
        <v>761</v>
      </c>
      <c r="M157" s="669" t="s">
        <v>111</v>
      </c>
      <c r="N157" s="669"/>
      <c r="O157" s="508"/>
      <c r="P157" s="509"/>
      <c r="Q157" s="681"/>
      <c r="R157" s="681"/>
      <c r="S157" s="526" t="s">
        <v>114</v>
      </c>
      <c r="T157" s="526"/>
      <c r="U157" s="526"/>
      <c r="V157" s="526"/>
      <c r="W157" s="526"/>
      <c r="X157" s="526" t="s">
        <v>99</v>
      </c>
      <c r="Y157" s="526"/>
      <c r="Z157" s="526"/>
      <c r="AA157" s="526"/>
      <c r="AB157" s="548"/>
      <c r="AC157" s="552" t="s">
        <v>240</v>
      </c>
      <c r="AD157" s="550"/>
      <c r="AE157" s="552" t="s">
        <v>240</v>
      </c>
      <c r="AF157" s="552" t="s">
        <v>620</v>
      </c>
      <c r="AG157" s="590" t="s">
        <v>762</v>
      </c>
      <c r="AH157" s="696"/>
      <c r="AI157" s="646" t="s">
        <v>677</v>
      </c>
      <c r="AJ157" s="592">
        <f t="shared" si="15"/>
        <v>2</v>
      </c>
      <c r="AK157" s="307"/>
      <c r="AL157" s="307"/>
      <c r="AM157" s="307"/>
      <c r="AN157" s="307"/>
      <c r="AO157" s="307"/>
      <c r="AP157" s="307"/>
      <c r="AQ157" s="307"/>
      <c r="AR157" s="307"/>
      <c r="AS157" s="307"/>
      <c r="AT157" s="307"/>
      <c r="AU157" s="307"/>
      <c r="AV157" s="307">
        <v>1</v>
      </c>
      <c r="AW157" s="307">
        <v>1</v>
      </c>
      <c r="AX157" s="592"/>
      <c r="AY157" s="604"/>
      <c r="AZ157" s="605"/>
      <c r="BA157" s="307"/>
      <c r="BB157" s="307"/>
      <c r="BC157" s="307"/>
      <c r="BD157" s="307"/>
      <c r="BE157" s="307"/>
      <c r="BF157" s="609">
        <f t="shared" si="16"/>
        <v>0</v>
      </c>
      <c r="BG157" s="605"/>
      <c r="BH157" s="605"/>
      <c r="BI157" s="592"/>
      <c r="BJ157" s="592"/>
      <c r="BK157" s="592"/>
      <c r="BL157" s="592"/>
      <c r="BM157" s="592"/>
      <c r="BN157" s="86"/>
      <c r="BO157" s="307" t="s">
        <v>136</v>
      </c>
      <c r="BP157" s="307"/>
      <c r="BQ157" s="307"/>
      <c r="BR157" s="592"/>
      <c r="BS157" s="609">
        <f t="shared" si="14"/>
        <v>0</v>
      </c>
    </row>
    <row r="158" spans="1:73" s="430" customFormat="1" ht="67.5" customHeight="1">
      <c r="A158" s="451" t="s">
        <v>148</v>
      </c>
      <c r="B158" s="86">
        <v>292</v>
      </c>
      <c r="C158" s="215">
        <v>1082</v>
      </c>
      <c r="D158" s="215" t="s">
        <v>159</v>
      </c>
      <c r="E158" s="1531" t="s">
        <v>763</v>
      </c>
      <c r="F158" s="1532"/>
      <c r="G158" s="1532"/>
      <c r="H158" s="1533"/>
      <c r="I158" s="454"/>
      <c r="J158" s="646">
        <v>3343214</v>
      </c>
      <c r="K158" s="506" t="s">
        <v>109</v>
      </c>
      <c r="L158" s="506" t="s">
        <v>764</v>
      </c>
      <c r="M158" s="507" t="s">
        <v>111</v>
      </c>
      <c r="N158" s="507" t="s">
        <v>765</v>
      </c>
      <c r="O158" s="673" t="s">
        <v>766</v>
      </c>
      <c r="P158" s="509"/>
      <c r="Q158" s="681"/>
      <c r="R158" s="681"/>
      <c r="S158" s="526" t="s">
        <v>114</v>
      </c>
      <c r="T158" s="526"/>
      <c r="U158" s="526"/>
      <c r="V158" s="526"/>
      <c r="W158" s="526"/>
      <c r="X158" s="526" t="s">
        <v>99</v>
      </c>
      <c r="Y158" s="526"/>
      <c r="Z158" s="692"/>
      <c r="AA158" s="692"/>
      <c r="AB158" s="507"/>
      <c r="AC158" s="549">
        <v>41458</v>
      </c>
      <c r="AD158" s="550"/>
      <c r="AE158" s="551">
        <v>41503</v>
      </c>
      <c r="AF158" s="551" t="s">
        <v>117</v>
      </c>
      <c r="AG158" s="590" t="s">
        <v>767</v>
      </c>
      <c r="AH158" s="648" t="s">
        <v>768</v>
      </c>
      <c r="AI158" s="646" t="s">
        <v>769</v>
      </c>
      <c r="AJ158" s="592">
        <f t="shared" si="15"/>
        <v>7</v>
      </c>
      <c r="AK158" s="307"/>
      <c r="AL158" s="307"/>
      <c r="AM158" s="307"/>
      <c r="AN158" s="307">
        <v>1</v>
      </c>
      <c r="AO158" s="307">
        <v>1</v>
      </c>
      <c r="AP158" s="307">
        <v>1</v>
      </c>
      <c r="AQ158" s="307">
        <v>1</v>
      </c>
      <c r="AR158" s="307">
        <v>1</v>
      </c>
      <c r="AS158" s="307"/>
      <c r="AT158" s="307">
        <v>1</v>
      </c>
      <c r="AU158" s="307"/>
      <c r="AV158" s="307" t="s">
        <v>136</v>
      </c>
      <c r="AW158" s="307" t="s">
        <v>136</v>
      </c>
      <c r="AX158" s="592"/>
      <c r="AY158" s="604"/>
      <c r="AZ158" s="605"/>
      <c r="BA158" s="307"/>
      <c r="BB158" s="307"/>
      <c r="BC158" s="307"/>
      <c r="BD158" s="307"/>
      <c r="BE158" s="307"/>
      <c r="BF158" s="609">
        <f t="shared" si="16"/>
        <v>0</v>
      </c>
      <c r="BG158" s="605"/>
      <c r="BH158" s="605"/>
      <c r="BI158" s="611"/>
      <c r="BJ158" s="592"/>
      <c r="BK158" s="592"/>
      <c r="BL158" s="307"/>
      <c r="BM158" s="307"/>
      <c r="BN158" s="86">
        <v>1</v>
      </c>
      <c r="BO158" s="307" t="s">
        <v>136</v>
      </c>
      <c r="BP158" s="307"/>
      <c r="BQ158" s="307"/>
      <c r="BR158" s="86"/>
      <c r="BS158" s="609">
        <f t="shared" si="14"/>
        <v>1</v>
      </c>
    </row>
    <row r="159" spans="1:73" s="430" customFormat="1" ht="123" customHeight="1">
      <c r="A159" s="451" t="s">
        <v>137</v>
      </c>
      <c r="B159" s="86">
        <v>301</v>
      </c>
      <c r="C159" s="215">
        <v>1323</v>
      </c>
      <c r="D159" s="215"/>
      <c r="E159" s="1531" t="s">
        <v>770</v>
      </c>
      <c r="F159" s="1532"/>
      <c r="G159" s="1532"/>
      <c r="H159" s="1533"/>
      <c r="I159" s="454"/>
      <c r="J159" s="505">
        <v>3344636</v>
      </c>
      <c r="K159" s="506" t="s">
        <v>109</v>
      </c>
      <c r="L159" s="506" t="s">
        <v>771</v>
      </c>
      <c r="M159" s="507" t="s">
        <v>111</v>
      </c>
      <c r="N159" s="507"/>
      <c r="O159" s="508">
        <v>194804</v>
      </c>
      <c r="P159" s="454"/>
      <c r="Q159" s="454"/>
      <c r="R159" s="454"/>
      <c r="S159" s="454"/>
      <c r="T159" s="454" t="s">
        <v>114</v>
      </c>
      <c r="U159" s="454"/>
      <c r="V159" s="454"/>
      <c r="W159" s="454"/>
      <c r="X159" s="526" t="s">
        <v>99</v>
      </c>
      <c r="Y159" s="454"/>
      <c r="Z159" s="454"/>
      <c r="AA159" s="454"/>
      <c r="AB159" s="643"/>
      <c r="AC159" s="549">
        <v>41486</v>
      </c>
      <c r="AD159" s="550"/>
      <c r="AE159" s="552" t="s">
        <v>240</v>
      </c>
      <c r="AF159" s="551" t="s">
        <v>117</v>
      </c>
      <c r="AG159" s="590" t="s">
        <v>772</v>
      </c>
      <c r="AH159" s="648"/>
      <c r="AI159" s="646" t="s">
        <v>773</v>
      </c>
      <c r="AJ159" s="592">
        <f t="shared" si="15"/>
        <v>0</v>
      </c>
      <c r="AK159" s="307"/>
      <c r="AL159" s="307"/>
      <c r="AM159" s="307"/>
      <c r="AN159" s="307"/>
      <c r="AO159" s="307"/>
      <c r="AP159" s="307"/>
      <c r="AQ159" s="307"/>
      <c r="AR159" s="307"/>
      <c r="AS159" s="307"/>
      <c r="AT159" s="307"/>
      <c r="AU159" s="307"/>
      <c r="AV159" s="307"/>
      <c r="AW159" s="307"/>
      <c r="AX159" s="592"/>
      <c r="AY159" s="604"/>
      <c r="AZ159" s="605"/>
      <c r="BA159" s="307"/>
      <c r="BB159" s="307"/>
      <c r="BC159" s="307"/>
      <c r="BD159" s="307"/>
      <c r="BE159" s="307"/>
      <c r="BF159" s="609">
        <f t="shared" si="16"/>
        <v>0</v>
      </c>
      <c r="BG159" s="605"/>
      <c r="BH159" s="605"/>
      <c r="BI159" s="611"/>
      <c r="BJ159" s="592"/>
      <c r="BK159" s="611"/>
      <c r="BL159" s="307"/>
      <c r="BM159" s="307"/>
      <c r="BN159" s="86"/>
      <c r="BO159" s="307"/>
      <c r="BP159" s="307"/>
      <c r="BQ159" s="307"/>
      <c r="BR159" s="86"/>
      <c r="BS159" s="609">
        <f t="shared" si="14"/>
        <v>0</v>
      </c>
    </row>
    <row r="160" spans="1:73" s="430" customFormat="1" ht="92.25" customHeight="1">
      <c r="A160" s="451" t="s">
        <v>106</v>
      </c>
      <c r="B160" s="86">
        <v>302</v>
      </c>
      <c r="C160" s="215">
        <v>1324</v>
      </c>
      <c r="D160" s="215"/>
      <c r="E160" s="1531" t="s">
        <v>774</v>
      </c>
      <c r="F160" s="1532"/>
      <c r="G160" s="1532"/>
      <c r="H160" s="1533"/>
      <c r="I160" s="454"/>
      <c r="J160" s="505">
        <v>3344845</v>
      </c>
      <c r="K160" s="506" t="s">
        <v>109</v>
      </c>
      <c r="L160" s="506" t="s">
        <v>775</v>
      </c>
      <c r="M160" s="507" t="s">
        <v>111</v>
      </c>
      <c r="N160" s="507"/>
      <c r="O160" s="508"/>
      <c r="P160" s="454"/>
      <c r="Q160" s="454"/>
      <c r="R160" s="454"/>
      <c r="S160" s="454"/>
      <c r="T160" s="454" t="s">
        <v>114</v>
      </c>
      <c r="U160" s="454"/>
      <c r="V160" s="454"/>
      <c r="W160" s="454"/>
      <c r="X160" s="526" t="s">
        <v>99</v>
      </c>
      <c r="Y160" s="454"/>
      <c r="Z160" s="454"/>
      <c r="AA160" s="454"/>
      <c r="AB160" s="643"/>
      <c r="AC160" s="549">
        <v>41470</v>
      </c>
      <c r="AD160" s="550"/>
      <c r="AE160" s="552" t="s">
        <v>240</v>
      </c>
      <c r="AF160" s="551" t="s">
        <v>117</v>
      </c>
      <c r="AG160" s="590" t="s">
        <v>776</v>
      </c>
      <c r="AH160" s="648" t="s">
        <v>677</v>
      </c>
      <c r="AI160" s="646" t="s">
        <v>777</v>
      </c>
      <c r="AJ160" s="592">
        <f t="shared" si="15"/>
        <v>5</v>
      </c>
      <c r="AK160" s="307"/>
      <c r="AL160" s="307"/>
      <c r="AM160" s="307"/>
      <c r="AN160" s="307"/>
      <c r="AO160" s="307"/>
      <c r="AP160" s="307"/>
      <c r="AQ160" s="307">
        <v>1</v>
      </c>
      <c r="AR160" s="307"/>
      <c r="AS160" s="307"/>
      <c r="AT160" s="307">
        <v>1</v>
      </c>
      <c r="AU160" s="307"/>
      <c r="AV160" s="307">
        <v>1</v>
      </c>
      <c r="AW160" s="307">
        <v>1</v>
      </c>
      <c r="AX160" s="592"/>
      <c r="AY160" s="604"/>
      <c r="AZ160" s="605"/>
      <c r="BA160" s="307"/>
      <c r="BB160" s="307"/>
      <c r="BC160" s="307"/>
      <c r="BD160" s="307"/>
      <c r="BE160" s="307"/>
      <c r="BF160" s="609">
        <f t="shared" si="16"/>
        <v>0</v>
      </c>
      <c r="BG160" s="605"/>
      <c r="BH160" s="605"/>
      <c r="BI160" s="611"/>
      <c r="BJ160" s="592"/>
      <c r="BK160" s="611"/>
      <c r="BL160" s="307"/>
      <c r="BM160" s="307"/>
      <c r="BN160" s="86"/>
      <c r="BO160" s="307" t="s">
        <v>136</v>
      </c>
      <c r="BP160" s="307"/>
      <c r="BQ160" s="307">
        <v>1</v>
      </c>
      <c r="BR160" s="86"/>
      <c r="BS160" s="609">
        <f t="shared" si="14"/>
        <v>0</v>
      </c>
    </row>
    <row r="161" spans="1:71" s="430" customFormat="1" ht="60" customHeight="1">
      <c r="A161" s="451" t="s">
        <v>137</v>
      </c>
      <c r="B161" s="86">
        <v>303</v>
      </c>
      <c r="C161" s="215">
        <v>1325</v>
      </c>
      <c r="D161" s="215"/>
      <c r="E161" s="1531" t="s">
        <v>778</v>
      </c>
      <c r="F161" s="1532"/>
      <c r="G161" s="1532"/>
      <c r="H161" s="1533"/>
      <c r="I161" s="454"/>
      <c r="J161" s="505">
        <v>3345428</v>
      </c>
      <c r="K161" s="506" t="s">
        <v>109</v>
      </c>
      <c r="L161" s="506" t="s">
        <v>779</v>
      </c>
      <c r="M161" s="505" t="s">
        <v>151</v>
      </c>
      <c r="N161" s="505"/>
      <c r="O161" s="508">
        <v>194807</v>
      </c>
      <c r="P161" s="454"/>
      <c r="Q161" s="454"/>
      <c r="R161" s="454"/>
      <c r="S161" s="454" t="s">
        <v>114</v>
      </c>
      <c r="T161" s="454"/>
      <c r="U161" s="454"/>
      <c r="V161" s="454"/>
      <c r="W161" s="454"/>
      <c r="X161" s="526" t="s">
        <v>99</v>
      </c>
      <c r="Y161" s="454"/>
      <c r="Z161" s="454" t="s">
        <v>172</v>
      </c>
      <c r="AA161" s="454" t="s">
        <v>632</v>
      </c>
      <c r="AB161" s="643"/>
      <c r="AC161" s="549">
        <v>41473</v>
      </c>
      <c r="AD161" s="550"/>
      <c r="AE161" s="549">
        <v>41517</v>
      </c>
      <c r="AF161" s="551" t="s">
        <v>117</v>
      </c>
      <c r="AG161" s="590" t="s">
        <v>780</v>
      </c>
      <c r="AH161" s="648"/>
      <c r="AI161" s="646" t="s">
        <v>781</v>
      </c>
      <c r="AJ161" s="592">
        <f t="shared" si="15"/>
        <v>0</v>
      </c>
      <c r="AK161" s="307"/>
      <c r="AL161" s="307"/>
      <c r="AM161" s="307"/>
      <c r="AN161" s="307"/>
      <c r="AO161" s="307"/>
      <c r="AP161" s="307"/>
      <c r="AQ161" s="307"/>
      <c r="AR161" s="307"/>
      <c r="AS161" s="307"/>
      <c r="AT161" s="307"/>
      <c r="AU161" s="307"/>
      <c r="AV161" s="307"/>
      <c r="AW161" s="307"/>
      <c r="AX161" s="592"/>
      <c r="AY161" s="604"/>
      <c r="AZ161" s="605"/>
      <c r="BA161" s="307"/>
      <c r="BB161" s="307"/>
      <c r="BC161" s="307"/>
      <c r="BD161" s="307"/>
      <c r="BE161" s="307"/>
      <c r="BF161" s="609">
        <f t="shared" si="16"/>
        <v>0</v>
      </c>
      <c r="BG161" s="605"/>
      <c r="BH161" s="605"/>
      <c r="BI161" s="611"/>
      <c r="BJ161" s="592"/>
      <c r="BK161" s="611"/>
      <c r="BL161" s="307"/>
      <c r="BM161" s="307"/>
      <c r="BN161" s="86"/>
      <c r="BO161" s="307"/>
      <c r="BP161" s="307"/>
      <c r="BQ161" s="307"/>
      <c r="BR161" s="86"/>
      <c r="BS161" s="609">
        <f t="shared" si="14"/>
        <v>0</v>
      </c>
    </row>
    <row r="162" spans="1:71" s="430" customFormat="1" ht="98.25" customHeight="1">
      <c r="A162" s="451">
        <v>3</v>
      </c>
      <c r="B162" s="86">
        <v>298</v>
      </c>
      <c r="C162" s="215">
        <v>1232</v>
      </c>
      <c r="D162" s="215" t="s">
        <v>123</v>
      </c>
      <c r="E162" s="1531" t="s">
        <v>782</v>
      </c>
      <c r="F162" s="1532"/>
      <c r="G162" s="1532"/>
      <c r="H162" s="1533"/>
      <c r="I162" s="454"/>
      <c r="J162" s="505">
        <v>3344987</v>
      </c>
      <c r="K162" s="506" t="s">
        <v>109</v>
      </c>
      <c r="L162" s="506" t="s">
        <v>783</v>
      </c>
      <c r="M162" s="507" t="s">
        <v>111</v>
      </c>
      <c r="N162" s="507"/>
      <c r="O162" s="508" t="s">
        <v>784</v>
      </c>
      <c r="P162" s="454"/>
      <c r="Q162" s="454"/>
      <c r="R162" s="454"/>
      <c r="S162" s="454" t="s">
        <v>114</v>
      </c>
      <c r="T162" s="454"/>
      <c r="U162" s="454"/>
      <c r="V162" s="454"/>
      <c r="W162" s="454"/>
      <c r="X162" s="526" t="s">
        <v>99</v>
      </c>
      <c r="Y162" s="454"/>
      <c r="Z162" s="454" t="s">
        <v>785</v>
      </c>
      <c r="AA162" s="454" t="s">
        <v>786</v>
      </c>
      <c r="AB162" s="643"/>
      <c r="AC162" s="552" t="s">
        <v>240</v>
      </c>
      <c r="AD162" s="550"/>
      <c r="AE162" s="551">
        <v>41390</v>
      </c>
      <c r="AF162" s="551" t="s">
        <v>117</v>
      </c>
      <c r="AG162" s="590" t="s">
        <v>787</v>
      </c>
      <c r="AH162" s="648" t="s">
        <v>749</v>
      </c>
      <c r="AI162" s="646" t="s">
        <v>749</v>
      </c>
      <c r="AJ162" s="592">
        <f t="shared" si="15"/>
        <v>4</v>
      </c>
      <c r="AK162" s="307"/>
      <c r="AL162" s="307"/>
      <c r="AM162" s="307">
        <v>1</v>
      </c>
      <c r="AN162" s="307"/>
      <c r="AO162" s="307"/>
      <c r="AP162" s="307"/>
      <c r="AQ162" s="307">
        <v>1</v>
      </c>
      <c r="AR162" s="307">
        <v>1</v>
      </c>
      <c r="AS162" s="307"/>
      <c r="AT162" s="307"/>
      <c r="AU162" s="307"/>
      <c r="AV162" s="307"/>
      <c r="AW162" s="307"/>
      <c r="AX162" s="592"/>
      <c r="AY162" s="604"/>
      <c r="AZ162" s="605"/>
      <c r="BA162" s="307"/>
      <c r="BB162" s="307"/>
      <c r="BC162" s="307"/>
      <c r="BD162" s="307"/>
      <c r="BE162" s="307"/>
      <c r="BF162" s="609"/>
      <c r="BG162" s="605"/>
      <c r="BH162" s="605"/>
      <c r="BI162" s="611"/>
      <c r="BJ162" s="592"/>
      <c r="BK162" s="611"/>
      <c r="BL162" s="307"/>
      <c r="BM162" s="307"/>
      <c r="BN162" s="86">
        <v>1</v>
      </c>
      <c r="BO162" s="307"/>
      <c r="BP162" s="307"/>
      <c r="BQ162" s="307"/>
      <c r="BR162" s="86"/>
      <c r="BS162" s="609">
        <f t="shared" si="14"/>
        <v>1</v>
      </c>
    </row>
    <row r="163" spans="1:71" s="430" customFormat="1" ht="98.25" customHeight="1">
      <c r="A163" s="451">
        <v>5</v>
      </c>
      <c r="B163" s="86">
        <v>295</v>
      </c>
      <c r="C163" s="215">
        <v>1161</v>
      </c>
      <c r="D163" s="215" t="s">
        <v>123</v>
      </c>
      <c r="E163" s="1531" t="s">
        <v>788</v>
      </c>
      <c r="F163" s="1532"/>
      <c r="G163" s="1532"/>
      <c r="H163" s="1533"/>
      <c r="I163" s="454"/>
      <c r="J163" s="505">
        <v>3343641</v>
      </c>
      <c r="K163" s="506" t="s">
        <v>109</v>
      </c>
      <c r="L163" s="506" t="s">
        <v>789</v>
      </c>
      <c r="M163" s="507" t="s">
        <v>111</v>
      </c>
      <c r="N163" s="507"/>
      <c r="O163" s="508" t="s">
        <v>790</v>
      </c>
      <c r="P163" s="454"/>
      <c r="Q163" s="454"/>
      <c r="R163" s="454"/>
      <c r="S163" s="454"/>
      <c r="T163" s="454"/>
      <c r="U163" s="454"/>
      <c r="V163" s="454"/>
      <c r="W163" s="454"/>
      <c r="X163" s="526" t="s">
        <v>99</v>
      </c>
      <c r="Y163" s="454"/>
      <c r="Z163" s="454"/>
      <c r="AA163" s="454"/>
      <c r="AB163" s="643"/>
      <c r="AC163" s="549">
        <v>41461</v>
      </c>
      <c r="AD163" s="550"/>
      <c r="AE163" s="549">
        <v>41512</v>
      </c>
      <c r="AF163" s="551" t="s">
        <v>117</v>
      </c>
      <c r="AG163" s="590" t="s">
        <v>791</v>
      </c>
      <c r="AH163" s="648"/>
      <c r="AI163" s="505" t="s">
        <v>168</v>
      </c>
      <c r="AJ163" s="592">
        <f t="shared" si="15"/>
        <v>1</v>
      </c>
      <c r="AK163" s="307"/>
      <c r="AL163" s="307"/>
      <c r="AM163" s="307"/>
      <c r="AN163" s="307">
        <v>1</v>
      </c>
      <c r="AO163" s="307"/>
      <c r="AP163" s="307"/>
      <c r="AQ163" s="307"/>
      <c r="AR163" s="307"/>
      <c r="AS163" s="307"/>
      <c r="AT163" s="307"/>
      <c r="AU163" s="307"/>
      <c r="AV163" s="307"/>
      <c r="AW163" s="307"/>
      <c r="AX163" s="592"/>
      <c r="AY163" s="604"/>
      <c r="AZ163" s="605"/>
      <c r="BA163" s="307"/>
      <c r="BB163" s="307"/>
      <c r="BC163" s="307"/>
      <c r="BD163" s="307"/>
      <c r="BE163" s="307"/>
      <c r="BF163" s="609"/>
      <c r="BG163" s="605"/>
      <c r="BH163" s="605"/>
      <c r="BI163" s="611"/>
      <c r="BJ163" s="592"/>
      <c r="BK163" s="611"/>
      <c r="BL163" s="307"/>
      <c r="BM163" s="307"/>
      <c r="BN163" s="86"/>
      <c r="BO163" s="307"/>
      <c r="BP163" s="307"/>
      <c r="BQ163" s="307"/>
      <c r="BR163" s="86"/>
      <c r="BS163" s="609">
        <f t="shared" si="14"/>
        <v>0</v>
      </c>
    </row>
    <row r="164" spans="1:71" s="430" customFormat="1" ht="48" customHeight="1">
      <c r="A164" s="451" t="s">
        <v>148</v>
      </c>
      <c r="B164" s="86">
        <v>297</v>
      </c>
      <c r="C164" s="215">
        <v>1082</v>
      </c>
      <c r="D164" s="215"/>
      <c r="E164" s="1531" t="s">
        <v>792</v>
      </c>
      <c r="F164" s="1532"/>
      <c r="G164" s="1532"/>
      <c r="H164" s="1533"/>
      <c r="I164" s="454"/>
      <c r="J164" s="646">
        <v>3341896</v>
      </c>
      <c r="K164" s="510" t="s">
        <v>139</v>
      </c>
      <c r="L164" s="506" t="s">
        <v>793</v>
      </c>
      <c r="M164" s="505" t="s">
        <v>151</v>
      </c>
      <c r="N164" s="505" t="s">
        <v>794</v>
      </c>
      <c r="O164" s="673">
        <v>194418</v>
      </c>
      <c r="P164" s="509"/>
      <c r="Q164" s="681"/>
      <c r="R164" s="681"/>
      <c r="S164" s="526"/>
      <c r="T164" s="526" t="s">
        <v>114</v>
      </c>
      <c r="U164" s="526"/>
      <c r="V164" s="526"/>
      <c r="W164" s="526"/>
      <c r="X164" s="526" t="s">
        <v>99</v>
      </c>
      <c r="Y164" s="526"/>
      <c r="Z164" s="692"/>
      <c r="AA164" s="692"/>
      <c r="AB164" s="507"/>
      <c r="AC164" s="549">
        <v>41468</v>
      </c>
      <c r="AD164" s="550"/>
      <c r="AE164" s="549">
        <v>41468</v>
      </c>
      <c r="AF164" s="549" t="s">
        <v>132</v>
      </c>
      <c r="AG164" s="590" t="s">
        <v>795</v>
      </c>
      <c r="AH164" s="648" t="s">
        <v>134</v>
      </c>
      <c r="AI164" s="646" t="s">
        <v>796</v>
      </c>
      <c r="AJ164" s="592">
        <f t="shared" si="15"/>
        <v>1</v>
      </c>
      <c r="AK164" s="307"/>
      <c r="AL164" s="307"/>
      <c r="AM164" s="307"/>
      <c r="AN164" s="307"/>
      <c r="AO164" s="307">
        <v>1</v>
      </c>
      <c r="AP164" s="307"/>
      <c r="AQ164" s="307"/>
      <c r="AR164" s="307"/>
      <c r="AS164" s="307"/>
      <c r="AT164" s="307"/>
      <c r="AU164" s="307"/>
      <c r="AV164" s="307"/>
      <c r="AW164" s="307"/>
      <c r="AX164" s="592"/>
      <c r="AY164" s="604"/>
      <c r="AZ164" s="605"/>
      <c r="BA164" s="307"/>
      <c r="BB164" s="307"/>
      <c r="BC164" s="307"/>
      <c r="BD164" s="307"/>
      <c r="BE164" s="307"/>
      <c r="BF164" s="609">
        <f>SUM(BA164:BE164)</f>
        <v>0</v>
      </c>
      <c r="BG164" s="605"/>
      <c r="BH164" s="605"/>
      <c r="BI164" s="611"/>
      <c r="BJ164" s="592"/>
      <c r="BK164" s="592"/>
      <c r="BL164" s="307"/>
      <c r="BM164" s="307"/>
      <c r="BN164" s="86"/>
      <c r="BO164" s="307"/>
      <c r="BP164" s="307"/>
      <c r="BQ164" s="307"/>
      <c r="BR164" s="86"/>
      <c r="BS164" s="609">
        <f t="shared" si="14"/>
        <v>0</v>
      </c>
    </row>
    <row r="165" spans="1:71">
      <c r="A165" s="650"/>
      <c r="B165" s="42"/>
      <c r="C165" s="42"/>
      <c r="D165" s="42"/>
      <c r="E165" s="38"/>
      <c r="F165" s="38"/>
      <c r="G165" s="38"/>
      <c r="H165" s="38"/>
      <c r="I165" s="38"/>
      <c r="J165" s="43"/>
      <c r="K165" s="43"/>
      <c r="L165" s="43"/>
      <c r="M165" s="43"/>
      <c r="N165" s="43"/>
      <c r="O165" s="473"/>
      <c r="P165" s="43"/>
      <c r="Q165" s="43"/>
      <c r="R165" s="43"/>
      <c r="S165" s="37"/>
      <c r="T165" s="37"/>
      <c r="U165" s="43"/>
      <c r="V165" s="469"/>
      <c r="W165" s="469"/>
      <c r="X165" s="469"/>
      <c r="Y165" s="469"/>
      <c r="Z165" s="469"/>
      <c r="AA165" s="469"/>
      <c r="AB165" s="43"/>
      <c r="AC165" s="530"/>
      <c r="AD165" s="693"/>
      <c r="AE165" s="530"/>
      <c r="AF165" s="530"/>
      <c r="AG165" s="698"/>
      <c r="AH165" s="555"/>
      <c r="AI165" s="43"/>
      <c r="AJ165" s="43"/>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43"/>
    </row>
    <row r="166" spans="1:71">
      <c r="A166" s="650"/>
      <c r="B166" s="42"/>
      <c r="C166" s="42"/>
      <c r="D166" s="42"/>
      <c r="E166" s="38"/>
      <c r="F166" s="38"/>
      <c r="G166" s="38"/>
      <c r="H166" s="38"/>
      <c r="I166" s="38"/>
      <c r="J166" s="21"/>
      <c r="K166" s="469"/>
      <c r="L166" s="469"/>
      <c r="M166" s="43"/>
      <c r="N166" s="43"/>
      <c r="O166" s="43"/>
      <c r="P166" s="43"/>
      <c r="Q166" s="43"/>
      <c r="R166" s="43"/>
      <c r="S166" s="37"/>
      <c r="T166" s="37"/>
      <c r="U166" s="43"/>
      <c r="V166" s="469"/>
      <c r="W166" s="469"/>
      <c r="X166" s="469"/>
      <c r="Y166" s="469"/>
      <c r="Z166" s="469"/>
      <c r="AA166" s="469"/>
      <c r="AB166" s="43"/>
      <c r="AC166" s="530"/>
      <c r="AD166" s="693"/>
      <c r="AE166" s="530"/>
      <c r="AF166" s="530"/>
      <c r="AG166" s="44"/>
      <c r="AH166" s="555"/>
      <c r="AI166" s="43"/>
      <c r="AJ166" s="43"/>
      <c r="AK166" s="37"/>
      <c r="AL166" s="37"/>
      <c r="AM166" s="37"/>
      <c r="AN166" s="37"/>
      <c r="AO166" s="37"/>
      <c r="AP166" s="37"/>
      <c r="AQ166" s="37"/>
      <c r="AR166" s="37"/>
      <c r="AS166" s="37"/>
      <c r="AT166" s="37"/>
      <c r="AU166" s="37"/>
      <c r="AV166" s="37"/>
      <c r="AW166" s="37"/>
      <c r="AX166" s="37"/>
      <c r="AY166" s="37"/>
      <c r="AZ166" s="37"/>
      <c r="BA166" s="37"/>
      <c r="BB166" s="37"/>
      <c r="BC166" s="37"/>
      <c r="BD166" s="37"/>
      <c r="BE166" s="37"/>
      <c r="BF166" s="37"/>
      <c r="BG166" s="37"/>
      <c r="BH166" s="37"/>
      <c r="BI166" s="37"/>
      <c r="BJ166" s="37"/>
      <c r="BK166" s="37"/>
      <c r="BL166" s="37"/>
      <c r="BM166" s="37"/>
      <c r="BN166" s="37"/>
      <c r="BO166" s="37"/>
      <c r="BP166" s="37"/>
      <c r="BQ166" s="37"/>
      <c r="BR166" s="37"/>
      <c r="BS166" s="43"/>
    </row>
    <row r="167" spans="1:71">
      <c r="A167" s="650"/>
      <c r="B167" s="42"/>
      <c r="C167" s="42"/>
      <c r="D167" s="42"/>
      <c r="E167" s="38"/>
      <c r="F167" s="38"/>
      <c r="G167" s="38"/>
      <c r="H167" s="38"/>
      <c r="I167" s="38"/>
      <c r="J167" s="468"/>
      <c r="K167" s="469"/>
      <c r="L167" s="469"/>
      <c r="M167" s="43"/>
      <c r="N167" s="43"/>
      <c r="O167" s="473"/>
      <c r="P167" s="43"/>
      <c r="Q167" s="43"/>
      <c r="R167" s="43"/>
      <c r="S167" s="37"/>
      <c r="T167" s="37"/>
      <c r="U167" s="43"/>
      <c r="V167" s="469"/>
      <c r="W167" s="469"/>
      <c r="X167" s="469"/>
      <c r="Y167" s="469"/>
      <c r="Z167" s="469"/>
      <c r="AA167" s="469"/>
      <c r="AB167" s="43"/>
      <c r="AC167" s="530"/>
      <c r="AD167" s="693"/>
      <c r="AE167" s="530"/>
      <c r="AF167" s="530"/>
      <c r="AG167" s="44"/>
      <c r="AH167" s="555"/>
      <c r="AI167" s="43"/>
      <c r="AJ167" s="43"/>
      <c r="AK167" s="37"/>
      <c r="AL167" s="37"/>
      <c r="AM167" s="37"/>
      <c r="AN167" s="37"/>
      <c r="AO167" s="37"/>
      <c r="AP167" s="37"/>
      <c r="AQ167" s="37"/>
      <c r="AR167" s="37"/>
      <c r="AS167" s="37"/>
      <c r="AT167" s="37"/>
      <c r="AU167" s="37"/>
      <c r="AV167" s="37"/>
      <c r="AW167" s="37"/>
      <c r="AX167" s="37"/>
      <c r="AY167" s="37"/>
      <c r="AZ167" s="37"/>
      <c r="BA167" s="37"/>
      <c r="BB167" s="37"/>
      <c r="BC167" s="37"/>
      <c r="BD167" s="37"/>
      <c r="BE167" s="37"/>
      <c r="BF167" s="37"/>
      <c r="BG167" s="37"/>
      <c r="BH167" s="37"/>
      <c r="BI167" s="37"/>
      <c r="BJ167" s="37"/>
      <c r="BK167" s="37"/>
      <c r="BL167" s="37"/>
      <c r="BM167" s="37"/>
      <c r="BN167" s="37"/>
      <c r="BO167" s="37"/>
      <c r="BP167" s="37"/>
      <c r="BQ167" s="37"/>
      <c r="BR167" s="37"/>
      <c r="BS167" s="43"/>
    </row>
    <row r="168" spans="1:71">
      <c r="A168" s="650"/>
      <c r="B168" s="42"/>
      <c r="C168" s="42"/>
      <c r="D168" s="42"/>
      <c r="E168" s="38"/>
      <c r="F168" s="38"/>
      <c r="G168" s="38"/>
      <c r="H168" s="38"/>
      <c r="I168" s="38" t="s">
        <v>27</v>
      </c>
      <c r="J168" s="468"/>
      <c r="K168" s="469"/>
      <c r="L168" s="469"/>
      <c r="M168" s="43"/>
      <c r="N168" s="43"/>
      <c r="O168" s="473"/>
      <c r="P168" s="43"/>
      <c r="Q168" s="43"/>
      <c r="R168" s="43"/>
      <c r="S168" s="37"/>
      <c r="T168" s="37"/>
      <c r="U168" s="43"/>
      <c r="V168" s="469"/>
      <c r="W168" s="469"/>
      <c r="X168" s="469"/>
      <c r="Y168" s="469"/>
      <c r="Z168" s="469"/>
      <c r="AA168" s="469"/>
      <c r="AB168" s="43"/>
      <c r="AC168" s="530"/>
      <c r="AD168" s="693"/>
      <c r="AE168" s="530"/>
      <c r="AF168" s="530"/>
      <c r="AG168" s="44"/>
      <c r="AH168" s="555"/>
      <c r="AI168" s="43"/>
      <c r="AJ168" s="43"/>
      <c r="AK168" s="37"/>
      <c r="AL168" s="37"/>
      <c r="AM168" s="37"/>
      <c r="AN168" s="37"/>
      <c r="AO168" s="37"/>
      <c r="AP168" s="37"/>
      <c r="AQ168" s="37"/>
      <c r="AR168" s="37"/>
      <c r="AS168" s="37"/>
      <c r="AT168" s="37"/>
      <c r="AU168" s="37"/>
      <c r="AV168" s="37"/>
      <c r="AW168" s="37"/>
      <c r="AX168" s="37"/>
      <c r="AY168" s="37"/>
      <c r="AZ168" s="37"/>
      <c r="BA168" s="37"/>
      <c r="BB168" s="37"/>
      <c r="BC168" s="37"/>
      <c r="BD168" s="37"/>
      <c r="BE168" s="37"/>
      <c r="BF168" s="37"/>
      <c r="BG168" s="37"/>
      <c r="BH168" s="37"/>
      <c r="BI168" s="37"/>
      <c r="BJ168" s="37"/>
      <c r="BK168" s="37"/>
      <c r="BL168" s="37"/>
      <c r="BM168" s="37"/>
      <c r="BN168" s="37"/>
      <c r="BO168" s="37"/>
      <c r="BP168" s="37"/>
      <c r="BQ168" s="37"/>
      <c r="BR168" s="37"/>
      <c r="BS168" s="43"/>
    </row>
    <row r="169" spans="1:71">
      <c r="A169" s="650"/>
      <c r="B169" s="42"/>
      <c r="C169" s="42"/>
      <c r="D169" s="42"/>
      <c r="E169" s="38"/>
      <c r="F169" s="38"/>
      <c r="G169" s="38"/>
      <c r="H169" s="38"/>
      <c r="I169" s="38"/>
      <c r="J169" s="468"/>
      <c r="K169" s="469"/>
      <c r="L169" s="469"/>
      <c r="M169" s="43"/>
      <c r="N169" s="43"/>
      <c r="O169" s="473"/>
      <c r="P169" s="43"/>
      <c r="Q169" s="43"/>
      <c r="R169" s="43"/>
      <c r="S169" s="37"/>
      <c r="T169" s="37"/>
      <c r="U169" s="43"/>
      <c r="V169" s="469"/>
      <c r="W169" s="469"/>
      <c r="X169" s="469"/>
      <c r="Y169" s="469"/>
      <c r="Z169" s="469"/>
      <c r="AA169" s="469"/>
      <c r="AB169" s="43"/>
      <c r="AC169" s="530"/>
      <c r="AD169" s="693"/>
      <c r="AE169" s="530"/>
      <c r="AF169" s="530"/>
      <c r="AG169" s="44"/>
      <c r="AH169" s="555"/>
      <c r="AI169" s="43"/>
      <c r="AJ169" s="43"/>
      <c r="AK169" s="37"/>
      <c r="AL169" s="37"/>
      <c r="AM169" s="37"/>
      <c r="AN169" s="37"/>
      <c r="AO169" s="37"/>
      <c r="AP169" s="37"/>
      <c r="AQ169" s="37"/>
      <c r="AR169" s="37"/>
      <c r="AS169" s="37"/>
      <c r="AT169" s="37"/>
      <c r="AU169" s="37"/>
      <c r="AV169" s="37"/>
      <c r="AW169" s="37"/>
      <c r="AX169" s="37"/>
      <c r="AY169" s="37"/>
      <c r="AZ169" s="37"/>
      <c r="BA169" s="37"/>
      <c r="BB169" s="37"/>
      <c r="BC169" s="37"/>
      <c r="BD169" s="37"/>
      <c r="BE169" s="37"/>
      <c r="BF169" s="37"/>
      <c r="BG169" s="37"/>
      <c r="BH169" s="37"/>
      <c r="BI169" s="37"/>
      <c r="BJ169" s="37"/>
      <c r="BK169" s="37"/>
      <c r="BL169" s="37"/>
      <c r="BM169" s="37"/>
      <c r="BN169" s="37"/>
      <c r="BO169" s="37"/>
      <c r="BP169" s="37"/>
      <c r="BQ169" s="37"/>
      <c r="BR169" s="37"/>
      <c r="BS169" s="43"/>
    </row>
    <row r="170" spans="1:71">
      <c r="A170" s="650"/>
      <c r="B170" s="42"/>
      <c r="C170" s="42"/>
      <c r="D170" s="42"/>
      <c r="E170" s="38"/>
      <c r="F170" s="38"/>
      <c r="G170" s="38"/>
      <c r="H170" s="38"/>
      <c r="I170" s="38"/>
      <c r="J170" s="468"/>
      <c r="K170" s="469"/>
      <c r="L170" s="469"/>
      <c r="M170" s="43"/>
      <c r="N170" s="43"/>
      <c r="O170" s="473"/>
      <c r="P170" s="43"/>
      <c r="Q170" s="43"/>
      <c r="R170" s="43"/>
      <c r="S170" s="37"/>
      <c r="T170" s="37"/>
      <c r="U170" s="43"/>
      <c r="V170" s="469"/>
      <c r="W170" s="469"/>
      <c r="X170" s="469"/>
      <c r="Y170" s="469"/>
      <c r="Z170" s="469"/>
      <c r="AA170" s="469"/>
      <c r="AB170" s="43"/>
      <c r="AC170" s="530"/>
      <c r="AD170" s="693"/>
      <c r="AE170" s="530"/>
      <c r="AF170" s="530"/>
      <c r="AG170" s="44"/>
      <c r="AH170" s="555"/>
      <c r="AI170" s="43"/>
      <c r="AJ170" s="43"/>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43"/>
    </row>
    <row r="171" spans="1:71">
      <c r="A171" s="650"/>
      <c r="B171" s="42"/>
      <c r="C171" s="42"/>
      <c r="D171" s="42"/>
      <c r="E171" s="38"/>
      <c r="F171" s="38"/>
      <c r="G171" s="38"/>
      <c r="H171" s="38"/>
      <c r="I171" s="38"/>
      <c r="J171" s="468"/>
      <c r="K171" s="469"/>
      <c r="L171" s="469"/>
      <c r="M171" s="43"/>
      <c r="N171" s="43"/>
      <c r="O171" s="473"/>
      <c r="P171" s="43"/>
      <c r="Q171" s="43"/>
      <c r="R171" s="43"/>
      <c r="S171" s="37"/>
      <c r="T171" s="37"/>
      <c r="U171" s="43"/>
      <c r="V171" s="469"/>
      <c r="W171" s="469"/>
      <c r="X171" s="469"/>
      <c r="Y171" s="469"/>
      <c r="Z171" s="469"/>
      <c r="AA171" s="469"/>
      <c r="AB171" s="43"/>
      <c r="AC171" s="530"/>
      <c r="AD171" s="693"/>
      <c r="AE171" s="530"/>
      <c r="AF171" s="530"/>
      <c r="AG171" s="44"/>
      <c r="AH171" s="555"/>
      <c r="AI171" s="43"/>
      <c r="AJ171" s="43"/>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43"/>
    </row>
    <row r="453" spans="1:67" ht="108">
      <c r="A453" s="451" t="s">
        <v>797</v>
      </c>
      <c r="B453" s="700" t="s">
        <v>798</v>
      </c>
      <c r="C453" s="701"/>
      <c r="D453" s="701"/>
      <c r="E453" s="702" t="s">
        <v>799</v>
      </c>
      <c r="F453" s="703"/>
      <c r="G453" s="703"/>
      <c r="H453" s="704"/>
      <c r="I453" s="646">
        <v>3199512</v>
      </c>
      <c r="J453" s="646" t="s">
        <v>59</v>
      </c>
      <c r="K453" s="669"/>
      <c r="L453" s="508"/>
      <c r="M453" s="526" t="s">
        <v>114</v>
      </c>
      <c r="N453" s="526"/>
      <c r="O453" s="526"/>
      <c r="P453" s="526"/>
      <c r="Q453" s="526"/>
      <c r="R453" s="526"/>
      <c r="S453" s="526" t="s">
        <v>99</v>
      </c>
      <c r="T453" s="526"/>
      <c r="U453" s="526"/>
      <c r="V453" s="552" t="s">
        <v>240</v>
      </c>
      <c r="W453" s="552"/>
      <c r="X453" s="552" t="s">
        <v>240</v>
      </c>
      <c r="Y453" s="552"/>
      <c r="Z453" s="646"/>
      <c r="AA453" s="592">
        <v>0</v>
      </c>
      <c r="AB453" s="706"/>
      <c r="AC453" s="307"/>
      <c r="AD453" s="707"/>
      <c r="AE453" s="307"/>
      <c r="AF453" s="307"/>
      <c r="AG453" s="707"/>
      <c r="AH453" s="307"/>
      <c r="AI453" s="307"/>
      <c r="AJ453" s="307"/>
      <c r="AK453" s="307"/>
      <c r="AL453" s="307"/>
      <c r="AM453" s="307"/>
      <c r="AN453" s="307"/>
      <c r="AO453" s="592"/>
      <c r="AP453" s="604"/>
      <c r="AQ453" s="605"/>
      <c r="AR453" s="605"/>
      <c r="AS453" s="592"/>
      <c r="AT453" s="592"/>
      <c r="AU453" s="592"/>
      <c r="AV453" s="592"/>
      <c r="AW453" s="592"/>
      <c r="AX453" s="592"/>
      <c r="AY453" s="592"/>
      <c r="AZ453" s="86"/>
      <c r="BA453" s="307"/>
      <c r="BB453" s="592"/>
      <c r="BC453" s="609"/>
      <c r="BO453" s="592"/>
    </row>
    <row r="454" spans="1:67" ht="144">
      <c r="A454" s="451" t="s">
        <v>797</v>
      </c>
      <c r="B454" s="700" t="s">
        <v>800</v>
      </c>
      <c r="C454" s="701"/>
      <c r="D454" s="701"/>
      <c r="E454" s="702" t="s">
        <v>801</v>
      </c>
      <c r="F454" s="703"/>
      <c r="G454" s="703"/>
      <c r="H454" s="704"/>
      <c r="I454" s="646" t="s">
        <v>59</v>
      </c>
      <c r="J454" s="646" t="s">
        <v>59</v>
      </c>
      <c r="K454" s="669"/>
      <c r="L454" s="508"/>
      <c r="M454" s="526" t="s">
        <v>114</v>
      </c>
      <c r="N454" s="526"/>
      <c r="O454" s="526"/>
      <c r="P454" s="526"/>
      <c r="Q454" s="526"/>
      <c r="R454" s="526"/>
      <c r="S454" s="526" t="s">
        <v>99</v>
      </c>
      <c r="T454" s="526"/>
      <c r="U454" s="526"/>
      <c r="V454" s="552" t="s">
        <v>240</v>
      </c>
      <c r="W454" s="552"/>
      <c r="X454" s="552" t="s">
        <v>240</v>
      </c>
      <c r="Y454" s="552"/>
      <c r="Z454" s="646"/>
      <c r="AA454" s="592">
        <v>0</v>
      </c>
      <c r="AB454" s="706"/>
      <c r="AC454" s="307"/>
      <c r="AD454" s="707"/>
      <c r="AE454" s="307"/>
      <c r="AF454" s="307"/>
      <c r="AG454" s="707"/>
      <c r="AH454" s="307"/>
      <c r="AI454" s="307"/>
      <c r="AJ454" s="307"/>
      <c r="AK454" s="307"/>
      <c r="AL454" s="307"/>
      <c r="AM454" s="307"/>
      <c r="AN454" s="307"/>
      <c r="AO454" s="592"/>
      <c r="AP454" s="604"/>
      <c r="AQ454" s="605"/>
      <c r="AR454" s="605"/>
      <c r="AS454" s="592"/>
      <c r="AT454" s="592"/>
      <c r="AU454" s="592"/>
      <c r="AV454" s="592"/>
      <c r="AW454" s="592"/>
      <c r="AX454" s="592"/>
      <c r="AY454" s="592"/>
      <c r="AZ454" s="86"/>
      <c r="BA454" s="307"/>
      <c r="BB454" s="592"/>
      <c r="BC454" s="609"/>
      <c r="BO454" s="592"/>
    </row>
    <row r="455" spans="1:67" ht="144">
      <c r="A455" s="451" t="s">
        <v>802</v>
      </c>
      <c r="B455" s="700" t="s">
        <v>803</v>
      </c>
      <c r="C455" s="701"/>
      <c r="D455" s="701"/>
      <c r="E455" s="702" t="s">
        <v>804</v>
      </c>
      <c r="F455" s="703"/>
      <c r="G455" s="703"/>
      <c r="H455" s="704"/>
      <c r="I455" s="646">
        <v>3189774</v>
      </c>
      <c r="J455" s="646"/>
      <c r="K455" s="669"/>
      <c r="L455" s="508"/>
      <c r="M455" s="526" t="s">
        <v>114</v>
      </c>
      <c r="N455" s="526"/>
      <c r="O455" s="526"/>
      <c r="P455" s="526"/>
      <c r="Q455" s="526"/>
      <c r="R455" s="526"/>
      <c r="S455" s="526" t="s">
        <v>99</v>
      </c>
      <c r="T455" s="526"/>
      <c r="U455" s="526"/>
      <c r="V455" s="552" t="s">
        <v>240</v>
      </c>
      <c r="W455" s="552"/>
      <c r="X455" s="552" t="s">
        <v>240</v>
      </c>
      <c r="Y455" s="552"/>
      <c r="Z455" s="646"/>
      <c r="AA455" s="592">
        <v>0</v>
      </c>
      <c r="AB455" s="706"/>
      <c r="AC455" s="307"/>
      <c r="AD455" s="707"/>
      <c r="AE455" s="307"/>
      <c r="AF455" s="307"/>
      <c r="AG455" s="707"/>
      <c r="AH455" s="307"/>
      <c r="AI455" s="307"/>
      <c r="AJ455" s="307"/>
      <c r="AK455" s="307"/>
      <c r="AL455" s="307"/>
      <c r="AM455" s="307"/>
      <c r="AN455" s="307"/>
      <c r="AO455" s="592"/>
      <c r="AP455" s="604"/>
      <c r="AQ455" s="605"/>
      <c r="AR455" s="605"/>
      <c r="AS455" s="592"/>
      <c r="AT455" s="592"/>
      <c r="AU455" s="592"/>
      <c r="AV455" s="592"/>
      <c r="AW455" s="592"/>
      <c r="AX455" s="592"/>
      <c r="AY455" s="592"/>
      <c r="AZ455" s="86"/>
      <c r="BA455" s="307"/>
      <c r="BB455" s="592"/>
      <c r="BC455" s="609"/>
      <c r="BO455" s="592"/>
    </row>
    <row r="456" spans="1:67" ht="144">
      <c r="A456" s="451" t="s">
        <v>805</v>
      </c>
      <c r="B456" s="700" t="s">
        <v>806</v>
      </c>
      <c r="C456" s="701"/>
      <c r="D456" s="701"/>
      <c r="E456" s="702" t="s">
        <v>807</v>
      </c>
      <c r="F456" s="703"/>
      <c r="G456" s="703"/>
      <c r="H456" s="704"/>
      <c r="I456" s="646" t="s">
        <v>59</v>
      </c>
      <c r="J456" s="646"/>
      <c r="K456" s="669"/>
      <c r="L456" s="508"/>
      <c r="M456" s="526" t="s">
        <v>114</v>
      </c>
      <c r="N456" s="526"/>
      <c r="O456" s="526"/>
      <c r="P456" s="526"/>
      <c r="Q456" s="526"/>
      <c r="R456" s="526"/>
      <c r="S456" s="526" t="s">
        <v>99</v>
      </c>
      <c r="T456" s="526"/>
      <c r="U456" s="526"/>
      <c r="V456" s="552" t="s">
        <v>240</v>
      </c>
      <c r="W456" s="552"/>
      <c r="X456" s="552" t="s">
        <v>240</v>
      </c>
      <c r="Y456" s="552"/>
      <c r="Z456" s="646"/>
      <c r="AA456" s="592">
        <v>0</v>
      </c>
      <c r="AB456" s="706"/>
      <c r="AC456" s="307"/>
      <c r="AD456" s="707"/>
      <c r="AE456" s="307"/>
      <c r="AF456" s="307"/>
      <c r="AG456" s="707"/>
      <c r="AH456" s="307"/>
      <c r="AI456" s="307"/>
      <c r="AJ456" s="307"/>
      <c r="AK456" s="307"/>
      <c r="AL456" s="307"/>
      <c r="AM456" s="307"/>
      <c r="AN456" s="307"/>
      <c r="AO456" s="592"/>
      <c r="AP456" s="604"/>
      <c r="AQ456" s="605"/>
      <c r="AR456" s="605"/>
      <c r="AS456" s="592"/>
      <c r="AT456" s="592"/>
      <c r="AU456" s="592"/>
      <c r="AV456" s="592"/>
      <c r="AW456" s="592"/>
      <c r="AX456" s="592"/>
      <c r="AY456" s="592"/>
      <c r="AZ456" s="86"/>
      <c r="BA456" s="307"/>
      <c r="BB456" s="592"/>
      <c r="BC456" s="609"/>
      <c r="BO456" s="592"/>
    </row>
    <row r="457" spans="1:67" ht="108">
      <c r="A457" s="451" t="s">
        <v>808</v>
      </c>
      <c r="B457" s="700" t="s">
        <v>809</v>
      </c>
      <c r="C457" s="701"/>
      <c r="D457" s="701"/>
      <c r="E457" s="702" t="s">
        <v>810</v>
      </c>
      <c r="F457" s="703"/>
      <c r="G457" s="703"/>
      <c r="H457" s="704"/>
      <c r="I457" s="646" t="s">
        <v>59</v>
      </c>
      <c r="J457" s="646"/>
      <c r="K457" s="669"/>
      <c r="L457" s="508"/>
      <c r="M457" s="526"/>
      <c r="N457" s="526"/>
      <c r="O457" s="526" t="s">
        <v>114</v>
      </c>
      <c r="P457" s="526"/>
      <c r="Q457" s="526"/>
      <c r="R457" s="526"/>
      <c r="S457" s="526" t="s">
        <v>99</v>
      </c>
      <c r="T457" s="526"/>
      <c r="U457" s="526"/>
      <c r="V457" s="552" t="s">
        <v>240</v>
      </c>
      <c r="W457" s="552"/>
      <c r="X457" s="552" t="s">
        <v>240</v>
      </c>
      <c r="Y457" s="552"/>
      <c r="Z457" s="646"/>
      <c r="AA457" s="592">
        <v>0</v>
      </c>
      <c r="AB457" s="706"/>
      <c r="AC457" s="307"/>
      <c r="AD457" s="707"/>
      <c r="AE457" s="307"/>
      <c r="AF457" s="307"/>
      <c r="AG457" s="707"/>
      <c r="AH457" s="307"/>
      <c r="AI457" s="307"/>
      <c r="AJ457" s="307"/>
      <c r="AK457" s="307"/>
      <c r="AL457" s="307"/>
      <c r="AM457" s="307"/>
      <c r="AN457" s="307"/>
      <c r="AO457" s="592"/>
      <c r="AP457" s="604"/>
      <c r="AQ457" s="605"/>
      <c r="AR457" s="605"/>
      <c r="AS457" s="592"/>
      <c r="AT457" s="592"/>
      <c r="AU457" s="592"/>
      <c r="AV457" s="592"/>
      <c r="AW457" s="592"/>
      <c r="AX457" s="592"/>
      <c r="AY457" s="592"/>
      <c r="AZ457" s="86"/>
      <c r="BA457" s="307"/>
      <c r="BB457" s="592"/>
      <c r="BC457" s="609"/>
      <c r="BO457" s="592"/>
    </row>
    <row r="458" spans="1:67" ht="144">
      <c r="A458" s="451" t="s">
        <v>797</v>
      </c>
      <c r="B458" s="700" t="s">
        <v>811</v>
      </c>
      <c r="C458" s="701"/>
      <c r="D458" s="701"/>
      <c r="E458" s="702" t="s">
        <v>812</v>
      </c>
      <c r="F458" s="703"/>
      <c r="G458" s="703"/>
      <c r="H458" s="704"/>
      <c r="I458" s="646" t="s">
        <v>59</v>
      </c>
      <c r="J458" s="646"/>
      <c r="K458" s="669"/>
      <c r="L458" s="508"/>
      <c r="M458" s="526" t="s">
        <v>114</v>
      </c>
      <c r="N458" s="526"/>
      <c r="O458" s="526"/>
      <c r="P458" s="526"/>
      <c r="Q458" s="526"/>
      <c r="R458" s="526"/>
      <c r="S458" s="526" t="s">
        <v>99</v>
      </c>
      <c r="T458" s="526"/>
      <c r="U458" s="646"/>
      <c r="V458" s="552" t="s">
        <v>240</v>
      </c>
      <c r="W458" s="552"/>
      <c r="X458" s="552" t="s">
        <v>240</v>
      </c>
      <c r="Y458" s="552"/>
      <c r="Z458" s="646"/>
      <c r="AA458" s="592"/>
      <c r="AB458" s="706"/>
      <c r="AC458" s="307"/>
      <c r="AD458" s="707"/>
      <c r="AE458" s="307"/>
      <c r="AF458" s="307"/>
      <c r="AG458" s="707"/>
      <c r="AH458" s="307"/>
      <c r="AI458" s="307"/>
      <c r="AJ458" s="307"/>
      <c r="AK458" s="307"/>
      <c r="AL458" s="307"/>
      <c r="AM458" s="307"/>
      <c r="AN458" s="307"/>
      <c r="AO458" s="592"/>
      <c r="AP458" s="604"/>
      <c r="AQ458" s="605"/>
      <c r="AR458" s="605"/>
      <c r="AS458" s="592"/>
      <c r="AT458" s="592"/>
      <c r="AU458" s="592"/>
      <c r="AV458" s="592"/>
      <c r="AW458" s="592"/>
      <c r="AX458" s="592"/>
      <c r="AY458" s="592"/>
      <c r="AZ458" s="86"/>
      <c r="BA458" s="307"/>
      <c r="BB458" s="592"/>
      <c r="BC458" s="609"/>
      <c r="BO458" s="592"/>
    </row>
    <row r="459" spans="1:67" ht="168">
      <c r="A459" s="451" t="s">
        <v>802</v>
      </c>
      <c r="B459" s="700" t="s">
        <v>813</v>
      </c>
      <c r="C459" s="701"/>
      <c r="D459" s="701"/>
      <c r="E459" s="702" t="s">
        <v>814</v>
      </c>
      <c r="F459" s="703"/>
      <c r="G459" s="703"/>
      <c r="H459" s="704"/>
      <c r="I459" s="705" t="s">
        <v>59</v>
      </c>
      <c r="J459" s="646"/>
      <c r="K459" s="669"/>
      <c r="L459" s="508"/>
      <c r="M459" s="526" t="s">
        <v>114</v>
      </c>
      <c r="N459" s="526"/>
      <c r="O459" s="526"/>
      <c r="P459" s="526"/>
      <c r="Q459" s="526"/>
      <c r="R459" s="526"/>
      <c r="S459" s="526" t="s">
        <v>99</v>
      </c>
      <c r="T459" s="526"/>
      <c r="U459" s="646"/>
      <c r="V459" s="552" t="s">
        <v>240</v>
      </c>
      <c r="W459" s="552"/>
      <c r="X459" s="552" t="s">
        <v>240</v>
      </c>
      <c r="Y459" s="552"/>
      <c r="Z459" s="646"/>
      <c r="AA459" s="592"/>
      <c r="AB459" s="706"/>
      <c r="AC459" s="307"/>
      <c r="AD459" s="707"/>
      <c r="AE459" s="307"/>
      <c r="AF459" s="307"/>
      <c r="AG459" s="707"/>
      <c r="AH459" s="307"/>
      <c r="AI459" s="307"/>
      <c r="AJ459" s="307"/>
      <c r="AK459" s="307"/>
      <c r="AL459" s="307"/>
      <c r="AM459" s="307"/>
      <c r="AN459" s="307"/>
      <c r="AO459" s="592"/>
      <c r="AP459" s="604"/>
      <c r="AQ459" s="605"/>
      <c r="AR459" s="605"/>
      <c r="AS459" s="592"/>
      <c r="AT459" s="592"/>
      <c r="AU459" s="592"/>
      <c r="AV459" s="592"/>
      <c r="AW459" s="592"/>
      <c r="AX459" s="592"/>
      <c r="AY459" s="592"/>
      <c r="AZ459" s="86"/>
      <c r="BA459" s="307"/>
      <c r="BB459" s="592"/>
      <c r="BC459" s="609"/>
      <c r="BO459" s="592"/>
    </row>
  </sheetData>
  <protectedRanges>
    <protectedRange sqref="I453:J459 U458:U459 J157 K140:K145 J139:J145 J136:K137" name="Bereich2_32_5_28_3" securityDescriptor=""/>
  </protectedRanges>
  <autoFilter ref="A48:BS164">
    <extLst/>
  </autoFilter>
  <mergeCells count="158">
    <mergeCell ref="BM37:BM38"/>
    <mergeCell ref="BN37:BN38"/>
    <mergeCell ref="BO37:BO38"/>
    <mergeCell ref="BP37:BP38"/>
    <mergeCell ref="BQ37:BQ38"/>
    <mergeCell ref="BR37:BR39"/>
    <mergeCell ref="G35:H36"/>
    <mergeCell ref="E45:H47"/>
    <mergeCell ref="BA37:BA38"/>
    <mergeCell ref="BB37:BB38"/>
    <mergeCell ref="BC37:BC38"/>
    <mergeCell ref="BD37:BD38"/>
    <mergeCell ref="BE37:BE38"/>
    <mergeCell ref="BI37:BI38"/>
    <mergeCell ref="BJ37:BJ38"/>
    <mergeCell ref="BK37:BK38"/>
    <mergeCell ref="BL37:BL38"/>
    <mergeCell ref="AP37:AP38"/>
    <mergeCell ref="AQ37:AQ38"/>
    <mergeCell ref="AR37:AR38"/>
    <mergeCell ref="AS37:AS38"/>
    <mergeCell ref="AT37:AT38"/>
    <mergeCell ref="AU37:AU38"/>
    <mergeCell ref="AV37:AV38"/>
    <mergeCell ref="AW37:AW38"/>
    <mergeCell ref="AX37:AX38"/>
    <mergeCell ref="E161:H161"/>
    <mergeCell ref="E162:H162"/>
    <mergeCell ref="E163:H163"/>
    <mergeCell ref="E164:H164"/>
    <mergeCell ref="A45:A47"/>
    <mergeCell ref="B45:B47"/>
    <mergeCell ref="D45:D47"/>
    <mergeCell ref="E37:E41"/>
    <mergeCell ref="E160:H160"/>
    <mergeCell ref="E136:H136"/>
    <mergeCell ref="E137:H137"/>
    <mergeCell ref="E138:H138"/>
    <mergeCell ref="E116:H116"/>
    <mergeCell ref="E117:H117"/>
    <mergeCell ref="E118:H118"/>
    <mergeCell ref="E119:H119"/>
    <mergeCell ref="E120:H120"/>
    <mergeCell ref="E121:H121"/>
    <mergeCell ref="E122:H122"/>
    <mergeCell ref="E123:H123"/>
    <mergeCell ref="E124:H124"/>
    <mergeCell ref="E107:H107"/>
    <mergeCell ref="I35:I36"/>
    <mergeCell ref="E152:H152"/>
    <mergeCell ref="E153:H153"/>
    <mergeCell ref="E154:H154"/>
    <mergeCell ref="E155:H155"/>
    <mergeCell ref="E156:H156"/>
    <mergeCell ref="E157:H157"/>
    <mergeCell ref="E158:H158"/>
    <mergeCell ref="E159:H159"/>
    <mergeCell ref="E139:H139"/>
    <mergeCell ref="E140:H140"/>
    <mergeCell ref="E141:H141"/>
    <mergeCell ref="E142:H142"/>
    <mergeCell ref="E143:H143"/>
    <mergeCell ref="E144:H144"/>
    <mergeCell ref="E145:H145"/>
    <mergeCell ref="E150:H150"/>
    <mergeCell ref="E151:H151"/>
    <mergeCell ref="E125:H125"/>
    <mergeCell ref="E126:H126"/>
    <mergeCell ref="E127:H127"/>
    <mergeCell ref="E128:H128"/>
    <mergeCell ref="E129:H129"/>
    <mergeCell ref="E130:H130"/>
    <mergeCell ref="E108:H108"/>
    <mergeCell ref="E109:H109"/>
    <mergeCell ref="E110:H110"/>
    <mergeCell ref="E111:H111"/>
    <mergeCell ref="E112:H112"/>
    <mergeCell ref="E113:H113"/>
    <mergeCell ref="E114:H114"/>
    <mergeCell ref="E115:H115"/>
    <mergeCell ref="E98:H98"/>
    <mergeCell ref="E99:H99"/>
    <mergeCell ref="E100:H100"/>
    <mergeCell ref="E101:H101"/>
    <mergeCell ref="E102:H102"/>
    <mergeCell ref="E103:H103"/>
    <mergeCell ref="E104:H104"/>
    <mergeCell ref="E105:H105"/>
    <mergeCell ref="E106:H106"/>
    <mergeCell ref="E89:H89"/>
    <mergeCell ref="E90:H90"/>
    <mergeCell ref="E91:H91"/>
    <mergeCell ref="E92:H92"/>
    <mergeCell ref="E93:H93"/>
    <mergeCell ref="E94:H94"/>
    <mergeCell ref="E95:H95"/>
    <mergeCell ref="E96:H96"/>
    <mergeCell ref="E97:H97"/>
    <mergeCell ref="E80:H80"/>
    <mergeCell ref="E81:H81"/>
    <mergeCell ref="E82:H82"/>
    <mergeCell ref="E83:H83"/>
    <mergeCell ref="E84:H84"/>
    <mergeCell ref="E85:H85"/>
    <mergeCell ref="E86:H86"/>
    <mergeCell ref="E87:H87"/>
    <mergeCell ref="E88:H88"/>
    <mergeCell ref="E71:H71"/>
    <mergeCell ref="E72:H72"/>
    <mergeCell ref="E73:H73"/>
    <mergeCell ref="E74:H74"/>
    <mergeCell ref="E75:H75"/>
    <mergeCell ref="E76:H76"/>
    <mergeCell ref="E77:H77"/>
    <mergeCell ref="E78:H78"/>
    <mergeCell ref="E79:H79"/>
    <mergeCell ref="E62:H62"/>
    <mergeCell ref="E63:H63"/>
    <mergeCell ref="E64:H64"/>
    <mergeCell ref="E65:H65"/>
    <mergeCell ref="E66:H66"/>
    <mergeCell ref="E67:H67"/>
    <mergeCell ref="E68:H68"/>
    <mergeCell ref="E69:H69"/>
    <mergeCell ref="E70:H70"/>
    <mergeCell ref="E53:H53"/>
    <mergeCell ref="E54:H54"/>
    <mergeCell ref="E55:H55"/>
    <mergeCell ref="E56:H56"/>
    <mergeCell ref="E57:H57"/>
    <mergeCell ref="E58:H58"/>
    <mergeCell ref="E59:H59"/>
    <mergeCell ref="E60:H60"/>
    <mergeCell ref="E61:H61"/>
    <mergeCell ref="G33:H33"/>
    <mergeCell ref="AI33:AT33"/>
    <mergeCell ref="J45:AE45"/>
    <mergeCell ref="S46:Y46"/>
    <mergeCell ref="Z46:AA46"/>
    <mergeCell ref="E49:H49"/>
    <mergeCell ref="E50:H50"/>
    <mergeCell ref="E51:H51"/>
    <mergeCell ref="E52:H52"/>
    <mergeCell ref="J46:J47"/>
    <mergeCell ref="K46:K47"/>
    <mergeCell ref="M46:M47"/>
    <mergeCell ref="O46:O47"/>
    <mergeCell ref="AC46:AC47"/>
    <mergeCell ref="AE46:AE47"/>
    <mergeCell ref="AG46:AG47"/>
    <mergeCell ref="AH45:AH46"/>
    <mergeCell ref="AI37:AI39"/>
    <mergeCell ref="AJ45:AJ47"/>
    <mergeCell ref="AK37:AK38"/>
    <mergeCell ref="AL37:AL38"/>
    <mergeCell ref="AM37:AM38"/>
    <mergeCell ref="AN37:AN38"/>
    <mergeCell ref="AO37:AO38"/>
  </mergeCells>
  <phoneticPr fontId="7" type="noConversion"/>
  <conditionalFormatting sqref="AE49">
    <cfRule type="cellIs" dxfId="50" priority="4" stopIfTrue="1" operator="equal">
      <formula>"tbc"</formula>
    </cfRule>
  </conditionalFormatting>
  <conditionalFormatting sqref="AF59">
    <cfRule type="cellIs" dxfId="49" priority="29" stopIfTrue="1" operator="equal">
      <formula>"tbc"</formula>
    </cfRule>
  </conditionalFormatting>
  <conditionalFormatting sqref="AF64">
    <cfRule type="cellIs" dxfId="48" priority="24" stopIfTrue="1" operator="equal">
      <formula>"tbc"</formula>
    </cfRule>
  </conditionalFormatting>
  <conditionalFormatting sqref="J66">
    <cfRule type="expression" dxfId="47" priority="6" stopIfTrue="1">
      <formula>OR((K66="Closed"),(K66="Monitor"))</formula>
    </cfRule>
    <cfRule type="expression" dxfId="46" priority="7" stopIfTrue="1">
      <formula>OR(K66=" ")</formula>
    </cfRule>
  </conditionalFormatting>
  <conditionalFormatting sqref="AM69">
    <cfRule type="cellIs" dxfId="45" priority="30" stopIfTrue="1" operator="equal">
      <formula>"C"</formula>
    </cfRule>
    <cfRule type="cellIs" dxfId="44" priority="31" stopIfTrue="1" operator="equal">
      <formula>"R"</formula>
    </cfRule>
  </conditionalFormatting>
  <conditionalFormatting sqref="AF118">
    <cfRule type="cellIs" dxfId="43" priority="34" stopIfTrue="1" operator="equal">
      <formula>"tbc"</formula>
    </cfRule>
  </conditionalFormatting>
  <conditionalFormatting sqref="Z150">
    <cfRule type="expression" dxfId="42" priority="35" stopIfTrue="1">
      <formula>OR((AE150="Closed"),(AE150="Monitor"))</formula>
    </cfRule>
    <cfRule type="expression" dxfId="41" priority="36" stopIfTrue="1">
      <formula>OR(AE150=" ")</formula>
    </cfRule>
  </conditionalFormatting>
  <conditionalFormatting sqref="AA150:AB150">
    <cfRule type="expression" dxfId="40" priority="10" stopIfTrue="1">
      <formula>OR((AE150="Closed"),(AE150="Monitor"))</formula>
    </cfRule>
    <cfRule type="expression" dxfId="39" priority="11" stopIfTrue="1">
      <formula>OR(AE150=" ")</formula>
    </cfRule>
  </conditionalFormatting>
  <conditionalFormatting sqref="Z151">
    <cfRule type="expression" dxfId="38" priority="37" stopIfTrue="1">
      <formula>OR((AE151="Closed"),(AE151="Monitor"))</formula>
    </cfRule>
    <cfRule type="expression" dxfId="37" priority="38" stopIfTrue="1">
      <formula>OR(AE151=" ")</formula>
    </cfRule>
  </conditionalFormatting>
  <conditionalFormatting sqref="AA151:AB151">
    <cfRule type="expression" dxfId="36" priority="12" stopIfTrue="1">
      <formula>OR((AE151="Closed"),(AE151="Monitor"))</formula>
    </cfRule>
    <cfRule type="expression" dxfId="35" priority="13" stopIfTrue="1">
      <formula>OR(AE151=" ")</formula>
    </cfRule>
  </conditionalFormatting>
  <conditionalFormatting sqref="Z152">
    <cfRule type="expression" dxfId="34" priority="39" stopIfTrue="1">
      <formula>OR((AE152="Closed"),(AE152="Monitor"))</formula>
    </cfRule>
    <cfRule type="expression" dxfId="33" priority="40" stopIfTrue="1">
      <formula>OR(AE152=" ")</formula>
    </cfRule>
  </conditionalFormatting>
  <conditionalFormatting sqref="AA152:AB152">
    <cfRule type="expression" dxfId="32" priority="14" stopIfTrue="1">
      <formula>OR((AE152="Closed"),(AE152="Monitor"))</formula>
    </cfRule>
    <cfRule type="expression" dxfId="31" priority="15" stopIfTrue="1">
      <formula>OR(AE152=" ")</formula>
    </cfRule>
  </conditionalFormatting>
  <conditionalFormatting sqref="AK160:AK163">
    <cfRule type="cellIs" dxfId="30" priority="22" stopIfTrue="1" operator="equal">
      <formula>"C"</formula>
    </cfRule>
    <cfRule type="cellIs" dxfId="29" priority="23" stopIfTrue="1" operator="equal">
      <formula>"R"</formula>
    </cfRule>
  </conditionalFormatting>
  <conditionalFormatting sqref="AC1:AF31 AC42:AF44 AC166:AF452 AC49:AD49 AC46:AF46 AF45 AC460:AF65536 AC47 AE47:AF47 AC53:AD56 AC138:AD138 AF49:AF57 AF138">
    <cfRule type="cellIs" dxfId="28" priority="3" stopIfTrue="1" operator="equal">
      <formula>"tbc"</formula>
    </cfRule>
  </conditionalFormatting>
  <conditionalFormatting sqref="J135 A133:B134 BI164 BI159 BR159 BR164 BR150:BR156 AK159:AL159 AK164:AL164 AK50:AK53 AJ49:AN49 K133:K135 AL51:AO53 AT71 AT73 AL69 AN69:AO69 AQ72:AT72 AK98:AK131 AL70:AO131 AQ77:AQ131 AT69:AU69 AT49:AV49 AT59:AU59 AT64:AU66 AU71:AU73 AT75:AU75 AT78:AU91 AQ76:AU76 AR96:AU131 AT94:AU94 AP49 AL50:AU50 AY46:AY48 AV50:AV53 AW49:AW53 AS453:BC459 BO453:BO459 D133:J134 BS158:BS164 BJ158:BQ164 AM158:AY164 AJ158:AJ164 BA150:BF164 BI150:BN157 AJ136:AU137 AJ150:AU157 AX136:AY137 AX150:AY157 BR157:BS157 AV139:AW157 AX139:AY146 AJ139:AU146 AK57:AK86 AK54:AO56 AL57:AO68 AJ50:AJ131 BI57:BN131 BI136:BN146 BR57:BR131 BR136:BR146 AP51:AP131 AU51:AU56 BA46:BF131 BA136:BF146 AX49:AY131 BI49:BS56 BS57:BS156 AV54:AW137 BO57:BQ157 AQ57:AQ61 AQ53:AT56 AR57:AU57 AJ138:AY138 M133:AD135">
    <cfRule type="cellIs" dxfId="27" priority="1" stopIfTrue="1" operator="equal">
      <formula>"C"</formula>
    </cfRule>
    <cfRule type="cellIs" dxfId="26" priority="2" stopIfTrue="1" operator="equal">
      <formula>"R"</formula>
    </cfRule>
  </conditionalFormatting>
  <conditionalFormatting sqref="AR75:AS75 AR77:AS91 AR94:AS94 AO49 AR59:AS59 AR64:AS66 AR68:AS69 AR71:AS71 AR73:AS73 AQ49:AS49 AR70:AU70 AR74:AU74 AT77:AU77">
    <cfRule type="cellIs" dxfId="25" priority="27" stopIfTrue="1" operator="equal">
      <formula>"C"</formula>
    </cfRule>
    <cfRule type="cellIs" dxfId="24" priority="28" stopIfTrue="1" operator="equal">
      <formula>"R"</formula>
    </cfRule>
  </conditionalFormatting>
  <conditionalFormatting sqref="AQ51:AT52 AQ64:AQ71 AQ62:AS63 AQ73:AQ75 AR58:AU58 AR60:AU60 AR61:AS61 AT61:AU63 AR67:AU67 AT68:AU68 AR92:AU93 AR95:AU95">
    <cfRule type="cellIs" dxfId="23" priority="25" stopIfTrue="1" operator="equal">
      <formula>"C"</formula>
    </cfRule>
    <cfRule type="cellIs" dxfId="22" priority="26" stopIfTrue="1" operator="equal">
      <formula>"R"</formula>
    </cfRule>
  </conditionalFormatting>
  <conditionalFormatting sqref="AF60:AF63 AF65:AF66 AF68:AF69 AF92:AF93 AF95:AF96 AF150:AF151 AF153 AF158 AF101 AF72:AF80 AF84:AF86 AF117">
    <cfRule type="cellIs" dxfId="21" priority="5" stopIfTrue="1" operator="equal">
      <formula>"tbc"</formula>
    </cfRule>
  </conditionalFormatting>
  <conditionalFormatting sqref="J68:J69 J73:J74">
    <cfRule type="expression" dxfId="20" priority="8" stopIfTrue="1">
      <formula>OR((K68="Closed"),(K68="Monitor"))</formula>
    </cfRule>
    <cfRule type="expression" dxfId="19" priority="9" stopIfTrue="1">
      <formula>OR(K68=" ")</formula>
    </cfRule>
  </conditionalFormatting>
  <conditionalFormatting sqref="Z164 Z153 Z155:Z156 Z158">
    <cfRule type="expression" dxfId="18" priority="41" stopIfTrue="1">
      <formula>OR((AE153="Closed"),(AE153="Monitor"))</formula>
    </cfRule>
    <cfRule type="expression" dxfId="17" priority="42" stopIfTrue="1">
      <formula>OR(AE153=" ")</formula>
    </cfRule>
  </conditionalFormatting>
  <conditionalFormatting sqref="AA164:AB164 AA153:AB156 AA158:AB158">
    <cfRule type="expression" dxfId="16" priority="16" stopIfTrue="1">
      <formula>OR((AE153="Closed"),(AE153="Monitor"))</formula>
    </cfRule>
    <cfRule type="expression" dxfId="15" priority="17" stopIfTrue="1">
      <formula>OR(AE153=" ")</formula>
    </cfRule>
  </conditionalFormatting>
  <conditionalFormatting sqref="BI158 BR158 AK158:AL158">
    <cfRule type="cellIs" dxfId="14" priority="18" stopIfTrue="1" operator="equal">
      <formula>"C"</formula>
    </cfRule>
    <cfRule type="cellIs" dxfId="13" priority="19" stopIfTrue="1" operator="equal">
      <formula>"R"</formula>
    </cfRule>
  </conditionalFormatting>
  <conditionalFormatting sqref="BI160:BI163 BR160:BR163 AL160:AL163">
    <cfRule type="cellIs" dxfId="12" priority="20" stopIfTrue="1" operator="equal">
      <formula>"C"</formula>
    </cfRule>
    <cfRule type="cellIs" dxfId="11" priority="21" stopIfTrue="1" operator="equal">
      <formula>"R"</formula>
    </cfRule>
  </conditionalFormatting>
  <conditionalFormatting sqref="AA453:AP459">
    <cfRule type="cellIs" dxfId="10" priority="32" stopIfTrue="1" operator="equal">
      <formula>"C"</formula>
    </cfRule>
    <cfRule type="cellIs" dxfId="9" priority="33" stopIfTrue="1" operator="equal">
      <formula>"R"</formula>
    </cfRule>
  </conditionalFormatting>
  <hyperlinks>
    <hyperlink ref="AH51" r:id="rId1"/>
    <hyperlink ref="AH54" r:id="rId2"/>
  </hyperlinks>
  <printOptions horizontalCentered="1"/>
  <pageMargins left="0.11944444444444401" right="0.15972222222222199" top="0.23958333333333301" bottom="0.389583333333333" header="0.23958333333333301" footer="0.23958333333333301"/>
  <pageSetup paperSize="8" scale="42" fitToHeight="10" orientation="landscape"/>
  <headerFooter alignWithMargins="0">
    <oddFooter>&amp;L&amp;"Arial,Fett"Prepared:
wheytens / hoeztu11
8704 6614 / 87031782&amp;CPage &amp;P of &amp;N
Ford Confidential&amp;R &amp;D</oddFooter>
  </headerFooter>
  <colBreaks count="2" manualBreakCount="2">
    <brk id="4" max="181" man="1"/>
    <brk id="69" max="181" man="1"/>
  </colBreaks>
  <drawing r:id="rId3"/>
  <legacyDrawing r:id="rId4"/>
</worksheet>
</file>

<file path=xl/worksheets/sheet3.xml><?xml version="1.0" encoding="utf-8"?>
<worksheet xmlns="http://schemas.openxmlformats.org/spreadsheetml/2006/main" xmlns:r="http://schemas.openxmlformats.org/officeDocument/2006/relationships">
  <sheetPr filterMode="1">
    <pageSetUpPr fitToPage="1"/>
  </sheetPr>
  <dimension ref="A1:KA165"/>
  <sheetViews>
    <sheetView showGridLines="0" topLeftCell="A27" zoomScale="70" zoomScaleNormal="70" workbookViewId="0">
      <selection activeCell="GQ44" sqref="GQ44"/>
    </sheetView>
  </sheetViews>
  <sheetFormatPr defaultColWidth="9.140625" defaultRowHeight="12.75"/>
  <cols>
    <col min="1" max="1" width="7.140625" style="20" customWidth="1"/>
    <col min="2" max="2" width="12.7109375" customWidth="1"/>
    <col min="3" max="3" width="9.5703125" customWidth="1"/>
    <col min="4" max="4" width="19.42578125" customWidth="1"/>
    <col min="5" max="5" width="15" style="20" customWidth="1"/>
    <col min="6" max="9" width="15" style="20" hidden="1" customWidth="1"/>
    <col min="10" max="10" width="14.140625" style="20" hidden="1" customWidth="1"/>
    <col min="11" max="11" width="10.7109375" style="20" hidden="1" customWidth="1"/>
    <col min="12" max="20" width="10.7109375" style="20" customWidth="1"/>
    <col min="21" max="21" width="13.42578125" style="20" customWidth="1"/>
    <col min="22" max="192" width="6.7109375" style="22" hidden="1" customWidth="1"/>
    <col min="193" max="199" width="6.7109375" style="22" customWidth="1"/>
    <col min="200" max="204" width="6.7109375" style="22" hidden="1" customWidth="1"/>
    <col min="205" max="205" width="46.42578125" customWidth="1"/>
    <col min="206" max="206" width="32" customWidth="1"/>
    <col min="207" max="208" width="32" style="22" customWidth="1"/>
    <col min="209" max="209" width="22" style="22" customWidth="1"/>
    <col min="210" max="210" width="32" style="22" customWidth="1"/>
    <col min="211" max="16384" width="9.140625" style="22"/>
  </cols>
  <sheetData>
    <row r="1" spans="1:204" ht="13.5" customHeight="1" thickTop="1">
      <c r="A1" s="23"/>
      <c r="B1" s="24"/>
      <c r="C1" s="25"/>
      <c r="D1" s="25"/>
      <c r="E1" s="183"/>
      <c r="F1" s="183"/>
      <c r="G1" s="183"/>
      <c r="H1" s="183"/>
      <c r="I1" s="183"/>
      <c r="J1" s="183"/>
      <c r="K1" s="183"/>
      <c r="L1" s="183"/>
      <c r="M1" s="183"/>
      <c r="N1" s="183"/>
      <c r="O1" s="183"/>
      <c r="P1" s="183"/>
      <c r="Q1" s="183"/>
      <c r="R1" s="183"/>
      <c r="S1" s="183"/>
      <c r="T1" s="183"/>
      <c r="U1" s="183"/>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row>
    <row r="2" spans="1:204">
      <c r="A2" s="27"/>
      <c r="B2" s="28"/>
      <c r="C2" s="29"/>
      <c r="D2" s="29"/>
      <c r="E2" s="184"/>
      <c r="F2" s="184"/>
      <c r="G2" s="184"/>
      <c r="H2" s="184"/>
      <c r="I2" s="184"/>
      <c r="J2" s="184"/>
      <c r="K2" s="184"/>
      <c r="L2" s="184"/>
      <c r="M2" s="184"/>
      <c r="N2" s="184"/>
      <c r="O2" s="184"/>
      <c r="P2" s="184"/>
      <c r="Q2" s="184"/>
      <c r="R2" s="184"/>
      <c r="S2" s="184"/>
      <c r="T2" s="184"/>
      <c r="U2" s="184"/>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row>
    <row r="3" spans="1:204">
      <c r="A3" s="27"/>
      <c r="B3" s="31"/>
      <c r="C3" s="32"/>
      <c r="D3" s="32"/>
      <c r="E3" s="184"/>
      <c r="F3" s="184"/>
      <c r="G3" s="184"/>
      <c r="H3" s="184"/>
      <c r="I3" s="184"/>
      <c r="J3" s="184"/>
      <c r="K3" s="184"/>
      <c r="L3" s="184"/>
      <c r="M3" s="184"/>
      <c r="N3" s="184"/>
      <c r="O3" s="184"/>
      <c r="P3" s="184"/>
      <c r="Q3" s="184"/>
      <c r="R3" s="184"/>
      <c r="S3" s="184"/>
      <c r="T3" s="184"/>
      <c r="U3" s="184"/>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row>
    <row r="4" spans="1:204">
      <c r="A4" s="27"/>
      <c r="B4" s="31"/>
      <c r="C4" s="32"/>
      <c r="D4" s="32"/>
      <c r="E4" s="184"/>
      <c r="F4" s="184"/>
      <c r="G4" s="184"/>
      <c r="H4" s="184"/>
      <c r="I4" s="184"/>
      <c r="J4" s="184"/>
      <c r="K4" s="184"/>
      <c r="L4" s="184"/>
      <c r="M4" s="184"/>
      <c r="N4" s="184"/>
      <c r="O4" s="184"/>
      <c r="P4" s="184"/>
      <c r="Q4" s="184"/>
      <c r="R4" s="184"/>
      <c r="S4" s="184"/>
      <c r="T4" s="184"/>
      <c r="U4" s="184"/>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row>
    <row r="5" spans="1:204">
      <c r="A5" s="27"/>
      <c r="B5" s="31"/>
      <c r="C5" s="32"/>
      <c r="D5" s="32"/>
      <c r="E5" s="184"/>
      <c r="F5" s="184"/>
      <c r="G5" s="184"/>
      <c r="H5" s="184"/>
      <c r="I5" s="184"/>
      <c r="J5" s="184"/>
      <c r="K5" s="184"/>
      <c r="L5" s="184"/>
      <c r="M5" s="184"/>
      <c r="N5" s="184"/>
      <c r="O5" s="184"/>
      <c r="P5" s="184"/>
      <c r="Q5" s="184"/>
      <c r="R5" s="184"/>
      <c r="S5" s="184"/>
      <c r="T5" s="184"/>
      <c r="U5" s="184"/>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row>
    <row r="6" spans="1:204">
      <c r="A6" s="27"/>
      <c r="B6" s="31"/>
      <c r="C6" s="32"/>
      <c r="D6" s="32"/>
      <c r="E6" s="184"/>
      <c r="F6" s="184"/>
      <c r="G6" s="184"/>
      <c r="H6" s="184"/>
      <c r="I6" s="184"/>
      <c r="J6" s="184"/>
      <c r="K6" s="184"/>
      <c r="L6" s="184"/>
      <c r="M6" s="184"/>
      <c r="N6" s="184"/>
      <c r="O6" s="184"/>
      <c r="P6" s="184"/>
      <c r="Q6" s="184"/>
      <c r="R6" s="184"/>
      <c r="S6" s="184"/>
      <c r="T6" s="184"/>
      <c r="U6" s="184"/>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2"/>
      <c r="GJ6" s="32"/>
      <c r="GK6" s="32"/>
      <c r="GL6" s="32"/>
      <c r="GM6" s="32"/>
      <c r="GN6" s="32"/>
      <c r="GO6" s="32"/>
      <c r="GP6" s="32"/>
      <c r="GQ6" s="32"/>
      <c r="GR6" s="32"/>
      <c r="GS6" s="32"/>
      <c r="GT6" s="32"/>
      <c r="GU6" s="32"/>
      <c r="GV6" s="32"/>
    </row>
    <row r="7" spans="1:204">
      <c r="A7" s="27"/>
      <c r="B7" s="31"/>
      <c r="C7" s="32"/>
      <c r="D7" s="32"/>
      <c r="E7" s="184"/>
      <c r="F7" s="184"/>
      <c r="G7" s="184"/>
      <c r="H7" s="184"/>
      <c r="I7" s="184"/>
      <c r="J7" s="184"/>
      <c r="K7" s="184"/>
      <c r="L7" s="184"/>
      <c r="M7" s="184"/>
      <c r="N7" s="184"/>
      <c r="O7" s="184"/>
      <c r="P7" s="184"/>
      <c r="Q7" s="184"/>
      <c r="R7" s="184"/>
      <c r="S7" s="184"/>
      <c r="T7" s="184"/>
      <c r="U7" s="184"/>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2"/>
      <c r="GJ7" s="32"/>
      <c r="GK7" s="32"/>
      <c r="GL7" s="32"/>
      <c r="GM7" s="32"/>
      <c r="GN7" s="32"/>
      <c r="GO7" s="32"/>
      <c r="GP7" s="32"/>
      <c r="GQ7" s="32"/>
      <c r="GR7" s="32"/>
      <c r="GS7" s="32"/>
      <c r="GT7" s="32"/>
      <c r="GU7" s="32"/>
      <c r="GV7" s="32"/>
    </row>
    <row r="8" spans="1:204" ht="15">
      <c r="A8" s="33"/>
      <c r="B8" s="34"/>
      <c r="C8" s="35"/>
      <c r="D8" s="35"/>
      <c r="E8" s="184"/>
      <c r="F8" s="184"/>
      <c r="G8" s="184"/>
      <c r="H8" s="184"/>
      <c r="I8" s="184"/>
      <c r="J8" s="184"/>
      <c r="K8" s="184"/>
      <c r="L8" s="184"/>
      <c r="M8" s="184"/>
      <c r="N8" s="184"/>
      <c r="O8" s="184"/>
      <c r="P8" s="184"/>
      <c r="Q8" s="184"/>
      <c r="R8" s="184"/>
      <c r="S8" s="184"/>
      <c r="T8" s="184"/>
      <c r="U8" s="184"/>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c r="EP8" s="32"/>
      <c r="EQ8" s="32"/>
      <c r="ER8" s="32"/>
      <c r="ES8" s="32"/>
      <c r="ET8" s="32"/>
      <c r="EU8" s="32"/>
      <c r="EV8" s="32"/>
      <c r="EW8" s="32"/>
      <c r="EX8" s="32"/>
      <c r="EY8" s="32"/>
      <c r="EZ8" s="32"/>
      <c r="FA8" s="32"/>
      <c r="FB8" s="32"/>
      <c r="FC8" s="32"/>
      <c r="FD8" s="32"/>
      <c r="FE8" s="32"/>
      <c r="FF8" s="32"/>
      <c r="FG8" s="32"/>
      <c r="FH8" s="32"/>
      <c r="FI8" s="32"/>
      <c r="FJ8" s="32"/>
      <c r="FK8" s="32"/>
      <c r="FL8" s="32"/>
      <c r="FM8" s="32"/>
      <c r="FN8" s="32"/>
      <c r="FO8" s="32"/>
      <c r="FP8" s="32"/>
      <c r="FQ8" s="32"/>
      <c r="FR8" s="32"/>
      <c r="FS8" s="32"/>
      <c r="FT8" s="32"/>
      <c r="FU8" s="32"/>
      <c r="FV8" s="32"/>
      <c r="FW8" s="32"/>
      <c r="FX8" s="32"/>
      <c r="FY8" s="32"/>
      <c r="FZ8" s="32"/>
      <c r="GA8" s="32"/>
      <c r="GB8" s="32"/>
      <c r="GC8" s="32"/>
      <c r="GD8" s="32"/>
      <c r="GE8" s="32"/>
      <c r="GF8" s="32"/>
      <c r="GG8" s="32"/>
      <c r="GH8" s="32"/>
      <c r="GI8" s="32"/>
      <c r="GJ8" s="32"/>
      <c r="GK8" s="32"/>
      <c r="GL8" s="32"/>
      <c r="GM8" s="32"/>
      <c r="GN8" s="32"/>
      <c r="GO8" s="32"/>
      <c r="GP8" s="32"/>
      <c r="GQ8" s="32"/>
      <c r="GR8" s="32"/>
      <c r="GS8" s="32"/>
      <c r="GT8" s="32"/>
      <c r="GU8" s="32"/>
      <c r="GV8" s="32"/>
    </row>
    <row r="9" spans="1:204" ht="15">
      <c r="A9" s="27"/>
      <c r="B9" s="34"/>
      <c r="C9" s="35"/>
      <c r="D9" s="35"/>
      <c r="E9" s="184"/>
      <c r="F9" s="184"/>
      <c r="G9" s="184"/>
      <c r="H9" s="184"/>
      <c r="I9" s="184"/>
      <c r="J9" s="184"/>
      <c r="K9" s="184"/>
      <c r="L9" s="184"/>
      <c r="M9" s="184"/>
      <c r="N9" s="184"/>
      <c r="O9" s="184"/>
      <c r="P9" s="184"/>
      <c r="Q9" s="184"/>
      <c r="R9" s="184"/>
      <c r="S9" s="184"/>
      <c r="T9" s="184"/>
      <c r="U9" s="184"/>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c r="EP9" s="32"/>
      <c r="EQ9" s="32"/>
      <c r="ER9" s="32"/>
      <c r="ES9" s="32"/>
      <c r="ET9" s="32"/>
      <c r="EU9" s="32"/>
      <c r="EV9" s="32"/>
      <c r="EW9" s="32"/>
      <c r="EX9" s="32"/>
      <c r="EY9" s="32"/>
      <c r="EZ9" s="32"/>
      <c r="FA9" s="32"/>
      <c r="FB9" s="32"/>
      <c r="FC9" s="32"/>
      <c r="FD9" s="32"/>
      <c r="FE9" s="32"/>
      <c r="FF9" s="32"/>
      <c r="FG9" s="32"/>
      <c r="FH9" s="32"/>
      <c r="FI9" s="32"/>
      <c r="FJ9" s="32"/>
      <c r="FK9" s="32"/>
      <c r="FL9" s="32"/>
      <c r="FM9" s="32"/>
      <c r="FN9" s="32"/>
      <c r="FO9" s="32"/>
      <c r="FP9" s="32"/>
      <c r="FQ9" s="32"/>
      <c r="FR9" s="32"/>
      <c r="FS9" s="32"/>
      <c r="FT9" s="32"/>
      <c r="FU9" s="32"/>
      <c r="FV9" s="32"/>
      <c r="FW9" s="32"/>
      <c r="FX9" s="32"/>
      <c r="FY9" s="32"/>
      <c r="FZ9" s="32"/>
      <c r="GA9" s="32"/>
      <c r="GB9" s="32"/>
      <c r="GC9" s="32"/>
      <c r="GD9" s="32"/>
      <c r="GE9" s="32"/>
      <c r="GF9" s="32"/>
      <c r="GG9" s="32"/>
      <c r="GH9" s="32"/>
      <c r="GI9" s="32"/>
      <c r="GJ9" s="32"/>
      <c r="GK9" s="32"/>
      <c r="GL9" s="32"/>
      <c r="GM9" s="32"/>
      <c r="GN9" s="32"/>
      <c r="GO9" s="32"/>
      <c r="GP9" s="32"/>
      <c r="GQ9" s="32"/>
      <c r="GR9" s="32"/>
      <c r="GS9" s="32"/>
      <c r="GT9" s="32"/>
      <c r="GU9" s="32"/>
      <c r="GV9" s="32"/>
    </row>
    <row r="10" spans="1:204" ht="15">
      <c r="A10" s="27"/>
      <c r="B10" s="34"/>
      <c r="C10" s="35"/>
      <c r="D10" s="35"/>
      <c r="E10" s="184"/>
      <c r="F10" s="184"/>
      <c r="G10" s="184"/>
      <c r="H10" s="184"/>
      <c r="I10" s="184"/>
      <c r="J10" s="184"/>
      <c r="K10" s="184"/>
      <c r="L10" s="184"/>
      <c r="M10" s="184"/>
      <c r="N10" s="184"/>
      <c r="O10" s="184"/>
      <c r="P10" s="184"/>
      <c r="Q10" s="184"/>
      <c r="R10" s="184"/>
      <c r="S10" s="184"/>
      <c r="T10" s="184"/>
      <c r="U10" s="184"/>
      <c r="V10" s="32"/>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32"/>
      <c r="BD10" s="32"/>
      <c r="BE10" s="32"/>
      <c r="BF10" s="32"/>
      <c r="BG10" s="32"/>
      <c r="BH10" s="32"/>
      <c r="BI10" s="32"/>
      <c r="BJ10" s="32"/>
      <c r="BK10" s="32"/>
      <c r="BL10" s="32"/>
      <c r="BM10" s="32"/>
      <c r="BN10" s="32"/>
      <c r="BO10" s="32"/>
      <c r="BP10" s="32"/>
      <c r="BQ10" s="32"/>
      <c r="BR10" s="32"/>
      <c r="BS10" s="32"/>
      <c r="BT10" s="32"/>
      <c r="BU10" s="32"/>
      <c r="BV10" s="32"/>
      <c r="BW10" s="32"/>
      <c r="BX10" s="32"/>
      <c r="BY10" s="32"/>
      <c r="BZ10" s="32"/>
      <c r="CA10" s="32"/>
      <c r="CB10" s="32"/>
      <c r="CC10" s="32"/>
      <c r="CD10" s="32"/>
      <c r="CE10" s="32"/>
      <c r="CF10" s="32"/>
      <c r="CG10" s="32"/>
      <c r="CH10" s="32"/>
      <c r="CI10" s="32"/>
      <c r="CJ10" s="32"/>
      <c r="CK10" s="32"/>
      <c r="CL10" s="32"/>
      <c r="CM10" s="32"/>
      <c r="CN10" s="32"/>
      <c r="CO10" s="32"/>
      <c r="CP10" s="32"/>
      <c r="CQ10" s="32"/>
      <c r="CR10" s="32"/>
      <c r="CS10" s="32"/>
      <c r="CT10" s="32"/>
      <c r="CU10" s="32"/>
      <c r="CV10" s="32"/>
      <c r="CW10" s="32"/>
      <c r="CX10" s="32"/>
      <c r="CY10" s="32"/>
      <c r="CZ10" s="32"/>
      <c r="DA10" s="32"/>
      <c r="DB10" s="32"/>
      <c r="DC10" s="32"/>
      <c r="DD10" s="32"/>
      <c r="DE10" s="32"/>
      <c r="DF10" s="32"/>
      <c r="DG10" s="32"/>
      <c r="DH10" s="32"/>
      <c r="DI10" s="32"/>
      <c r="DJ10" s="32"/>
      <c r="DK10" s="32"/>
      <c r="DL10" s="32"/>
      <c r="DM10" s="32"/>
      <c r="DN10" s="32"/>
      <c r="DO10" s="32"/>
      <c r="DP10" s="32"/>
      <c r="DQ10" s="32"/>
      <c r="DR10" s="32"/>
      <c r="DS10" s="32"/>
      <c r="DT10" s="32"/>
      <c r="DU10" s="32"/>
      <c r="DV10" s="32"/>
      <c r="DW10" s="32"/>
      <c r="DX10" s="32"/>
      <c r="DY10" s="32"/>
      <c r="DZ10" s="32"/>
      <c r="EA10" s="32"/>
      <c r="EB10" s="32"/>
      <c r="EC10" s="32"/>
      <c r="ED10" s="32"/>
      <c r="EE10" s="32"/>
      <c r="EF10" s="32"/>
      <c r="EG10" s="32"/>
      <c r="EH10" s="32"/>
      <c r="EI10" s="32"/>
      <c r="EJ10" s="32"/>
      <c r="EK10" s="32"/>
      <c r="EL10" s="32"/>
      <c r="EM10" s="32"/>
      <c r="EN10" s="32"/>
      <c r="EO10" s="32"/>
      <c r="EP10" s="32"/>
      <c r="EQ10" s="32"/>
      <c r="ER10" s="32"/>
      <c r="ES10" s="32"/>
      <c r="ET10" s="32"/>
      <c r="EU10" s="32"/>
      <c r="EV10" s="32"/>
      <c r="EW10" s="32"/>
      <c r="EX10" s="32"/>
      <c r="EY10" s="32"/>
      <c r="EZ10" s="32"/>
      <c r="FA10" s="32"/>
      <c r="FB10" s="32"/>
      <c r="FC10" s="32"/>
      <c r="FD10" s="32"/>
      <c r="FE10" s="32"/>
      <c r="FF10" s="32"/>
      <c r="FG10" s="32"/>
      <c r="FH10" s="32"/>
      <c r="FI10" s="32"/>
      <c r="FJ10" s="32"/>
      <c r="FK10" s="32"/>
      <c r="FL10" s="32"/>
      <c r="FM10" s="32"/>
      <c r="FN10" s="32"/>
      <c r="FO10" s="32"/>
      <c r="FP10" s="32"/>
      <c r="FQ10" s="32"/>
      <c r="FR10" s="32"/>
      <c r="FS10" s="32"/>
      <c r="FT10" s="32"/>
      <c r="FU10" s="32"/>
      <c r="FV10" s="32"/>
      <c r="FW10" s="32"/>
      <c r="FX10" s="32"/>
      <c r="FY10" s="32"/>
      <c r="FZ10" s="32"/>
      <c r="GA10" s="32"/>
      <c r="GB10" s="32"/>
      <c r="GC10" s="32"/>
      <c r="GD10" s="32"/>
      <c r="GE10" s="32"/>
      <c r="GF10" s="32"/>
      <c r="GG10" s="32"/>
      <c r="GH10" s="32"/>
      <c r="GI10" s="32"/>
      <c r="GJ10" s="32"/>
      <c r="GK10" s="32"/>
      <c r="GL10" s="32"/>
      <c r="GM10" s="32"/>
      <c r="GN10" s="32"/>
      <c r="GO10" s="32"/>
      <c r="GP10" s="32"/>
      <c r="GQ10" s="32"/>
      <c r="GR10" s="32"/>
      <c r="GS10" s="32"/>
      <c r="GT10" s="32"/>
      <c r="GU10" s="32"/>
      <c r="GV10" s="32"/>
    </row>
    <row r="11" spans="1:204" ht="15">
      <c r="A11" s="27"/>
      <c r="B11" s="34"/>
      <c r="C11" s="35"/>
      <c r="D11" s="35"/>
      <c r="E11" s="184"/>
      <c r="F11" s="184"/>
      <c r="G11" s="184"/>
      <c r="H11" s="184"/>
      <c r="I11" s="184"/>
      <c r="J11" s="184"/>
      <c r="K11" s="184"/>
      <c r="L11" s="184"/>
      <c r="M11" s="184"/>
      <c r="N11" s="184"/>
      <c r="O11" s="184"/>
      <c r="P11" s="184"/>
      <c r="Q11" s="184"/>
      <c r="R11" s="184"/>
      <c r="S11" s="184"/>
      <c r="T11" s="184"/>
      <c r="U11" s="184"/>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c r="GV11" s="32"/>
    </row>
    <row r="12" spans="1:204" ht="15">
      <c r="A12" s="27"/>
      <c r="B12" s="34"/>
      <c r="C12" s="35"/>
      <c r="D12" s="35"/>
      <c r="E12" s="184"/>
      <c r="F12" s="184"/>
      <c r="G12" s="184"/>
      <c r="H12" s="184"/>
      <c r="I12" s="184"/>
      <c r="J12" s="184"/>
      <c r="K12" s="184"/>
      <c r="L12" s="184"/>
      <c r="M12" s="184"/>
      <c r="N12" s="184"/>
      <c r="O12" s="184"/>
      <c r="P12" s="184"/>
      <c r="Q12" s="184"/>
      <c r="R12" s="184"/>
      <c r="S12" s="184"/>
      <c r="T12" s="184"/>
      <c r="U12" s="184"/>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2"/>
      <c r="GJ12" s="32"/>
      <c r="GK12" s="32"/>
      <c r="GL12" s="32"/>
      <c r="GM12" s="32"/>
      <c r="GN12" s="32"/>
      <c r="GO12" s="32"/>
      <c r="GP12" s="32"/>
      <c r="GQ12" s="32"/>
      <c r="GR12" s="32"/>
      <c r="GS12" s="32"/>
      <c r="GT12" s="32"/>
      <c r="GU12" s="32"/>
      <c r="GV12" s="32"/>
    </row>
    <row r="13" spans="1:204" ht="15">
      <c r="A13" s="27"/>
      <c r="B13" s="34"/>
      <c r="C13" s="35"/>
      <c r="D13" s="35"/>
      <c r="E13" s="184"/>
      <c r="F13" s="184"/>
      <c r="G13" s="184"/>
      <c r="H13" s="184"/>
      <c r="I13" s="184"/>
      <c r="J13" s="184"/>
      <c r="K13" s="184"/>
      <c r="L13" s="184"/>
      <c r="M13" s="184"/>
      <c r="N13" s="184"/>
      <c r="O13" s="184"/>
      <c r="P13" s="184"/>
      <c r="Q13" s="184"/>
      <c r="R13" s="184"/>
      <c r="S13" s="184"/>
      <c r="T13" s="184"/>
      <c r="U13" s="184"/>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2"/>
      <c r="BO13" s="32"/>
      <c r="BP13" s="32"/>
      <c r="BQ13" s="32"/>
      <c r="BR13" s="32"/>
      <c r="BS13" s="32"/>
      <c r="BT13" s="32"/>
      <c r="BU13" s="32"/>
      <c r="BV13" s="32"/>
      <c r="BW13" s="32"/>
      <c r="BX13" s="32"/>
      <c r="BY13" s="32"/>
      <c r="BZ13" s="32"/>
      <c r="CA13" s="32"/>
      <c r="CB13" s="32"/>
      <c r="CC13" s="32"/>
      <c r="CD13" s="32"/>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32"/>
      <c r="DD13" s="32"/>
      <c r="DE13" s="32"/>
      <c r="DF13" s="32"/>
      <c r="DG13" s="32"/>
      <c r="DH13" s="32"/>
      <c r="DI13" s="32"/>
      <c r="DJ13" s="32"/>
      <c r="DK13" s="32"/>
      <c r="DL13" s="32"/>
      <c r="DM13" s="32"/>
      <c r="DN13" s="32"/>
      <c r="DO13" s="32"/>
      <c r="DP13" s="32"/>
      <c r="DQ13" s="32"/>
      <c r="DR13" s="32"/>
      <c r="DS13" s="32"/>
      <c r="DT13" s="32"/>
      <c r="DU13" s="32"/>
      <c r="DV13" s="32"/>
      <c r="DW13" s="32"/>
      <c r="DX13" s="32"/>
      <c r="DY13" s="32"/>
      <c r="DZ13" s="32"/>
      <c r="EA13" s="32"/>
      <c r="EB13" s="32"/>
      <c r="EC13" s="32"/>
      <c r="ED13" s="32"/>
      <c r="EE13" s="32"/>
      <c r="EF13" s="32"/>
      <c r="EG13" s="32"/>
      <c r="EH13" s="32"/>
      <c r="EI13" s="32"/>
      <c r="EJ13" s="32"/>
      <c r="EK13" s="32"/>
      <c r="EL13" s="32"/>
      <c r="EM13" s="32"/>
      <c r="EN13" s="32"/>
      <c r="EO13" s="32"/>
      <c r="EP13" s="32"/>
      <c r="EQ13" s="32"/>
      <c r="ER13" s="32"/>
      <c r="ES13" s="32"/>
      <c r="ET13" s="32"/>
      <c r="EU13" s="32"/>
      <c r="EV13" s="32"/>
      <c r="EW13" s="32"/>
      <c r="EX13" s="32"/>
      <c r="EY13" s="32"/>
      <c r="EZ13" s="32"/>
      <c r="FA13" s="32"/>
      <c r="FB13" s="32"/>
      <c r="FC13" s="32"/>
      <c r="FD13" s="32"/>
      <c r="FE13" s="32"/>
      <c r="FF13" s="32"/>
      <c r="FG13" s="32"/>
      <c r="FH13" s="32"/>
      <c r="FI13" s="32"/>
      <c r="FJ13" s="32"/>
      <c r="FK13" s="32"/>
      <c r="FL13" s="32"/>
      <c r="FM13" s="32"/>
      <c r="FN13" s="32"/>
      <c r="FO13" s="32"/>
      <c r="FP13" s="32"/>
      <c r="FQ13" s="32"/>
      <c r="FR13" s="32"/>
      <c r="FS13" s="32"/>
      <c r="FT13" s="32"/>
      <c r="FU13" s="32"/>
      <c r="FV13" s="32"/>
      <c r="FW13" s="32"/>
      <c r="FX13" s="32"/>
      <c r="FY13" s="32"/>
      <c r="FZ13" s="32"/>
      <c r="GA13" s="32"/>
      <c r="GB13" s="32"/>
      <c r="GC13" s="32"/>
      <c r="GD13" s="32"/>
      <c r="GE13" s="32"/>
      <c r="GF13" s="32"/>
      <c r="GG13" s="32"/>
      <c r="GH13" s="32"/>
      <c r="GI13" s="32"/>
      <c r="GJ13" s="32"/>
      <c r="GK13" s="32"/>
      <c r="GL13" s="32"/>
      <c r="GM13" s="32"/>
      <c r="GN13" s="32"/>
      <c r="GO13" s="32"/>
      <c r="GP13" s="32"/>
      <c r="GQ13" s="32"/>
      <c r="GR13" s="32"/>
      <c r="GS13" s="32"/>
      <c r="GT13" s="32"/>
      <c r="GU13" s="32"/>
      <c r="GV13" s="32"/>
    </row>
    <row r="14" spans="1:204" ht="15">
      <c r="A14" s="27"/>
      <c r="B14" s="34"/>
      <c r="C14" s="35"/>
      <c r="D14" s="35"/>
      <c r="E14" s="184"/>
      <c r="F14" s="184"/>
      <c r="G14" s="184"/>
      <c r="H14" s="184"/>
      <c r="I14" s="184"/>
      <c r="J14" s="184"/>
      <c r="K14" s="184"/>
      <c r="L14" s="184"/>
      <c r="M14" s="184"/>
      <c r="N14" s="184"/>
      <c r="O14" s="184"/>
      <c r="P14" s="184"/>
      <c r="Q14" s="184"/>
      <c r="R14" s="184"/>
      <c r="S14" s="184"/>
      <c r="T14" s="184"/>
      <c r="U14" s="184"/>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c r="BN14" s="32"/>
      <c r="BO14" s="32"/>
      <c r="BP14" s="32"/>
      <c r="BQ14" s="32"/>
      <c r="BR14" s="32"/>
      <c r="BS14" s="32"/>
      <c r="BT14" s="32"/>
      <c r="BU14" s="32"/>
      <c r="BV14" s="32"/>
      <c r="BW14" s="32"/>
      <c r="BX14" s="32"/>
      <c r="BY14" s="32"/>
      <c r="BZ14" s="32"/>
      <c r="CA14" s="32"/>
      <c r="CB14" s="32"/>
      <c r="CC14" s="32"/>
      <c r="CD14" s="32"/>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32"/>
      <c r="DD14" s="32"/>
      <c r="DE14" s="32"/>
      <c r="DF14" s="32"/>
      <c r="DG14" s="32"/>
      <c r="DH14" s="32"/>
      <c r="DI14" s="32"/>
      <c r="DJ14" s="32"/>
      <c r="DK14" s="32"/>
      <c r="DL14" s="32"/>
      <c r="DM14" s="32"/>
      <c r="DN14" s="32"/>
      <c r="DO14" s="32"/>
      <c r="DP14" s="32"/>
      <c r="DQ14" s="32"/>
      <c r="DR14" s="32"/>
      <c r="DS14" s="32"/>
      <c r="DT14" s="32"/>
      <c r="DU14" s="32"/>
      <c r="DV14" s="32"/>
      <c r="DW14" s="32"/>
      <c r="DX14" s="32"/>
      <c r="DY14" s="32"/>
      <c r="DZ14" s="32"/>
      <c r="EA14" s="32"/>
      <c r="EB14" s="32"/>
      <c r="EC14" s="32"/>
      <c r="ED14" s="32"/>
      <c r="EE14" s="32"/>
      <c r="EF14" s="32"/>
      <c r="EG14" s="32"/>
      <c r="EH14" s="32"/>
      <c r="EI14" s="32"/>
      <c r="EJ14" s="32"/>
      <c r="EK14" s="32"/>
      <c r="EL14" s="32"/>
      <c r="EM14" s="32"/>
      <c r="EN14" s="32"/>
      <c r="EO14" s="32"/>
      <c r="EP14" s="32"/>
      <c r="EQ14" s="32"/>
      <c r="ER14" s="32"/>
      <c r="ES14" s="32"/>
      <c r="ET14" s="32"/>
      <c r="EU14" s="32"/>
      <c r="EV14" s="32"/>
      <c r="EW14" s="32"/>
      <c r="EX14" s="32"/>
      <c r="EY14" s="32"/>
      <c r="EZ14" s="32"/>
      <c r="FA14" s="32"/>
      <c r="FB14" s="32"/>
      <c r="FC14" s="32"/>
      <c r="FD14" s="32"/>
      <c r="FE14" s="32"/>
      <c r="FF14" s="32"/>
      <c r="FG14" s="32"/>
      <c r="FH14" s="32"/>
      <c r="FI14" s="32"/>
      <c r="FJ14" s="32"/>
      <c r="FK14" s="32"/>
      <c r="FL14" s="32"/>
      <c r="FM14" s="32"/>
      <c r="FN14" s="32"/>
      <c r="FO14" s="32"/>
      <c r="FP14" s="32"/>
      <c r="FQ14" s="32"/>
      <c r="FR14" s="32"/>
      <c r="FS14" s="32"/>
      <c r="FT14" s="32"/>
      <c r="FU14" s="32"/>
      <c r="FV14" s="32"/>
      <c r="FW14" s="32"/>
      <c r="FX14" s="32"/>
      <c r="FY14" s="32"/>
      <c r="FZ14" s="32"/>
      <c r="GA14" s="32"/>
      <c r="GB14" s="32"/>
      <c r="GC14" s="32"/>
      <c r="GD14" s="32"/>
      <c r="GE14" s="32"/>
      <c r="GF14" s="32"/>
      <c r="GG14" s="32"/>
      <c r="GH14" s="32"/>
      <c r="GI14" s="32"/>
      <c r="GJ14" s="32"/>
      <c r="GK14" s="32"/>
      <c r="GL14" s="32"/>
      <c r="GM14" s="32"/>
      <c r="GN14" s="32"/>
      <c r="GO14" s="32"/>
      <c r="GP14" s="32"/>
      <c r="GQ14" s="32"/>
      <c r="GR14" s="32"/>
      <c r="GS14" s="32"/>
      <c r="GT14" s="32"/>
      <c r="GU14" s="32"/>
      <c r="GV14" s="32"/>
    </row>
    <row r="15" spans="1:204" ht="15">
      <c r="A15" s="27"/>
      <c r="B15" s="34"/>
      <c r="C15" s="35"/>
      <c r="D15" s="35"/>
      <c r="E15" s="184"/>
      <c r="F15" s="184"/>
      <c r="G15" s="184"/>
      <c r="H15" s="184"/>
      <c r="I15" s="184"/>
      <c r="J15" s="184"/>
      <c r="K15" s="184"/>
      <c r="L15" s="184"/>
      <c r="M15" s="184"/>
      <c r="N15" s="184"/>
      <c r="O15" s="184"/>
      <c r="P15" s="184"/>
      <c r="Q15" s="184"/>
      <c r="R15" s="184"/>
      <c r="S15" s="184"/>
      <c r="T15" s="184"/>
      <c r="U15" s="184"/>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c r="BN15" s="32"/>
      <c r="BO15" s="32"/>
      <c r="BP15" s="32"/>
      <c r="BQ15" s="32"/>
      <c r="BR15" s="32"/>
      <c r="BS15" s="32"/>
      <c r="BT15" s="32"/>
      <c r="BU15" s="32"/>
      <c r="BV15" s="32"/>
      <c r="BW15" s="32"/>
      <c r="BX15" s="32"/>
      <c r="BY15" s="32"/>
      <c r="BZ15" s="32"/>
      <c r="CA15" s="32"/>
      <c r="CB15" s="32"/>
      <c r="CC15" s="32"/>
      <c r="CD15" s="32"/>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c r="DD15" s="32"/>
      <c r="DE15" s="32"/>
      <c r="DF15" s="32"/>
      <c r="DG15" s="32"/>
      <c r="DH15" s="32"/>
      <c r="DI15" s="32"/>
      <c r="DJ15" s="32"/>
      <c r="DK15" s="32"/>
      <c r="DL15" s="32"/>
      <c r="DM15" s="32"/>
      <c r="DN15" s="32"/>
      <c r="DO15" s="32"/>
      <c r="DP15" s="32"/>
      <c r="DQ15" s="32"/>
      <c r="DR15" s="32"/>
      <c r="DS15" s="32"/>
      <c r="DT15" s="32"/>
      <c r="DU15" s="32"/>
      <c r="DV15" s="32"/>
      <c r="DW15" s="32"/>
      <c r="DX15" s="32"/>
      <c r="DY15" s="32"/>
      <c r="DZ15" s="32"/>
      <c r="EA15" s="32"/>
      <c r="EB15" s="32"/>
      <c r="EC15" s="32"/>
      <c r="ED15" s="32"/>
      <c r="EE15" s="32"/>
      <c r="EF15" s="32"/>
      <c r="EG15" s="32"/>
      <c r="EH15" s="32"/>
      <c r="EI15" s="32"/>
      <c r="EJ15" s="32"/>
      <c r="EK15" s="32"/>
      <c r="EL15" s="32"/>
      <c r="EM15" s="32"/>
      <c r="EN15" s="32"/>
      <c r="EO15" s="32"/>
      <c r="EP15" s="32"/>
      <c r="EQ15" s="32"/>
      <c r="ER15" s="32"/>
      <c r="ES15" s="32"/>
      <c r="ET15" s="32"/>
      <c r="EU15" s="32"/>
      <c r="EV15" s="32"/>
      <c r="EW15" s="32"/>
      <c r="EX15" s="32"/>
      <c r="EY15" s="32"/>
      <c r="EZ15" s="32"/>
      <c r="FA15" s="32"/>
      <c r="FB15" s="32"/>
      <c r="FC15" s="32"/>
      <c r="FD15" s="32"/>
      <c r="FE15" s="32"/>
      <c r="FF15" s="32"/>
      <c r="FG15" s="32"/>
      <c r="FH15" s="32"/>
      <c r="FI15" s="32"/>
      <c r="FJ15" s="32"/>
      <c r="FK15" s="32"/>
      <c r="FL15" s="32"/>
      <c r="FM15" s="32"/>
      <c r="FN15" s="32"/>
      <c r="FO15" s="32"/>
      <c r="FP15" s="32"/>
      <c r="FQ15" s="32"/>
      <c r="FR15" s="32"/>
      <c r="FS15" s="32"/>
      <c r="FT15" s="32"/>
      <c r="FU15" s="32"/>
      <c r="FV15" s="32"/>
      <c r="FW15" s="32"/>
      <c r="FX15" s="32"/>
      <c r="FY15" s="32"/>
      <c r="FZ15" s="32"/>
      <c r="GA15" s="32"/>
      <c r="GB15" s="32"/>
      <c r="GC15" s="32"/>
      <c r="GD15" s="32"/>
      <c r="GE15" s="32"/>
      <c r="GF15" s="32"/>
      <c r="GG15" s="32"/>
      <c r="GH15" s="32"/>
      <c r="GI15" s="32"/>
      <c r="GJ15" s="32"/>
      <c r="GK15" s="32"/>
      <c r="GL15" s="32"/>
      <c r="GM15" s="32"/>
      <c r="GN15" s="32"/>
      <c r="GO15" s="32"/>
      <c r="GP15" s="32"/>
      <c r="GQ15" s="32"/>
      <c r="GR15" s="32"/>
      <c r="GS15" s="32"/>
      <c r="GT15" s="32"/>
      <c r="GU15" s="32"/>
      <c r="GV15" s="32"/>
    </row>
    <row r="16" spans="1:204" ht="15">
      <c r="A16" s="27"/>
      <c r="B16" s="34"/>
      <c r="C16" s="35"/>
      <c r="D16" s="35"/>
      <c r="E16" s="184"/>
      <c r="F16" s="184"/>
      <c r="G16" s="184"/>
      <c r="H16" s="184"/>
      <c r="I16" s="184"/>
      <c r="J16" s="184"/>
      <c r="K16" s="184"/>
      <c r="L16" s="184"/>
      <c r="M16" s="184"/>
      <c r="N16" s="184"/>
      <c r="O16" s="184"/>
      <c r="P16" s="184"/>
      <c r="Q16" s="184"/>
      <c r="R16" s="184"/>
      <c r="S16" s="184"/>
      <c r="T16" s="184"/>
      <c r="U16" s="184"/>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2"/>
      <c r="GJ16" s="32"/>
      <c r="GK16" s="32"/>
      <c r="GL16" s="32"/>
      <c r="GM16" s="32"/>
      <c r="GN16" s="32"/>
      <c r="GO16" s="32"/>
      <c r="GP16" s="32"/>
      <c r="GQ16" s="32"/>
      <c r="GR16" s="32"/>
      <c r="GS16" s="32"/>
      <c r="GT16" s="32"/>
      <c r="GU16" s="32"/>
      <c r="GV16" s="32"/>
    </row>
    <row r="17" spans="1:287" ht="15">
      <c r="A17" s="27"/>
      <c r="B17" s="34"/>
      <c r="C17" s="35"/>
      <c r="D17" s="35"/>
      <c r="E17" s="184"/>
      <c r="F17" s="184"/>
      <c r="G17" s="184"/>
      <c r="H17" s="184"/>
      <c r="I17" s="184"/>
      <c r="J17" s="184"/>
      <c r="K17" s="184"/>
      <c r="L17" s="184"/>
      <c r="M17" s="184"/>
      <c r="N17" s="184"/>
      <c r="O17" s="184"/>
      <c r="P17" s="184"/>
      <c r="Q17" s="184"/>
      <c r="R17" s="184"/>
      <c r="S17" s="184"/>
      <c r="T17" s="184"/>
      <c r="U17" s="184"/>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2"/>
      <c r="GJ17" s="32"/>
      <c r="GK17" s="32"/>
      <c r="GL17" s="32"/>
      <c r="GM17" s="32"/>
      <c r="GN17" s="32"/>
      <c r="GO17" s="32"/>
      <c r="GP17" s="32"/>
      <c r="GQ17" s="32"/>
      <c r="GR17" s="32"/>
      <c r="GS17" s="32"/>
      <c r="GT17" s="32"/>
      <c r="GU17" s="32"/>
      <c r="GV17" s="32"/>
    </row>
    <row r="18" spans="1:287" ht="15">
      <c r="A18" s="27"/>
      <c r="B18" s="34"/>
      <c r="C18" s="35"/>
      <c r="D18" s="35"/>
      <c r="E18" s="184"/>
      <c r="F18" s="184"/>
      <c r="G18" s="184"/>
      <c r="H18" s="184"/>
      <c r="I18" s="184"/>
      <c r="J18" s="184"/>
      <c r="K18" s="184"/>
      <c r="L18" s="184"/>
      <c r="M18" s="184"/>
      <c r="N18" s="184"/>
      <c r="O18" s="184"/>
      <c r="P18" s="184"/>
      <c r="Q18" s="184"/>
      <c r="R18" s="184"/>
      <c r="S18" s="184"/>
      <c r="T18" s="184"/>
      <c r="U18" s="184"/>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c r="BN18" s="32"/>
      <c r="BO18" s="32"/>
      <c r="BP18" s="32"/>
      <c r="BQ18" s="32"/>
      <c r="BR18" s="32"/>
      <c r="BS18" s="32"/>
      <c r="BT18" s="32"/>
      <c r="BU18" s="32"/>
      <c r="BV18" s="32"/>
      <c r="BW18" s="32"/>
      <c r="BX18" s="32"/>
      <c r="BY18" s="32"/>
      <c r="BZ18" s="32"/>
      <c r="CA18" s="32"/>
      <c r="CB18" s="32"/>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c r="DA18" s="32"/>
      <c r="DB18" s="32"/>
      <c r="DC18" s="32"/>
      <c r="DD18" s="32"/>
      <c r="DE18" s="32"/>
      <c r="DF18" s="32"/>
      <c r="DG18" s="32"/>
      <c r="DH18" s="32"/>
      <c r="DI18" s="32"/>
      <c r="DJ18" s="32"/>
      <c r="DK18" s="32"/>
      <c r="DL18" s="32"/>
      <c r="DM18" s="32"/>
      <c r="DN18" s="32"/>
      <c r="DO18" s="32"/>
      <c r="DP18" s="32"/>
      <c r="DQ18" s="32"/>
      <c r="DR18" s="32"/>
      <c r="DS18" s="32"/>
      <c r="DT18" s="32"/>
      <c r="DU18" s="32"/>
      <c r="DV18" s="32"/>
      <c r="DW18" s="32"/>
      <c r="DX18" s="32"/>
      <c r="DY18" s="32"/>
      <c r="DZ18" s="32"/>
      <c r="EA18" s="32"/>
      <c r="EB18" s="32"/>
      <c r="EC18" s="32"/>
      <c r="ED18" s="32"/>
      <c r="EE18" s="32"/>
      <c r="EF18" s="32"/>
      <c r="EG18" s="32"/>
      <c r="EH18" s="32"/>
      <c r="EI18" s="32"/>
      <c r="EJ18" s="32"/>
      <c r="EK18" s="32"/>
      <c r="EL18" s="32"/>
      <c r="EM18" s="32"/>
      <c r="EN18" s="32"/>
      <c r="EO18" s="32"/>
      <c r="EP18" s="32"/>
      <c r="EQ18" s="32"/>
      <c r="ER18" s="32"/>
      <c r="ES18" s="32"/>
      <c r="ET18" s="32"/>
      <c r="EU18" s="32"/>
      <c r="EV18" s="32"/>
      <c r="EW18" s="32"/>
      <c r="EX18" s="32"/>
      <c r="EY18" s="32"/>
      <c r="EZ18" s="32"/>
      <c r="FA18" s="32"/>
      <c r="FB18" s="32"/>
      <c r="FC18" s="32"/>
      <c r="FD18" s="32"/>
      <c r="FE18" s="32"/>
      <c r="FF18" s="32"/>
      <c r="FG18" s="32"/>
      <c r="FH18" s="32"/>
      <c r="FI18" s="32"/>
      <c r="FJ18" s="32"/>
      <c r="FK18" s="32"/>
      <c r="FL18" s="32"/>
      <c r="FM18" s="32"/>
      <c r="FN18" s="32"/>
      <c r="FO18" s="32"/>
      <c r="FP18" s="32"/>
      <c r="FQ18" s="32"/>
      <c r="FR18" s="32"/>
      <c r="FS18" s="32"/>
      <c r="FT18" s="32"/>
      <c r="FU18" s="32"/>
      <c r="FV18" s="32"/>
      <c r="FW18" s="32"/>
      <c r="FX18" s="32"/>
      <c r="FY18" s="32"/>
      <c r="FZ18" s="32"/>
      <c r="GA18" s="32"/>
      <c r="GB18" s="32"/>
      <c r="GC18" s="32"/>
      <c r="GD18" s="32"/>
      <c r="GE18" s="32"/>
      <c r="GF18" s="32"/>
      <c r="GG18" s="32"/>
      <c r="GH18" s="32"/>
      <c r="GI18" s="32"/>
      <c r="GJ18" s="32"/>
      <c r="GK18" s="32"/>
      <c r="GL18" s="32"/>
      <c r="GM18" s="32"/>
      <c r="GN18" s="32"/>
      <c r="GO18" s="32"/>
      <c r="GP18" s="32"/>
      <c r="GQ18" s="32"/>
      <c r="GR18" s="32"/>
      <c r="GS18" s="32"/>
      <c r="GT18" s="32"/>
      <c r="GU18" s="32"/>
      <c r="GV18" s="32"/>
    </row>
    <row r="19" spans="1:287" ht="15">
      <c r="A19" s="27"/>
      <c r="B19" s="34"/>
      <c r="C19" s="35"/>
      <c r="D19" s="35"/>
      <c r="E19" s="184"/>
      <c r="F19" s="184"/>
      <c r="G19" s="184"/>
      <c r="H19" s="184"/>
      <c r="I19" s="184"/>
      <c r="J19" s="184"/>
      <c r="K19" s="184"/>
      <c r="L19" s="184"/>
      <c r="M19" s="184"/>
      <c r="N19" s="184"/>
      <c r="O19" s="184"/>
      <c r="P19" s="184"/>
      <c r="Q19" s="184"/>
      <c r="R19" s="184"/>
      <c r="S19" s="184"/>
      <c r="T19" s="184"/>
      <c r="U19" s="184"/>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c r="BN19" s="32"/>
      <c r="BO19" s="32"/>
      <c r="BP19" s="32"/>
      <c r="BQ19" s="32"/>
      <c r="BR19" s="32"/>
      <c r="BS19" s="32"/>
      <c r="BT19" s="32"/>
      <c r="BU19" s="32"/>
      <c r="BV19" s="32"/>
      <c r="BW19" s="32"/>
      <c r="BX19" s="32"/>
      <c r="BY19" s="32"/>
      <c r="BZ19" s="32"/>
      <c r="CA19" s="32"/>
      <c r="CB19" s="32"/>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c r="DA19" s="32"/>
      <c r="DB19" s="32"/>
      <c r="DC19" s="32"/>
      <c r="DD19" s="32"/>
      <c r="DE19" s="32"/>
      <c r="DF19" s="32"/>
      <c r="DG19" s="32"/>
      <c r="DH19" s="32"/>
      <c r="DI19" s="32"/>
      <c r="DJ19" s="32"/>
      <c r="DK19" s="32"/>
      <c r="DL19" s="32"/>
      <c r="DM19" s="32"/>
      <c r="DN19" s="32"/>
      <c r="DO19" s="32"/>
      <c r="DP19" s="32"/>
      <c r="DQ19" s="32"/>
      <c r="DR19" s="32"/>
      <c r="DS19" s="32"/>
      <c r="DT19" s="32"/>
      <c r="DU19" s="32"/>
      <c r="DV19" s="32"/>
      <c r="DW19" s="32"/>
      <c r="DX19" s="32"/>
      <c r="DY19" s="32"/>
      <c r="DZ19" s="32"/>
      <c r="EA19" s="32"/>
      <c r="EB19" s="32"/>
      <c r="EC19" s="32"/>
      <c r="ED19" s="32"/>
      <c r="EE19" s="32"/>
      <c r="EF19" s="32"/>
      <c r="EG19" s="32"/>
      <c r="EH19" s="32"/>
      <c r="EI19" s="32"/>
      <c r="EJ19" s="32"/>
      <c r="EK19" s="32"/>
      <c r="EL19" s="32"/>
      <c r="EM19" s="32"/>
      <c r="EN19" s="32"/>
      <c r="EO19" s="32"/>
      <c r="EP19" s="32"/>
      <c r="EQ19" s="32"/>
      <c r="ER19" s="32"/>
      <c r="ES19" s="32"/>
      <c r="ET19" s="32"/>
      <c r="EU19" s="32"/>
      <c r="EV19" s="32"/>
      <c r="EW19" s="32"/>
      <c r="EX19" s="32"/>
      <c r="EY19" s="32"/>
      <c r="EZ19" s="32"/>
      <c r="FA19" s="32"/>
      <c r="FB19" s="32"/>
      <c r="FC19" s="32"/>
      <c r="FD19" s="32"/>
      <c r="FE19" s="32"/>
      <c r="FF19" s="32"/>
      <c r="FG19" s="32"/>
      <c r="FH19" s="32"/>
      <c r="FI19" s="32"/>
      <c r="FJ19" s="32"/>
      <c r="FK19" s="32"/>
      <c r="FL19" s="32"/>
      <c r="FM19" s="32"/>
      <c r="FN19" s="32"/>
      <c r="FO19" s="32"/>
      <c r="FP19" s="32"/>
      <c r="FQ19" s="32"/>
      <c r="FR19" s="32"/>
      <c r="FS19" s="32"/>
      <c r="FT19" s="32"/>
      <c r="FU19" s="32"/>
      <c r="FV19" s="32"/>
      <c r="FW19" s="32"/>
      <c r="FX19" s="32"/>
      <c r="FY19" s="32"/>
      <c r="FZ19" s="32"/>
      <c r="GA19" s="32"/>
      <c r="GB19" s="32"/>
      <c r="GC19" s="32"/>
      <c r="GD19" s="32"/>
      <c r="GE19" s="32"/>
      <c r="GF19" s="32"/>
      <c r="GG19" s="32"/>
      <c r="GH19" s="32"/>
      <c r="GI19" s="32"/>
      <c r="GJ19" s="32"/>
      <c r="GK19" s="32"/>
      <c r="GL19" s="32"/>
      <c r="GM19" s="32"/>
      <c r="GN19" s="32"/>
      <c r="GO19" s="32"/>
      <c r="GP19" s="32"/>
      <c r="GQ19" s="32"/>
      <c r="GR19" s="32"/>
      <c r="GS19" s="32"/>
      <c r="GT19" s="32"/>
      <c r="GU19" s="32"/>
      <c r="GV19" s="32"/>
    </row>
    <row r="20" spans="1:287" ht="15">
      <c r="A20" s="27"/>
      <c r="B20" s="34"/>
      <c r="C20" s="35"/>
      <c r="D20" s="35"/>
      <c r="E20" s="184"/>
      <c r="F20" s="184"/>
      <c r="G20" s="184"/>
      <c r="H20" s="184"/>
      <c r="I20" s="184"/>
      <c r="J20" s="184"/>
      <c r="K20" s="184"/>
      <c r="L20" s="184"/>
      <c r="M20" s="184"/>
      <c r="N20" s="184"/>
      <c r="O20" s="184"/>
      <c r="P20" s="184"/>
      <c r="Q20" s="184"/>
      <c r="R20" s="184"/>
      <c r="S20" s="184"/>
      <c r="T20" s="184"/>
      <c r="U20" s="184"/>
      <c r="V20" s="32"/>
      <c r="W20" s="32"/>
      <c r="X20" s="32"/>
      <c r="Y20" s="32"/>
      <c r="Z20" s="32"/>
      <c r="AA20" s="32"/>
      <c r="AB20" s="32"/>
      <c r="AC20" s="32"/>
      <c r="AD20" s="32"/>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c r="BN20" s="32"/>
      <c r="BO20" s="32"/>
      <c r="BP20" s="32"/>
      <c r="BQ20" s="32"/>
      <c r="BR20" s="32"/>
      <c r="BS20" s="32"/>
      <c r="BT20" s="32"/>
      <c r="BU20" s="32"/>
      <c r="BV20" s="32"/>
      <c r="BW20" s="32"/>
      <c r="BX20" s="32"/>
      <c r="BY20" s="32"/>
      <c r="BZ20" s="32"/>
      <c r="CA20" s="32"/>
      <c r="CB20" s="32"/>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c r="DA20" s="32"/>
      <c r="DB20" s="32"/>
      <c r="DC20" s="32"/>
      <c r="DD20" s="32"/>
      <c r="DE20" s="32"/>
      <c r="DF20" s="32"/>
      <c r="DG20" s="32"/>
      <c r="DH20" s="32"/>
      <c r="DI20" s="32"/>
      <c r="DJ20" s="32"/>
      <c r="DK20" s="32"/>
      <c r="DL20" s="32"/>
      <c r="DM20" s="32"/>
      <c r="DN20" s="32"/>
      <c r="DO20" s="32"/>
      <c r="DP20" s="32"/>
      <c r="DQ20" s="32"/>
      <c r="DR20" s="32"/>
      <c r="DS20" s="32"/>
      <c r="DT20" s="32"/>
      <c r="DU20" s="32"/>
      <c r="DV20" s="32"/>
      <c r="DW20" s="32"/>
      <c r="DX20" s="32"/>
      <c r="DY20" s="32"/>
      <c r="DZ20" s="32"/>
      <c r="EA20" s="32"/>
      <c r="EB20" s="32"/>
      <c r="EC20" s="32"/>
      <c r="ED20" s="32"/>
      <c r="EE20" s="32"/>
      <c r="EF20" s="32"/>
      <c r="EG20" s="32"/>
      <c r="EH20" s="32"/>
      <c r="EI20" s="32"/>
      <c r="EJ20" s="32"/>
      <c r="EK20" s="32"/>
      <c r="EL20" s="32"/>
      <c r="EM20" s="32"/>
      <c r="EN20" s="32"/>
      <c r="EO20" s="32"/>
      <c r="EP20" s="32"/>
      <c r="EQ20" s="32"/>
      <c r="ER20" s="32"/>
      <c r="ES20" s="32"/>
      <c r="ET20" s="32"/>
      <c r="EU20" s="32"/>
      <c r="EV20" s="32"/>
      <c r="EW20" s="32"/>
      <c r="EX20" s="32"/>
      <c r="EY20" s="32"/>
      <c r="EZ20" s="32"/>
      <c r="FA20" s="32"/>
      <c r="FB20" s="32"/>
      <c r="FC20" s="32"/>
      <c r="FD20" s="32"/>
      <c r="FE20" s="32"/>
      <c r="FF20" s="32"/>
      <c r="FG20" s="32"/>
      <c r="FH20" s="32"/>
      <c r="FI20" s="32"/>
      <c r="FJ20" s="32"/>
      <c r="FK20" s="32"/>
      <c r="FL20" s="32"/>
      <c r="FM20" s="32"/>
      <c r="FN20" s="32"/>
      <c r="FO20" s="32"/>
      <c r="FP20" s="32"/>
      <c r="FQ20" s="32"/>
      <c r="FR20" s="32"/>
      <c r="FS20" s="32"/>
      <c r="FT20" s="32"/>
      <c r="FU20" s="32"/>
      <c r="FV20" s="32"/>
      <c r="FW20" s="32"/>
      <c r="FX20" s="32"/>
      <c r="FY20" s="32"/>
      <c r="FZ20" s="32"/>
      <c r="GA20" s="32"/>
      <c r="GB20" s="32"/>
      <c r="GC20" s="32"/>
      <c r="GD20" s="32"/>
      <c r="GE20" s="32"/>
      <c r="GF20" s="32"/>
      <c r="GG20" s="32"/>
      <c r="GH20" s="32"/>
      <c r="GI20" s="32"/>
      <c r="GJ20" s="32"/>
      <c r="GK20" s="32"/>
      <c r="GL20" s="32"/>
      <c r="GM20" s="32"/>
      <c r="GN20" s="32"/>
      <c r="GO20" s="32"/>
      <c r="GP20" s="32"/>
      <c r="GQ20" s="32"/>
      <c r="GR20" s="32"/>
      <c r="GS20" s="32"/>
      <c r="GT20" s="32"/>
      <c r="GU20" s="32"/>
      <c r="GV20" s="32"/>
    </row>
    <row r="21" spans="1:287" ht="15">
      <c r="A21" s="27"/>
      <c r="B21" s="34"/>
      <c r="C21" s="35"/>
      <c r="D21" s="35"/>
      <c r="E21" s="184"/>
      <c r="F21" s="184"/>
      <c r="G21" s="184"/>
      <c r="H21" s="184"/>
      <c r="I21" s="184"/>
      <c r="J21" s="184"/>
      <c r="K21" s="184"/>
      <c r="L21" s="184"/>
      <c r="M21" s="184"/>
      <c r="N21" s="184"/>
      <c r="O21" s="184"/>
      <c r="P21" s="184"/>
      <c r="Q21" s="184"/>
      <c r="R21" s="184"/>
      <c r="S21" s="184"/>
      <c r="T21" s="184"/>
      <c r="U21" s="184"/>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2"/>
      <c r="GJ21" s="32"/>
      <c r="GK21" s="32"/>
      <c r="GL21" s="32"/>
      <c r="GM21" s="32"/>
      <c r="GN21" s="32"/>
      <c r="GO21" s="32"/>
      <c r="GP21" s="32"/>
      <c r="GQ21" s="32"/>
      <c r="GR21" s="32"/>
      <c r="GS21" s="32"/>
      <c r="GT21" s="32"/>
      <c r="GU21" s="32"/>
      <c r="GV21" s="32"/>
    </row>
    <row r="22" spans="1:287" ht="15">
      <c r="A22" s="27"/>
      <c r="B22" s="34"/>
      <c r="C22" s="35"/>
      <c r="D22" s="35"/>
      <c r="E22" s="184"/>
      <c r="F22" s="184"/>
      <c r="G22" s="184"/>
      <c r="H22" s="184"/>
      <c r="I22" s="184"/>
      <c r="J22" s="184"/>
      <c r="K22" s="184"/>
      <c r="L22" s="184"/>
      <c r="M22" s="184"/>
      <c r="N22" s="184"/>
      <c r="O22" s="184"/>
      <c r="P22" s="184"/>
      <c r="Q22" s="184"/>
      <c r="R22" s="184"/>
      <c r="S22" s="184"/>
      <c r="T22" s="184"/>
      <c r="U22" s="184"/>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2"/>
      <c r="GJ22" s="32"/>
      <c r="GK22" s="32"/>
      <c r="GL22" s="32"/>
      <c r="GM22" s="32"/>
      <c r="GN22" s="32"/>
      <c r="GO22" s="32"/>
      <c r="GP22" s="32"/>
      <c r="GQ22" s="32"/>
      <c r="GR22" s="32"/>
      <c r="GS22" s="32"/>
      <c r="GT22" s="32"/>
      <c r="GU22" s="32"/>
      <c r="GV22" s="32"/>
    </row>
    <row r="23" spans="1:287" ht="15">
      <c r="A23" s="27"/>
      <c r="B23" s="34"/>
      <c r="C23" s="35"/>
      <c r="D23" s="35"/>
      <c r="E23" s="184"/>
      <c r="F23" s="184"/>
      <c r="G23" s="184"/>
      <c r="H23" s="184"/>
      <c r="I23" s="184"/>
      <c r="J23" s="184"/>
      <c r="K23" s="184"/>
      <c r="L23" s="184"/>
      <c r="M23" s="184"/>
      <c r="N23" s="184"/>
      <c r="O23" s="184"/>
      <c r="P23" s="184"/>
      <c r="Q23" s="184"/>
      <c r="R23" s="184"/>
      <c r="S23" s="184"/>
      <c r="T23" s="184"/>
      <c r="U23" s="184"/>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c r="BN23" s="32"/>
      <c r="BO23" s="32"/>
      <c r="BP23" s="32"/>
      <c r="BQ23" s="32"/>
      <c r="BR23" s="32"/>
      <c r="BS23" s="32"/>
      <c r="BT23" s="32"/>
      <c r="BU23" s="32"/>
      <c r="BV23" s="32"/>
      <c r="BW23" s="32"/>
      <c r="BX23" s="32"/>
      <c r="BY23" s="32"/>
      <c r="BZ23" s="32"/>
      <c r="CA23" s="32"/>
      <c r="CB23" s="32"/>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c r="DA23" s="32"/>
      <c r="DB23" s="32"/>
      <c r="DC23" s="32"/>
      <c r="DD23" s="32"/>
      <c r="DE23" s="32"/>
      <c r="DF23" s="32"/>
      <c r="DG23" s="32"/>
      <c r="DH23" s="32"/>
      <c r="DI23" s="32"/>
      <c r="DJ23" s="32"/>
      <c r="DK23" s="32"/>
      <c r="DL23" s="32"/>
      <c r="DM23" s="32"/>
      <c r="DN23" s="32"/>
      <c r="DO23" s="32"/>
      <c r="DP23" s="32"/>
      <c r="DQ23" s="32"/>
      <c r="DR23" s="32"/>
      <c r="DS23" s="32"/>
      <c r="DT23" s="32"/>
      <c r="DU23" s="32"/>
      <c r="DV23" s="32"/>
      <c r="DW23" s="32"/>
      <c r="DX23" s="32"/>
      <c r="DY23" s="32"/>
      <c r="DZ23" s="32"/>
      <c r="EA23" s="32"/>
      <c r="EB23" s="32"/>
      <c r="EC23" s="32"/>
      <c r="ED23" s="32"/>
      <c r="EE23" s="32"/>
      <c r="EF23" s="32"/>
      <c r="EG23" s="32"/>
      <c r="EH23" s="32"/>
      <c r="EI23" s="32"/>
      <c r="EJ23" s="32"/>
      <c r="EK23" s="32"/>
      <c r="EL23" s="32"/>
      <c r="EM23" s="32"/>
      <c r="EN23" s="32"/>
      <c r="EO23" s="32"/>
      <c r="EP23" s="32"/>
      <c r="EQ23" s="32"/>
      <c r="ER23" s="32"/>
      <c r="ES23" s="32"/>
      <c r="ET23" s="32"/>
      <c r="EU23" s="32"/>
      <c r="EV23" s="32"/>
      <c r="EW23" s="32"/>
      <c r="EX23" s="32"/>
      <c r="EY23" s="32"/>
      <c r="EZ23" s="32"/>
      <c r="FA23" s="32"/>
      <c r="FB23" s="32"/>
      <c r="FC23" s="32"/>
      <c r="FD23" s="32"/>
      <c r="FE23" s="32"/>
      <c r="FF23" s="32"/>
      <c r="FG23" s="32"/>
      <c r="FH23" s="32"/>
      <c r="FI23" s="32"/>
      <c r="FJ23" s="32"/>
      <c r="FK23" s="32"/>
      <c r="FL23" s="32"/>
      <c r="FM23" s="32"/>
      <c r="FN23" s="32"/>
      <c r="FO23" s="32"/>
      <c r="FP23" s="32"/>
      <c r="FQ23" s="32"/>
      <c r="FR23" s="32"/>
      <c r="FS23" s="32"/>
      <c r="FT23" s="32"/>
      <c r="FU23" s="32"/>
      <c r="FV23" s="32"/>
      <c r="FW23" s="32"/>
      <c r="FX23" s="32"/>
      <c r="FY23" s="32"/>
      <c r="FZ23" s="32"/>
      <c r="GA23" s="32"/>
      <c r="GB23" s="32"/>
      <c r="GC23" s="32"/>
      <c r="GD23" s="32"/>
      <c r="GE23" s="32"/>
      <c r="GF23" s="32"/>
      <c r="GG23" s="32"/>
      <c r="GH23" s="32"/>
      <c r="GI23" s="32"/>
      <c r="GJ23" s="32"/>
      <c r="GK23" s="32"/>
      <c r="GL23" s="32"/>
      <c r="GM23" s="32"/>
      <c r="GN23" s="32"/>
      <c r="GO23" s="32"/>
      <c r="GP23" s="32"/>
      <c r="GQ23" s="32"/>
      <c r="GR23" s="32"/>
      <c r="GS23" s="32"/>
      <c r="GT23" s="32"/>
      <c r="GU23" s="32"/>
      <c r="GV23" s="32"/>
    </row>
    <row r="24" spans="1:287" ht="13.5">
      <c r="A24" s="27"/>
      <c r="B24" s="34"/>
      <c r="C24" s="37"/>
      <c r="D24" s="37"/>
      <c r="E24" s="184"/>
      <c r="F24" s="184"/>
      <c r="G24" s="184"/>
      <c r="H24" s="184"/>
      <c r="I24" s="184"/>
      <c r="J24" s="184"/>
      <c r="K24" s="184"/>
      <c r="L24" s="184"/>
      <c r="M24" s="184"/>
      <c r="N24" s="184"/>
      <c r="O24" s="184"/>
      <c r="P24" s="184"/>
      <c r="Q24" s="184"/>
      <c r="R24" s="184"/>
      <c r="S24" s="184"/>
      <c r="T24" s="184"/>
      <c r="U24" s="184"/>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c r="BN24" s="32"/>
      <c r="BO24" s="32"/>
      <c r="BP24" s="32"/>
      <c r="BQ24" s="32"/>
      <c r="BR24" s="32"/>
      <c r="BS24" s="32"/>
      <c r="BT24" s="32"/>
      <c r="BU24" s="32"/>
      <c r="BV24" s="32"/>
      <c r="BW24" s="32"/>
      <c r="BX24" s="32"/>
      <c r="BY24" s="32"/>
      <c r="BZ24" s="32"/>
      <c r="CA24" s="32"/>
      <c r="CB24" s="32"/>
      <c r="CC24" s="32"/>
      <c r="CD24" s="32"/>
      <c r="CE24" s="32"/>
      <c r="CF24" s="32"/>
      <c r="CG24" s="32"/>
      <c r="CH24" s="32"/>
      <c r="CI24" s="32"/>
      <c r="CJ24" s="32"/>
      <c r="CK24" s="32"/>
      <c r="CL24" s="32"/>
      <c r="CM24" s="32"/>
      <c r="CN24" s="32"/>
      <c r="CO24" s="32"/>
      <c r="CP24" s="32"/>
      <c r="CQ24" s="32"/>
      <c r="CR24" s="32"/>
      <c r="CS24" s="32"/>
      <c r="CT24" s="32"/>
      <c r="CU24" s="32"/>
      <c r="CV24" s="32"/>
      <c r="CW24" s="32"/>
      <c r="CX24" s="32"/>
      <c r="CY24" s="32"/>
      <c r="CZ24" s="32"/>
      <c r="DA24" s="32"/>
      <c r="DB24" s="32"/>
      <c r="DC24" s="32"/>
      <c r="DD24" s="32"/>
      <c r="DE24" s="32"/>
      <c r="DF24" s="32"/>
      <c r="DG24" s="32"/>
      <c r="DH24" s="32"/>
      <c r="DI24" s="32"/>
      <c r="DJ24" s="32"/>
      <c r="DK24" s="32"/>
      <c r="DL24" s="32"/>
      <c r="DM24" s="32"/>
      <c r="DN24" s="32"/>
      <c r="DO24" s="32"/>
      <c r="DP24" s="32"/>
      <c r="DQ24" s="32"/>
      <c r="DR24" s="32"/>
      <c r="DS24" s="32"/>
      <c r="DT24" s="32"/>
      <c r="DU24" s="32"/>
      <c r="DV24" s="32"/>
      <c r="DW24" s="32"/>
      <c r="DX24" s="32"/>
      <c r="DY24" s="32"/>
      <c r="DZ24" s="32"/>
      <c r="EA24" s="32"/>
      <c r="EB24" s="32"/>
      <c r="EC24" s="32"/>
      <c r="ED24" s="32"/>
      <c r="EE24" s="32"/>
      <c r="EF24" s="32"/>
      <c r="EG24" s="32"/>
      <c r="EH24" s="32"/>
      <c r="EI24" s="32"/>
      <c r="EJ24" s="32"/>
      <c r="EK24" s="32"/>
      <c r="EL24" s="32"/>
      <c r="EM24" s="32"/>
      <c r="EN24" s="32"/>
      <c r="EO24" s="32"/>
      <c r="EP24" s="32"/>
      <c r="EQ24" s="32"/>
      <c r="ER24" s="32"/>
      <c r="ES24" s="32"/>
      <c r="ET24" s="32"/>
      <c r="EU24" s="32"/>
      <c r="EV24" s="32"/>
      <c r="EW24" s="32"/>
      <c r="EX24" s="32"/>
      <c r="EY24" s="32"/>
      <c r="EZ24" s="32"/>
      <c r="FA24" s="32"/>
      <c r="FB24" s="32"/>
      <c r="FC24" s="32"/>
      <c r="FD24" s="32"/>
      <c r="FE24" s="32"/>
      <c r="FF24" s="32"/>
      <c r="FG24" s="32"/>
      <c r="FH24" s="32"/>
      <c r="FI24" s="32"/>
      <c r="FJ24" s="32"/>
      <c r="FK24" s="32"/>
      <c r="FL24" s="32"/>
      <c r="FM24" s="32"/>
      <c r="FN24" s="32"/>
      <c r="FO24" s="32"/>
      <c r="FP24" s="32"/>
      <c r="FQ24" s="32"/>
      <c r="FR24" s="32"/>
      <c r="FS24" s="32"/>
      <c r="FT24" s="32"/>
      <c r="FU24" s="32"/>
      <c r="FV24" s="32"/>
      <c r="FW24" s="32"/>
      <c r="FX24" s="32"/>
      <c r="FY24" s="32"/>
      <c r="FZ24" s="32"/>
      <c r="GA24" s="32"/>
      <c r="GB24" s="32"/>
      <c r="GC24" s="32"/>
      <c r="GD24" s="32"/>
      <c r="GE24" s="32"/>
      <c r="GF24" s="32"/>
      <c r="GG24" s="32"/>
      <c r="GH24" s="32"/>
      <c r="GI24" s="32"/>
      <c r="GJ24" s="32"/>
      <c r="GK24" s="32"/>
      <c r="GL24" s="32"/>
      <c r="GM24" s="32"/>
      <c r="GN24" s="32"/>
      <c r="GO24" s="32"/>
      <c r="GP24" s="32"/>
      <c r="GQ24" s="32"/>
      <c r="GR24" s="32"/>
      <c r="GS24" s="32"/>
      <c r="GT24" s="32"/>
      <c r="GU24" s="32"/>
      <c r="GV24" s="32"/>
    </row>
    <row r="25" spans="1:287" ht="13.5">
      <c r="A25" s="27"/>
      <c r="B25" s="34"/>
      <c r="C25" s="37"/>
      <c r="D25" s="37"/>
      <c r="E25" s="184"/>
      <c r="F25" s="184"/>
      <c r="G25" s="184"/>
      <c r="H25" s="184"/>
      <c r="I25" s="184"/>
      <c r="J25" s="184"/>
      <c r="K25" s="184"/>
      <c r="L25" s="184"/>
      <c r="M25" s="184"/>
      <c r="N25" s="184"/>
      <c r="O25" s="184"/>
      <c r="P25" s="184"/>
      <c r="Q25" s="184"/>
      <c r="R25" s="184"/>
      <c r="S25" s="184"/>
      <c r="T25" s="184"/>
      <c r="U25" s="184"/>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c r="BN25" s="32"/>
      <c r="BO25" s="32"/>
      <c r="BP25" s="32"/>
      <c r="BQ25" s="32"/>
      <c r="BR25" s="32"/>
      <c r="BS25" s="32"/>
      <c r="BT25" s="32"/>
      <c r="BU25" s="32"/>
      <c r="BV25" s="32"/>
      <c r="BW25" s="32"/>
      <c r="BX25" s="32"/>
      <c r="BY25" s="32"/>
      <c r="BZ25" s="32"/>
      <c r="CA25" s="32"/>
      <c r="CB25" s="32"/>
      <c r="CC25" s="32"/>
      <c r="CD25" s="32"/>
      <c r="CE25" s="32"/>
      <c r="CF25" s="32"/>
      <c r="CG25" s="32"/>
      <c r="CH25" s="32"/>
      <c r="CI25" s="32"/>
      <c r="CJ25" s="32"/>
      <c r="CK25" s="32"/>
      <c r="CL25" s="32"/>
      <c r="CM25" s="32"/>
      <c r="CN25" s="32"/>
      <c r="CO25" s="32"/>
      <c r="CP25" s="32"/>
      <c r="CQ25" s="32"/>
      <c r="CR25" s="32"/>
      <c r="CS25" s="32"/>
      <c r="CT25" s="32"/>
      <c r="CU25" s="32"/>
      <c r="CV25" s="32"/>
      <c r="CW25" s="32"/>
      <c r="CX25" s="32"/>
      <c r="CY25" s="32"/>
      <c r="CZ25" s="32"/>
      <c r="DA25" s="32"/>
      <c r="DB25" s="32"/>
      <c r="DC25" s="32"/>
      <c r="DD25" s="32"/>
      <c r="DE25" s="32"/>
      <c r="DF25" s="32"/>
      <c r="DG25" s="32"/>
      <c r="DH25" s="32"/>
      <c r="DI25" s="32"/>
      <c r="DJ25" s="32"/>
      <c r="DK25" s="32"/>
      <c r="DL25" s="32"/>
      <c r="DM25" s="32"/>
      <c r="DN25" s="32"/>
      <c r="DO25" s="32"/>
      <c r="DP25" s="32"/>
      <c r="DQ25" s="32"/>
      <c r="DR25" s="32"/>
      <c r="DS25" s="32"/>
      <c r="DT25" s="32"/>
      <c r="DU25" s="32"/>
      <c r="DV25" s="32"/>
      <c r="DW25" s="32"/>
      <c r="DX25" s="32"/>
      <c r="DY25" s="32"/>
      <c r="DZ25" s="32"/>
      <c r="EA25" s="32"/>
      <c r="EB25" s="32"/>
      <c r="EC25" s="32"/>
      <c r="ED25" s="32"/>
      <c r="EE25" s="32"/>
      <c r="EF25" s="32"/>
      <c r="EG25" s="32"/>
      <c r="EH25" s="32"/>
      <c r="EI25" s="32"/>
      <c r="EJ25" s="32"/>
      <c r="EK25" s="32"/>
      <c r="EL25" s="32"/>
      <c r="EM25" s="32"/>
      <c r="EN25" s="32"/>
      <c r="EO25" s="32"/>
      <c r="EP25" s="32"/>
      <c r="EQ25" s="32"/>
      <c r="ER25" s="32"/>
      <c r="ES25" s="32"/>
      <c r="ET25" s="32"/>
      <c r="EU25" s="32"/>
      <c r="EV25" s="32"/>
      <c r="EW25" s="32"/>
      <c r="EX25" s="32"/>
      <c r="EY25" s="32"/>
      <c r="EZ25" s="32"/>
      <c r="FA25" s="32"/>
      <c r="FB25" s="32"/>
      <c r="FC25" s="32"/>
      <c r="FD25" s="32"/>
      <c r="FE25" s="32"/>
      <c r="FF25" s="32"/>
      <c r="FG25" s="32"/>
      <c r="FH25" s="32"/>
      <c r="FI25" s="32"/>
      <c r="FJ25" s="32"/>
      <c r="FK25" s="32"/>
      <c r="FL25" s="32"/>
      <c r="FM25" s="32"/>
      <c r="FN25" s="32"/>
      <c r="FO25" s="32"/>
      <c r="FP25" s="32"/>
      <c r="FQ25" s="32"/>
      <c r="FR25" s="32"/>
      <c r="FS25" s="32"/>
      <c r="FT25" s="32"/>
      <c r="FU25" s="32"/>
      <c r="FV25" s="32"/>
      <c r="FW25" s="32"/>
      <c r="FX25" s="32"/>
      <c r="FY25" s="32"/>
      <c r="FZ25" s="32"/>
      <c r="GA25" s="32"/>
      <c r="GB25" s="32"/>
      <c r="GC25" s="32"/>
      <c r="GD25" s="32"/>
      <c r="GE25" s="32"/>
      <c r="GF25" s="32"/>
      <c r="GG25" s="32"/>
      <c r="GH25" s="32"/>
      <c r="GI25" s="32"/>
      <c r="GJ25" s="32"/>
      <c r="GK25" s="32"/>
      <c r="GL25" s="32"/>
      <c r="GM25" s="32"/>
      <c r="GN25" s="32"/>
      <c r="GO25" s="32"/>
      <c r="GP25" s="32"/>
      <c r="GQ25" s="32"/>
      <c r="GR25" s="32"/>
      <c r="GS25" s="32"/>
      <c r="GT25" s="32"/>
      <c r="GU25" s="32"/>
      <c r="GV25" s="32"/>
    </row>
    <row r="26" spans="1:287" ht="13.5">
      <c r="A26" s="27"/>
      <c r="B26" s="34"/>
      <c r="C26" s="37"/>
      <c r="D26" s="37"/>
      <c r="E26" s="184"/>
      <c r="F26" s="184"/>
      <c r="G26" s="184"/>
      <c r="H26" s="184"/>
      <c r="I26" s="184"/>
      <c r="J26" s="184"/>
      <c r="K26" s="184"/>
      <c r="L26" s="184"/>
      <c r="M26" s="184"/>
      <c r="N26" s="184"/>
      <c r="O26" s="184"/>
      <c r="P26" s="184"/>
      <c r="Q26" s="184"/>
      <c r="R26" s="184"/>
      <c r="S26" s="184"/>
      <c r="T26" s="184"/>
      <c r="U26" s="184"/>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row>
    <row r="27" spans="1:287" ht="13.5">
      <c r="A27" s="27"/>
      <c r="B27" s="34"/>
      <c r="C27" s="37"/>
      <c r="D27" s="37"/>
      <c r="E27" s="184"/>
      <c r="F27" s="184"/>
      <c r="G27" s="184"/>
      <c r="H27" s="184"/>
      <c r="I27" s="184"/>
      <c r="J27" s="184"/>
      <c r="K27" s="184"/>
      <c r="L27" s="184"/>
      <c r="M27" s="184"/>
      <c r="N27" s="184"/>
      <c r="O27" s="184"/>
      <c r="P27" s="184"/>
      <c r="Q27" s="184"/>
      <c r="R27" s="184"/>
      <c r="S27" s="184"/>
      <c r="T27" s="184"/>
      <c r="U27" s="184"/>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2"/>
      <c r="GJ27" s="32"/>
      <c r="GK27" s="32"/>
      <c r="GL27" s="32"/>
      <c r="GM27" s="32"/>
      <c r="GN27" s="32"/>
      <c r="GO27" s="32"/>
      <c r="GP27" s="32"/>
      <c r="GQ27" s="32"/>
      <c r="GR27" s="32"/>
      <c r="GS27" s="32"/>
      <c r="GT27" s="32"/>
      <c r="GU27" s="32"/>
      <c r="GV27" s="32"/>
    </row>
    <row r="28" spans="1:287" ht="13.5">
      <c r="A28" s="27"/>
      <c r="B28" s="34"/>
      <c r="C28" s="37"/>
      <c r="D28" s="37"/>
      <c r="E28" s="184"/>
      <c r="F28" s="184"/>
      <c r="G28" s="184"/>
      <c r="H28" s="184"/>
      <c r="I28" s="184"/>
      <c r="J28" s="184"/>
      <c r="K28" s="184"/>
      <c r="L28" s="184"/>
      <c r="M28" s="184"/>
      <c r="N28" s="184"/>
      <c r="O28" s="184"/>
      <c r="P28" s="184"/>
      <c r="Q28" s="184"/>
      <c r="R28" s="184"/>
      <c r="S28" s="184"/>
      <c r="T28" s="184"/>
      <c r="U28" s="184"/>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c r="BN28" s="32"/>
      <c r="BO28" s="32"/>
      <c r="BP28" s="32"/>
      <c r="BQ28" s="32"/>
      <c r="BR28" s="32"/>
      <c r="BS28" s="32"/>
      <c r="BT28" s="32"/>
      <c r="BU28" s="32"/>
      <c r="BV28" s="32"/>
      <c r="BW28" s="32"/>
      <c r="BX28" s="32"/>
      <c r="BY28" s="32"/>
      <c r="BZ28" s="32"/>
      <c r="CA28" s="32"/>
      <c r="CB28" s="32"/>
      <c r="CC28" s="32"/>
      <c r="CD28" s="32"/>
      <c r="CE28" s="32"/>
      <c r="CF28" s="32"/>
      <c r="CG28" s="32"/>
      <c r="CH28" s="32"/>
      <c r="CI28" s="32"/>
      <c r="CJ28" s="32"/>
      <c r="CK28" s="32"/>
      <c r="CL28" s="32"/>
      <c r="CM28" s="32"/>
      <c r="CN28" s="32"/>
      <c r="CO28" s="32"/>
      <c r="CP28" s="32"/>
      <c r="CQ28" s="32"/>
      <c r="CR28" s="32"/>
      <c r="CS28" s="32"/>
      <c r="CT28" s="32"/>
      <c r="CU28" s="32"/>
      <c r="CV28" s="32"/>
      <c r="CW28" s="32"/>
      <c r="CX28" s="32"/>
      <c r="CY28" s="32"/>
      <c r="CZ28" s="32"/>
      <c r="DA28" s="32"/>
      <c r="DB28" s="32"/>
      <c r="DC28" s="32"/>
      <c r="DD28" s="32"/>
      <c r="DE28" s="32"/>
      <c r="DF28" s="32"/>
      <c r="DG28" s="32"/>
      <c r="DH28" s="32"/>
      <c r="DI28" s="32"/>
      <c r="DJ28" s="32"/>
      <c r="DK28" s="32"/>
      <c r="DL28" s="32"/>
      <c r="DM28" s="32"/>
      <c r="DN28" s="32"/>
      <c r="DO28" s="32"/>
      <c r="DP28" s="32"/>
      <c r="DQ28" s="32"/>
      <c r="DR28" s="32"/>
      <c r="DS28" s="32"/>
      <c r="DT28" s="32"/>
      <c r="DU28" s="32"/>
      <c r="DV28" s="32"/>
      <c r="DW28" s="32"/>
      <c r="DX28" s="32"/>
      <c r="DY28" s="32"/>
      <c r="DZ28" s="32"/>
      <c r="EA28" s="32"/>
      <c r="EB28" s="32"/>
      <c r="EC28" s="32"/>
      <c r="ED28" s="32"/>
      <c r="EE28" s="32"/>
      <c r="EF28" s="32"/>
      <c r="EG28" s="32"/>
      <c r="EH28" s="32"/>
      <c r="EI28" s="32"/>
      <c r="EJ28" s="32"/>
      <c r="EK28" s="32"/>
      <c r="EL28" s="32"/>
      <c r="EM28" s="32"/>
      <c r="EN28" s="32"/>
      <c r="EO28" s="32"/>
      <c r="EP28" s="32"/>
      <c r="EQ28" s="32"/>
      <c r="ER28" s="32"/>
      <c r="ES28" s="32"/>
      <c r="ET28" s="32"/>
      <c r="EU28" s="32"/>
      <c r="EV28" s="32"/>
      <c r="EW28" s="32"/>
      <c r="EX28" s="32"/>
      <c r="EY28" s="32"/>
      <c r="EZ28" s="32"/>
      <c r="FA28" s="32"/>
      <c r="FB28" s="32"/>
      <c r="FC28" s="32"/>
      <c r="FD28" s="32"/>
      <c r="FE28" s="32"/>
      <c r="FF28" s="32"/>
      <c r="FG28" s="32"/>
      <c r="FH28" s="32"/>
      <c r="FI28" s="32"/>
      <c r="FJ28" s="32"/>
      <c r="FK28" s="32"/>
      <c r="FL28" s="32"/>
      <c r="FM28" s="32"/>
      <c r="FN28" s="32"/>
      <c r="FO28" s="32"/>
      <c r="FP28" s="32"/>
      <c r="FQ28" s="32"/>
      <c r="FR28" s="32"/>
      <c r="FS28" s="32"/>
      <c r="FT28" s="32"/>
      <c r="FU28" s="32"/>
      <c r="FV28" s="32"/>
      <c r="FW28" s="32"/>
      <c r="FX28" s="32"/>
      <c r="FY28" s="32"/>
      <c r="FZ28" s="32"/>
      <c r="GA28" s="32"/>
      <c r="GB28" s="32"/>
      <c r="GC28" s="32"/>
      <c r="GD28" s="32"/>
      <c r="GE28" s="32"/>
      <c r="GF28" s="32"/>
      <c r="GG28" s="32"/>
      <c r="GH28" s="32"/>
      <c r="GI28" s="32"/>
      <c r="GJ28" s="32"/>
      <c r="GK28" s="32"/>
      <c r="GL28" s="32"/>
      <c r="GM28" s="32"/>
      <c r="GN28" s="32"/>
      <c r="GO28" s="32"/>
      <c r="GP28" s="32"/>
      <c r="GQ28" s="32"/>
      <c r="GR28" s="32"/>
      <c r="GS28" s="32"/>
      <c r="GT28" s="32"/>
      <c r="GU28" s="32"/>
      <c r="GV28" s="32"/>
    </row>
    <row r="29" spans="1:287" ht="13.5">
      <c r="A29" s="27"/>
      <c r="B29" s="34"/>
      <c r="C29" s="37"/>
      <c r="D29" s="37"/>
      <c r="E29" s="184"/>
      <c r="F29" s="184"/>
      <c r="G29" s="184"/>
      <c r="H29" s="184"/>
      <c r="I29" s="184"/>
      <c r="J29" s="184"/>
      <c r="K29" s="184"/>
      <c r="L29" s="184"/>
      <c r="M29" s="184"/>
      <c r="N29" s="184"/>
      <c r="O29" s="184"/>
      <c r="P29" s="184"/>
      <c r="Q29" s="184"/>
      <c r="R29" s="184"/>
      <c r="S29" s="184"/>
      <c r="T29" s="184"/>
      <c r="U29" s="184"/>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c r="DO29" s="32"/>
      <c r="DP29" s="32"/>
      <c r="DQ29" s="32"/>
      <c r="DR29" s="32"/>
      <c r="DS29" s="32"/>
      <c r="DT29" s="32"/>
      <c r="DU29" s="32"/>
      <c r="DV29" s="32"/>
      <c r="DW29" s="32"/>
      <c r="DX29" s="32"/>
      <c r="DY29" s="32"/>
      <c r="DZ29" s="32"/>
      <c r="EA29" s="32"/>
      <c r="EB29" s="32"/>
      <c r="EC29" s="32"/>
      <c r="ED29" s="32"/>
      <c r="EE29" s="32"/>
      <c r="EF29" s="32"/>
      <c r="EG29" s="32"/>
      <c r="EH29" s="32"/>
      <c r="EI29" s="32"/>
      <c r="EJ29" s="32"/>
      <c r="EK29" s="32"/>
      <c r="EL29" s="32"/>
      <c r="EM29" s="32"/>
      <c r="EN29" s="32"/>
      <c r="EO29" s="32"/>
      <c r="EP29" s="32"/>
      <c r="EQ29" s="32"/>
      <c r="ER29" s="32"/>
      <c r="ES29" s="32"/>
      <c r="ET29" s="32"/>
      <c r="EU29" s="32"/>
      <c r="EV29" s="32"/>
      <c r="EW29" s="32"/>
      <c r="EX29" s="32"/>
      <c r="EY29" s="32"/>
      <c r="EZ29" s="32"/>
      <c r="FA29" s="32"/>
      <c r="FB29" s="32"/>
      <c r="FC29" s="32"/>
      <c r="FD29" s="32"/>
      <c r="FE29" s="32"/>
      <c r="FF29" s="32"/>
      <c r="FG29" s="32"/>
      <c r="FH29" s="32"/>
      <c r="FI29" s="32"/>
      <c r="FJ29" s="32"/>
      <c r="FK29" s="32"/>
      <c r="FL29" s="32"/>
      <c r="FM29" s="32"/>
      <c r="FN29" s="32"/>
      <c r="FO29" s="32"/>
      <c r="FP29" s="32"/>
      <c r="FQ29" s="32"/>
      <c r="FR29" s="32"/>
      <c r="FS29" s="32"/>
      <c r="FT29" s="32"/>
      <c r="FU29" s="32"/>
      <c r="FV29" s="32"/>
      <c r="FW29" s="32"/>
      <c r="FX29" s="32"/>
      <c r="FY29" s="32"/>
      <c r="FZ29" s="32"/>
      <c r="GA29" s="32"/>
      <c r="GB29" s="32"/>
      <c r="GC29" s="32"/>
      <c r="GD29" s="32"/>
      <c r="GE29" s="32"/>
      <c r="GF29" s="32"/>
      <c r="GG29" s="32"/>
      <c r="GH29" s="32"/>
      <c r="GI29" s="32"/>
      <c r="GJ29" s="32"/>
      <c r="GK29" s="32"/>
      <c r="GL29" s="32"/>
      <c r="GM29" s="32"/>
      <c r="GN29" s="32"/>
      <c r="GO29" s="32"/>
      <c r="GP29" s="32"/>
      <c r="GQ29" s="32"/>
      <c r="GR29" s="32"/>
      <c r="GS29" s="32"/>
      <c r="GT29" s="32"/>
      <c r="GU29" s="32"/>
      <c r="GV29" s="32"/>
    </row>
    <row r="30" spans="1:287">
      <c r="A30" s="27"/>
      <c r="B30" s="38"/>
      <c r="C30" s="37"/>
      <c r="D30" s="37"/>
      <c r="E30" s="184"/>
      <c r="F30" s="184"/>
      <c r="G30" s="184"/>
      <c r="H30" s="184"/>
      <c r="I30" s="184"/>
      <c r="J30" s="184"/>
      <c r="K30" s="184"/>
      <c r="L30" s="184"/>
      <c r="M30" s="184"/>
      <c r="N30" s="184"/>
      <c r="O30" s="184"/>
      <c r="P30" s="184"/>
      <c r="Q30" s="184"/>
      <c r="R30" s="184"/>
      <c r="S30" s="184"/>
      <c r="T30" s="184"/>
      <c r="U30" s="184"/>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c r="BN30" s="32"/>
      <c r="BO30" s="32"/>
      <c r="BP30" s="32"/>
      <c r="BQ30" s="32"/>
      <c r="BR30" s="32"/>
      <c r="BS30" s="32"/>
      <c r="BT30" s="32"/>
      <c r="BU30" s="32"/>
      <c r="BV30" s="32"/>
      <c r="BW30" s="32"/>
      <c r="BX30" s="32"/>
      <c r="BY30" s="32"/>
      <c r="BZ30" s="32"/>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c r="DD30" s="32"/>
      <c r="DE30" s="32"/>
      <c r="DF30" s="32"/>
      <c r="DG30" s="32"/>
      <c r="DH30" s="32"/>
      <c r="DI30" s="32"/>
      <c r="DJ30" s="32"/>
      <c r="DK30" s="32"/>
      <c r="DL30" s="32"/>
      <c r="DM30" s="32"/>
      <c r="DN30" s="32"/>
      <c r="DO30" s="32"/>
      <c r="DP30" s="32"/>
      <c r="DQ30" s="32"/>
      <c r="DR30" s="32"/>
      <c r="DS30" s="32"/>
      <c r="DT30" s="32"/>
      <c r="DU30" s="32"/>
      <c r="DV30" s="32"/>
      <c r="DW30" s="32"/>
      <c r="DX30" s="32"/>
      <c r="DY30" s="32"/>
      <c r="DZ30" s="32"/>
      <c r="EA30" s="32"/>
      <c r="EB30" s="32"/>
      <c r="EC30" s="32"/>
      <c r="ED30" s="32"/>
      <c r="EE30" s="32"/>
      <c r="EF30" s="32"/>
      <c r="EG30" s="32"/>
      <c r="EH30" s="32"/>
      <c r="EI30" s="32"/>
      <c r="EJ30" s="32"/>
      <c r="EK30" s="32"/>
      <c r="EL30" s="32"/>
      <c r="EM30" s="32"/>
      <c r="EN30" s="32"/>
      <c r="EO30" s="32"/>
      <c r="EP30" s="32"/>
      <c r="EQ30" s="32"/>
      <c r="ER30" s="32"/>
      <c r="ES30" s="32"/>
      <c r="ET30" s="32"/>
      <c r="EU30" s="32"/>
      <c r="EV30" s="32"/>
      <c r="EW30" s="32"/>
      <c r="EX30" s="32"/>
      <c r="EY30" s="32"/>
      <c r="EZ30" s="32"/>
      <c r="FA30" s="32"/>
      <c r="FB30" s="32"/>
      <c r="FC30" s="32"/>
      <c r="FD30" s="32"/>
      <c r="FE30" s="32"/>
      <c r="FF30" s="32"/>
      <c r="FG30" s="32"/>
      <c r="FH30" s="32"/>
      <c r="FI30" s="32"/>
      <c r="FJ30" s="32"/>
      <c r="FK30" s="32"/>
      <c r="FL30" s="32"/>
      <c r="FM30" s="32"/>
      <c r="FN30" s="32"/>
      <c r="FO30" s="32"/>
      <c r="FP30" s="32"/>
      <c r="FQ30" s="32"/>
      <c r="FR30" s="32"/>
      <c r="FS30" s="32"/>
      <c r="FT30" s="32"/>
      <c r="FU30" s="32"/>
      <c r="FV30" s="32"/>
      <c r="FW30" s="32"/>
      <c r="FX30" s="32"/>
      <c r="FY30" s="32"/>
      <c r="FZ30" s="32"/>
      <c r="GA30" s="32"/>
      <c r="GB30" s="32"/>
      <c r="GC30" s="32"/>
      <c r="GD30" s="32"/>
      <c r="GE30" s="32"/>
      <c r="GF30" s="32"/>
      <c r="GG30" s="32"/>
      <c r="GH30" s="32"/>
      <c r="GI30" s="32"/>
      <c r="GJ30" s="32"/>
      <c r="GK30" s="32"/>
      <c r="GL30" s="32"/>
      <c r="GM30" s="32"/>
      <c r="GN30" s="32"/>
      <c r="GO30" s="32"/>
      <c r="GP30" s="32"/>
      <c r="GQ30" s="32"/>
      <c r="GR30" s="32"/>
      <c r="GS30" s="32"/>
      <c r="GT30" s="32"/>
      <c r="GU30" s="32"/>
      <c r="GV30" s="32"/>
    </row>
    <row r="31" spans="1:287" s="8" customFormat="1" ht="14.1" customHeight="1">
      <c r="A31" s="39"/>
      <c r="B31" s="38"/>
      <c r="C31" s="40"/>
      <c r="D31" s="40"/>
      <c r="E31" s="187"/>
      <c r="F31" s="187"/>
      <c r="G31" s="187"/>
      <c r="H31" s="187"/>
      <c r="I31" s="187"/>
      <c r="J31" s="187"/>
      <c r="K31" s="187"/>
      <c r="L31" s="187"/>
      <c r="M31" s="187"/>
      <c r="N31" s="187"/>
      <c r="O31" s="187"/>
      <c r="P31" s="187"/>
      <c r="Q31" s="187"/>
      <c r="R31" s="187"/>
      <c r="S31" s="187"/>
      <c r="T31" s="187"/>
      <c r="U31" s="187"/>
      <c r="V31" s="186"/>
      <c r="W31" s="186"/>
      <c r="X31" s="186"/>
      <c r="Y31" s="186"/>
      <c r="Z31" s="186"/>
      <c r="AA31" s="186"/>
      <c r="AB31" s="186"/>
      <c r="AC31" s="186"/>
      <c r="AD31" s="186"/>
      <c r="AE31" s="186"/>
      <c r="AF31" s="186"/>
      <c r="AG31" s="186"/>
      <c r="AH31" s="186"/>
      <c r="AI31" s="186"/>
      <c r="AJ31" s="186"/>
      <c r="AK31" s="186"/>
      <c r="AL31" s="186"/>
      <c r="AM31" s="186"/>
      <c r="AN31" s="186"/>
      <c r="AO31" s="186"/>
      <c r="AP31" s="186"/>
      <c r="AQ31" s="186"/>
      <c r="AR31" s="186"/>
      <c r="AS31" s="186"/>
      <c r="AT31" s="186"/>
      <c r="AU31" s="186"/>
      <c r="AV31" s="186"/>
      <c r="AW31" s="186"/>
      <c r="AX31" s="186"/>
      <c r="AY31" s="186"/>
      <c r="AZ31" s="186"/>
      <c r="BA31" s="186"/>
      <c r="BB31" s="186"/>
      <c r="BC31" s="186"/>
      <c r="BD31" s="186"/>
      <c r="BE31" s="186"/>
      <c r="BF31" s="186"/>
      <c r="BG31" s="186"/>
      <c r="BH31" s="186"/>
      <c r="BI31" s="186"/>
      <c r="BJ31" s="186"/>
      <c r="BK31" s="186"/>
      <c r="BL31" s="186"/>
      <c r="BM31" s="186"/>
      <c r="BN31" s="186"/>
      <c r="BO31" s="186"/>
      <c r="BP31" s="186"/>
      <c r="BQ31" s="186"/>
      <c r="BR31" s="186"/>
      <c r="BS31" s="186"/>
      <c r="BT31" s="186"/>
      <c r="BU31" s="186"/>
      <c r="BV31" s="186"/>
      <c r="BW31" s="186"/>
      <c r="BX31" s="186"/>
      <c r="BY31" s="186"/>
      <c r="BZ31" s="186"/>
      <c r="CA31" s="186"/>
      <c r="CB31" s="186"/>
      <c r="CC31" s="186"/>
      <c r="CD31" s="186"/>
      <c r="CE31" s="186"/>
      <c r="CF31" s="186"/>
      <c r="CG31" s="186"/>
      <c r="CH31" s="186"/>
      <c r="CI31" s="186"/>
      <c r="CJ31" s="186"/>
      <c r="CK31" s="186"/>
      <c r="CL31" s="186"/>
      <c r="CM31" s="186"/>
      <c r="CN31" s="186"/>
      <c r="CO31" s="186"/>
      <c r="CP31" s="186"/>
      <c r="CQ31" s="186"/>
      <c r="CR31" s="186"/>
      <c r="CS31" s="186"/>
      <c r="CT31" s="186"/>
      <c r="CU31" s="186"/>
      <c r="CV31" s="186"/>
      <c r="CW31" s="186"/>
      <c r="CX31" s="186"/>
      <c r="CY31" s="186"/>
      <c r="CZ31" s="186"/>
      <c r="DA31" s="186"/>
      <c r="DB31" s="186"/>
      <c r="DC31" s="186"/>
      <c r="DD31" s="186"/>
      <c r="DE31" s="186"/>
      <c r="DF31" s="186"/>
      <c r="DG31" s="186"/>
      <c r="DH31" s="186"/>
      <c r="DI31" s="186"/>
      <c r="DJ31" s="186"/>
      <c r="DK31" s="186"/>
      <c r="DL31" s="186"/>
      <c r="DM31" s="186"/>
      <c r="DN31" s="186"/>
      <c r="DO31" s="186"/>
      <c r="DP31" s="186"/>
      <c r="DQ31" s="186"/>
      <c r="DR31" s="186"/>
      <c r="DS31" s="186"/>
      <c r="DT31" s="186"/>
      <c r="DU31" s="186"/>
      <c r="DV31" s="186"/>
      <c r="DW31" s="186"/>
      <c r="DX31" s="186"/>
      <c r="DY31" s="186"/>
      <c r="DZ31" s="186"/>
      <c r="EA31" s="186"/>
      <c r="EB31" s="186"/>
      <c r="EC31" s="186"/>
      <c r="ED31" s="186"/>
      <c r="EE31" s="186"/>
      <c r="EF31" s="186"/>
      <c r="EG31" s="186"/>
      <c r="EH31" s="186"/>
      <c r="EI31" s="186"/>
      <c r="EJ31" s="186"/>
      <c r="EK31" s="186"/>
      <c r="EL31" s="186"/>
      <c r="EM31" s="186"/>
      <c r="EN31" s="186"/>
      <c r="EO31" s="186"/>
      <c r="EP31" s="186"/>
      <c r="EQ31" s="186"/>
      <c r="ER31" s="186"/>
      <c r="ES31" s="186"/>
      <c r="ET31" s="186"/>
      <c r="EU31" s="186"/>
      <c r="EV31" s="186"/>
      <c r="EW31" s="186"/>
      <c r="EX31" s="186"/>
      <c r="EY31" s="186"/>
      <c r="EZ31" s="186"/>
      <c r="FA31" s="186"/>
      <c r="FB31" s="186"/>
      <c r="FC31" s="186"/>
      <c r="FD31" s="186"/>
      <c r="FE31" s="186"/>
      <c r="FF31" s="186"/>
      <c r="FG31" s="186"/>
      <c r="FH31" s="186"/>
      <c r="FI31" s="186"/>
      <c r="FJ31" s="186"/>
      <c r="FK31" s="186"/>
      <c r="FL31" s="186"/>
      <c r="FM31" s="186"/>
      <c r="FN31" s="186"/>
      <c r="FO31" s="186"/>
      <c r="FP31" s="186"/>
      <c r="FQ31" s="186"/>
      <c r="FR31" s="186"/>
      <c r="FS31" s="186"/>
      <c r="FT31" s="186"/>
      <c r="FU31" s="186"/>
      <c r="FV31" s="186"/>
      <c r="FW31" s="186"/>
      <c r="FX31" s="186"/>
      <c r="FY31" s="186"/>
      <c r="FZ31" s="186"/>
      <c r="GA31" s="186"/>
      <c r="GB31" s="186"/>
      <c r="GC31" s="186"/>
      <c r="GD31" s="186"/>
      <c r="GE31" s="186"/>
      <c r="GF31" s="186"/>
      <c r="GG31" s="186"/>
      <c r="GH31" s="186"/>
      <c r="GI31" s="186"/>
      <c r="GJ31" s="186"/>
      <c r="GK31" s="186"/>
      <c r="GL31" s="186"/>
      <c r="GM31" s="186"/>
      <c r="GN31" s="186"/>
      <c r="GO31" s="186"/>
      <c r="GP31" s="186"/>
      <c r="GQ31" s="186"/>
      <c r="GR31" s="186"/>
      <c r="GS31" s="186"/>
      <c r="GT31" s="186"/>
      <c r="GU31" s="186"/>
      <c r="GV31" s="186"/>
      <c r="GY31" s="40"/>
      <c r="GZ31" s="40"/>
      <c r="HA31" s="40"/>
      <c r="HB31" s="40"/>
      <c r="HC31" s="40"/>
      <c r="HD31" s="40"/>
      <c r="HE31" s="40"/>
      <c r="HF31" s="40"/>
      <c r="HG31" s="40"/>
      <c r="HH31" s="40"/>
      <c r="HI31" s="40"/>
      <c r="HJ31" s="40"/>
      <c r="HK31" s="40"/>
      <c r="HL31" s="40"/>
      <c r="HM31" s="40"/>
      <c r="HN31" s="40"/>
      <c r="HO31" s="40"/>
      <c r="HP31" s="40"/>
      <c r="HQ31" s="40"/>
      <c r="HR31" s="40"/>
      <c r="HS31" s="40"/>
      <c r="HT31" s="40"/>
      <c r="HU31" s="40"/>
      <c r="HV31" s="40"/>
      <c r="HW31" s="40"/>
      <c r="HX31" s="40"/>
      <c r="HY31" s="40"/>
      <c r="HZ31" s="40"/>
      <c r="IA31" s="40"/>
      <c r="IB31" s="40"/>
      <c r="IC31" s="40"/>
      <c r="ID31" s="40"/>
      <c r="IE31" s="40"/>
      <c r="IF31" s="40"/>
      <c r="IG31" s="40"/>
      <c r="IH31" s="40"/>
      <c r="II31" s="40"/>
      <c r="IJ31" s="40"/>
      <c r="IK31" s="40"/>
      <c r="IL31" s="40"/>
      <c r="IM31" s="40"/>
      <c r="IN31" s="40"/>
      <c r="IO31" s="40"/>
      <c r="IP31" s="40"/>
      <c r="IQ31" s="40"/>
      <c r="IR31" s="40"/>
      <c r="IS31" s="40"/>
      <c r="IT31" s="40"/>
      <c r="IU31" s="40"/>
      <c r="IV31" s="40"/>
      <c r="IW31" s="40"/>
      <c r="IX31" s="40"/>
      <c r="IY31" s="40"/>
      <c r="IZ31" s="40"/>
      <c r="JA31" s="40"/>
      <c r="JB31" s="40"/>
      <c r="JC31" s="40"/>
      <c r="JD31" s="40"/>
      <c r="JE31" s="40"/>
      <c r="JF31" s="40"/>
      <c r="JG31" s="40"/>
      <c r="JH31" s="40"/>
      <c r="JI31" s="40"/>
      <c r="JJ31" s="40"/>
      <c r="JK31" s="40"/>
      <c r="JL31" s="40"/>
      <c r="JM31" s="40"/>
      <c r="JN31" s="40"/>
      <c r="JO31" s="40"/>
      <c r="JP31" s="40"/>
      <c r="JQ31" s="40"/>
      <c r="JR31" s="40"/>
      <c r="JS31" s="40"/>
      <c r="JT31" s="40"/>
      <c r="JU31" s="40"/>
      <c r="JV31" s="40"/>
      <c r="JW31" s="40"/>
      <c r="JX31" s="40"/>
      <c r="JY31" s="40"/>
      <c r="JZ31" s="40"/>
      <c r="KA31" s="40"/>
    </row>
    <row r="32" spans="1:287">
      <c r="A32" s="42"/>
      <c r="B32" s="38"/>
      <c r="C32" s="37"/>
      <c r="D32" s="37"/>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c r="FP32" s="80"/>
      <c r="FQ32" s="80"/>
      <c r="FR32" s="80"/>
      <c r="FS32" s="80"/>
      <c r="FT32" s="80"/>
      <c r="FU32" s="80"/>
      <c r="FV32" s="80"/>
      <c r="FW32" s="80"/>
      <c r="FX32" s="80"/>
      <c r="FY32" s="80"/>
      <c r="FZ32" s="80"/>
      <c r="GA32" s="80"/>
      <c r="GB32" s="80"/>
      <c r="GC32" s="80"/>
      <c r="GD32" s="80"/>
      <c r="GE32" s="80"/>
      <c r="GF32" s="80"/>
      <c r="GG32" s="80"/>
      <c r="GH32" s="80"/>
      <c r="GI32" s="80"/>
      <c r="GJ32" s="80"/>
      <c r="GK32" s="80"/>
      <c r="GL32" s="80"/>
      <c r="GM32" s="80"/>
      <c r="GN32" s="80"/>
      <c r="GO32" s="80"/>
      <c r="GP32" s="80"/>
      <c r="GQ32" s="80"/>
      <c r="GR32" s="80"/>
      <c r="GS32" s="80"/>
      <c r="GT32" s="80"/>
      <c r="GU32" s="80"/>
      <c r="GV32" s="80"/>
    </row>
    <row r="33" spans="1:287" ht="13.5" customHeight="1">
      <c r="A33" s="42"/>
      <c r="B33" s="38"/>
      <c r="C33" s="43"/>
      <c r="D33" s="43"/>
      <c r="E33" s="81"/>
      <c r="F33" s="857"/>
      <c r="G33" s="856"/>
      <c r="H33" s="856"/>
      <c r="I33" s="856"/>
      <c r="J33" s="81"/>
      <c r="K33" s="81"/>
      <c r="L33" s="949"/>
      <c r="M33" s="1090"/>
      <c r="N33" s="1169"/>
      <c r="O33" s="1319"/>
      <c r="P33" s="1451"/>
      <c r="Q33" s="81"/>
      <c r="R33" s="81"/>
      <c r="S33" s="81"/>
      <c r="T33" s="81"/>
      <c r="U33" s="81"/>
      <c r="V33" s="81"/>
      <c r="W33" s="81"/>
      <c r="X33" s="81"/>
      <c r="Y33" s="81"/>
      <c r="Z33" s="81"/>
      <c r="AA33" s="81"/>
      <c r="AB33" s="81"/>
      <c r="AC33" s="81"/>
      <c r="AD33" s="81"/>
      <c r="AE33" s="879"/>
      <c r="AF33" s="879"/>
      <c r="AG33" s="879"/>
      <c r="AH33" s="890"/>
      <c r="AI33" s="892"/>
      <c r="AJ33" s="894"/>
      <c r="AK33" s="895"/>
      <c r="AL33" s="896"/>
      <c r="AM33" s="896"/>
      <c r="AN33" s="896"/>
      <c r="AO33" s="897"/>
      <c r="AP33" s="903"/>
      <c r="AQ33" s="904"/>
      <c r="AR33" s="907"/>
      <c r="AS33" s="908"/>
      <c r="AT33" s="908"/>
      <c r="AU33" s="908"/>
      <c r="AV33" s="916"/>
      <c r="AW33" s="916"/>
      <c r="AX33" s="917"/>
      <c r="AY33" s="918"/>
      <c r="AZ33" s="919"/>
      <c r="BA33" s="920"/>
      <c r="BB33" s="920"/>
      <c r="BC33" s="920"/>
      <c r="BD33" s="928"/>
      <c r="BE33" s="929"/>
      <c r="BF33" s="929"/>
      <c r="BG33" s="931"/>
      <c r="BH33" s="932"/>
      <c r="BI33" s="932"/>
      <c r="BJ33" s="932"/>
      <c r="BK33" s="932"/>
      <c r="BL33" s="932"/>
      <c r="BM33" s="932"/>
      <c r="BN33" s="949"/>
      <c r="BO33" s="949"/>
      <c r="BP33" s="949"/>
      <c r="BQ33" s="949"/>
      <c r="BR33" s="967"/>
      <c r="BS33" s="972"/>
      <c r="BT33" s="978"/>
      <c r="BU33" s="978"/>
      <c r="BV33" s="978"/>
      <c r="BW33" s="978"/>
      <c r="BX33" s="978"/>
      <c r="BY33" s="978"/>
      <c r="BZ33" s="978"/>
      <c r="CA33" s="992"/>
      <c r="CB33" s="999"/>
      <c r="CC33" s="999"/>
      <c r="CD33" s="999"/>
      <c r="CE33" s="1004"/>
      <c r="CF33" s="1018"/>
      <c r="CG33" s="1026"/>
      <c r="CH33" s="1034"/>
      <c r="CI33" s="1046"/>
      <c r="CJ33" s="1057"/>
      <c r="CK33" s="1057"/>
      <c r="CL33" s="1062"/>
      <c r="CM33" s="1067"/>
      <c r="CN33" s="1071"/>
      <c r="CO33" s="1076"/>
      <c r="CP33" s="1082"/>
      <c r="CQ33" s="1082"/>
      <c r="CR33" s="1082"/>
      <c r="CS33" s="1082"/>
      <c r="CT33" s="1082"/>
      <c r="CU33" s="1082"/>
      <c r="CV33" s="1082"/>
      <c r="CW33" s="1082"/>
      <c r="CX33" s="1082"/>
      <c r="CY33" s="1082"/>
      <c r="CZ33" s="1082"/>
      <c r="DA33" s="1082"/>
      <c r="DB33" s="1096"/>
      <c r="DC33" s="1102"/>
      <c r="DD33" s="1111"/>
      <c r="DE33" s="1111"/>
      <c r="DF33" s="1111"/>
      <c r="DG33" s="1119"/>
      <c r="DH33" s="1125"/>
      <c r="DI33" s="1125"/>
      <c r="DJ33" s="1130"/>
      <c r="DK33" s="1140"/>
      <c r="DL33" s="1140"/>
      <c r="DM33" s="1140"/>
      <c r="DN33" s="1146"/>
      <c r="DO33" s="1153"/>
      <c r="DP33" s="1158"/>
      <c r="DQ33" s="1158"/>
      <c r="DR33" s="1164"/>
      <c r="DS33" s="1164"/>
      <c r="DT33" s="1164"/>
      <c r="DU33" s="1179"/>
      <c r="DV33" s="1184"/>
      <c r="DW33" s="1188"/>
      <c r="DX33" s="1193"/>
      <c r="DY33" s="1201"/>
      <c r="DZ33" s="1201"/>
      <c r="EA33" s="1201"/>
      <c r="EB33" s="1212"/>
      <c r="EC33" s="1216"/>
      <c r="ED33" s="1224"/>
      <c r="EE33" s="1236"/>
      <c r="EF33" s="1245"/>
      <c r="EG33" s="1245"/>
      <c r="EH33" s="1245"/>
      <c r="EI33" s="1251"/>
      <c r="EJ33" s="1258"/>
      <c r="EK33" s="1265"/>
      <c r="EL33" s="1269"/>
      <c r="EM33" s="1275"/>
      <c r="EN33" s="1275"/>
      <c r="EO33" s="1275"/>
      <c r="EP33" s="1286"/>
      <c r="EQ33" s="1293"/>
      <c r="ER33" s="1299"/>
      <c r="ES33" s="1299"/>
      <c r="ET33" s="1311"/>
      <c r="EU33" s="1311"/>
      <c r="EV33" s="1311"/>
      <c r="EW33" s="1319"/>
      <c r="EX33" s="1327"/>
      <c r="EY33" s="1331"/>
      <c r="EZ33" s="1338"/>
      <c r="FA33" s="1338"/>
      <c r="FB33" s="1338"/>
      <c r="FC33" s="1344"/>
      <c r="FD33" s="1351"/>
      <c r="FE33" s="1358"/>
      <c r="FF33" s="1363"/>
      <c r="FG33" s="1369"/>
      <c r="FH33" s="1379"/>
      <c r="FI33" s="1379"/>
      <c r="FJ33" s="1379"/>
      <c r="FK33" s="1387"/>
      <c r="FL33" s="1392"/>
      <c r="FM33" s="1398"/>
      <c r="FN33" s="1403"/>
      <c r="FO33" s="1409"/>
      <c r="FP33" s="1409"/>
      <c r="FQ33" s="1409"/>
      <c r="FR33" s="1422"/>
      <c r="FS33" s="1428"/>
      <c r="FT33" s="1433"/>
      <c r="FU33" s="1439"/>
      <c r="FV33" s="1446"/>
      <c r="FW33" s="1446"/>
      <c r="FX33" s="1451"/>
      <c r="FY33" s="1451"/>
      <c r="FZ33" s="1451"/>
      <c r="GA33" s="1451"/>
      <c r="GB33" s="1451"/>
      <c r="GC33" s="1451"/>
      <c r="GD33" s="1451"/>
      <c r="GE33" s="1451"/>
      <c r="GF33" s="1462"/>
      <c r="GG33" s="1467"/>
      <c r="GH33" s="1473"/>
      <c r="GI33" s="1477"/>
      <c r="GJ33" s="1483"/>
      <c r="GK33" s="1483"/>
      <c r="GL33" s="1483"/>
      <c r="GM33" s="1495"/>
      <c r="GN33" s="1500"/>
      <c r="GO33" s="1512"/>
      <c r="GP33" s="1516"/>
      <c r="GQ33" s="81"/>
      <c r="GR33" s="81"/>
      <c r="GS33" s="81"/>
      <c r="GT33" s="81"/>
      <c r="GU33" s="81"/>
      <c r="GV33" s="81"/>
    </row>
    <row r="34" spans="1:287" ht="13.5" customHeight="1">
      <c r="A34" s="42"/>
      <c r="B34" s="38"/>
      <c r="C34" s="43"/>
      <c r="D34" s="43"/>
      <c r="E34" s="81"/>
      <c r="F34" s="857"/>
      <c r="G34" s="856"/>
      <c r="H34" s="856"/>
      <c r="I34" s="856"/>
      <c r="J34" s="81"/>
      <c r="K34" s="81"/>
      <c r="L34" s="949"/>
      <c r="M34" s="1090"/>
      <c r="N34" s="1169"/>
      <c r="O34" s="1319"/>
      <c r="P34" s="1451"/>
      <c r="Q34" s="81"/>
      <c r="R34" s="81"/>
      <c r="S34" s="81"/>
      <c r="T34" s="81"/>
      <c r="U34" s="81"/>
      <c r="V34" s="81"/>
      <c r="W34" s="81"/>
      <c r="X34" s="81"/>
      <c r="Y34" s="81"/>
      <c r="Z34" s="81"/>
      <c r="AA34" s="81"/>
      <c r="AB34" s="81"/>
      <c r="AC34" s="81"/>
      <c r="AD34" s="81"/>
      <c r="AE34" s="879"/>
      <c r="AF34" s="879"/>
      <c r="AG34" s="879"/>
      <c r="AH34" s="890"/>
      <c r="AI34" s="892"/>
      <c r="AJ34" s="894"/>
      <c r="AK34" s="895"/>
      <c r="AL34" s="896"/>
      <c r="AM34" s="896"/>
      <c r="AN34" s="896"/>
      <c r="AO34" s="897"/>
      <c r="AP34" s="903"/>
      <c r="AQ34" s="904"/>
      <c r="AR34" s="907"/>
      <c r="AS34" s="908"/>
      <c r="AT34" s="908"/>
      <c r="AU34" s="908"/>
      <c r="AV34" s="916"/>
      <c r="AW34" s="916"/>
      <c r="AX34" s="917"/>
      <c r="AY34" s="918"/>
      <c r="AZ34" s="919"/>
      <c r="BA34" s="920"/>
      <c r="BB34" s="920"/>
      <c r="BC34" s="920"/>
      <c r="BD34" s="928"/>
      <c r="BE34" s="929"/>
      <c r="BF34" s="929"/>
      <c r="BG34" s="931"/>
      <c r="BH34" s="932"/>
      <c r="BI34" s="932"/>
      <c r="BJ34" s="932"/>
      <c r="BK34" s="932"/>
      <c r="BL34" s="932"/>
      <c r="BM34" s="932"/>
      <c r="BN34" s="949"/>
      <c r="BO34" s="949"/>
      <c r="BP34" s="949"/>
      <c r="BQ34" s="949"/>
      <c r="BR34" s="967"/>
      <c r="BS34" s="972"/>
      <c r="BT34" s="978"/>
      <c r="BU34" s="978"/>
      <c r="BV34" s="978"/>
      <c r="BW34" s="978"/>
      <c r="BX34" s="978"/>
      <c r="BY34" s="978"/>
      <c r="BZ34" s="978"/>
      <c r="CA34" s="992"/>
      <c r="CB34" s="999"/>
      <c r="CC34" s="999"/>
      <c r="CD34" s="999"/>
      <c r="CE34" s="1004"/>
      <c r="CF34" s="1018"/>
      <c r="CG34" s="1026"/>
      <c r="CH34" s="1034"/>
      <c r="CI34" s="1046"/>
      <c r="CJ34" s="1057"/>
      <c r="CK34" s="1057"/>
      <c r="CL34" s="1062"/>
      <c r="CM34" s="1067"/>
      <c r="CN34" s="1071"/>
      <c r="CO34" s="1076"/>
      <c r="CP34" s="1082"/>
      <c r="CQ34" s="1082"/>
      <c r="CR34" s="1082"/>
      <c r="CS34" s="1082"/>
      <c r="CT34" s="1082"/>
      <c r="CU34" s="1082"/>
      <c r="CV34" s="1082"/>
      <c r="CW34" s="1082"/>
      <c r="CX34" s="1082"/>
      <c r="CY34" s="1082"/>
      <c r="CZ34" s="1082"/>
      <c r="DA34" s="1082"/>
      <c r="DB34" s="1096"/>
      <c r="DC34" s="1102"/>
      <c r="DD34" s="1111"/>
      <c r="DE34" s="1111"/>
      <c r="DF34" s="1111"/>
      <c r="DG34" s="1119"/>
      <c r="DH34" s="1125"/>
      <c r="DI34" s="1125"/>
      <c r="DJ34" s="1130"/>
      <c r="DK34" s="1140"/>
      <c r="DL34" s="1140"/>
      <c r="DM34" s="1140"/>
      <c r="DN34" s="1146"/>
      <c r="DO34" s="1153"/>
      <c r="DP34" s="1158"/>
      <c r="DQ34" s="1158"/>
      <c r="DR34" s="1164"/>
      <c r="DS34" s="1164"/>
      <c r="DT34" s="1164"/>
      <c r="DU34" s="1179"/>
      <c r="DV34" s="1184"/>
      <c r="DW34" s="1188"/>
      <c r="DX34" s="1193"/>
      <c r="DY34" s="1201"/>
      <c r="DZ34" s="1201"/>
      <c r="EA34" s="1201"/>
      <c r="EB34" s="1212"/>
      <c r="EC34" s="1216"/>
      <c r="ED34" s="1224"/>
      <c r="EE34" s="1236"/>
      <c r="EF34" s="1245"/>
      <c r="EG34" s="1245"/>
      <c r="EH34" s="1245"/>
      <c r="EI34" s="1251"/>
      <c r="EJ34" s="1258"/>
      <c r="EK34" s="1265"/>
      <c r="EL34" s="1269"/>
      <c r="EM34" s="1275"/>
      <c r="EN34" s="1275"/>
      <c r="EO34" s="1275"/>
      <c r="EP34" s="1286"/>
      <c r="EQ34" s="1293"/>
      <c r="ER34" s="1299"/>
      <c r="ES34" s="1299"/>
      <c r="ET34" s="1311"/>
      <c r="EU34" s="1311"/>
      <c r="EV34" s="1311"/>
      <c r="EW34" s="1319"/>
      <c r="EX34" s="1327"/>
      <c r="EY34" s="1331"/>
      <c r="EZ34" s="1338"/>
      <c r="FA34" s="1338"/>
      <c r="FB34" s="1338"/>
      <c r="FC34" s="1344"/>
      <c r="FD34" s="1351"/>
      <c r="FE34" s="1358"/>
      <c r="FF34" s="1363"/>
      <c r="FG34" s="1369"/>
      <c r="FH34" s="1379"/>
      <c r="FI34" s="1379"/>
      <c r="FJ34" s="1379"/>
      <c r="FK34" s="1387"/>
      <c r="FL34" s="1392"/>
      <c r="FM34" s="1398"/>
      <c r="FN34" s="1403"/>
      <c r="FO34" s="1409"/>
      <c r="FP34" s="1409"/>
      <c r="FQ34" s="1409"/>
      <c r="FR34" s="1422"/>
      <c r="FS34" s="1428"/>
      <c r="FT34" s="1433"/>
      <c r="FU34" s="1439"/>
      <c r="FV34" s="1446"/>
      <c r="FW34" s="1446"/>
      <c r="FX34" s="1451"/>
      <c r="FY34" s="1451"/>
      <c r="FZ34" s="1451"/>
      <c r="GA34" s="1451"/>
      <c r="GB34" s="1451"/>
      <c r="GC34" s="1451"/>
      <c r="GD34" s="1451"/>
      <c r="GE34" s="1451"/>
      <c r="GF34" s="1462"/>
      <c r="GG34" s="1467"/>
      <c r="GH34" s="1473"/>
      <c r="GI34" s="1477"/>
      <c r="GJ34" s="1483"/>
      <c r="GK34" s="1483"/>
      <c r="GL34" s="1483"/>
      <c r="GM34" s="1495"/>
      <c r="GN34" s="1500"/>
      <c r="GO34" s="1512"/>
      <c r="GP34" s="1516"/>
      <c r="GQ34" s="81"/>
      <c r="GR34" s="81"/>
      <c r="GS34" s="81"/>
      <c r="GT34" s="81"/>
      <c r="GU34" s="81"/>
      <c r="GV34" s="81"/>
    </row>
    <row r="35" spans="1:287" ht="27" customHeight="1">
      <c r="A35" s="42"/>
      <c r="B35" s="189" t="s">
        <v>815</v>
      </c>
      <c r="C35" s="5"/>
      <c r="D35" s="119" t="s">
        <v>1256</v>
      </c>
      <c r="E35" s="119" t="s">
        <v>1257</v>
      </c>
      <c r="F35" s="119" t="s">
        <v>961</v>
      </c>
      <c r="G35" s="119" t="s">
        <v>962</v>
      </c>
      <c r="H35" s="119" t="s">
        <v>963</v>
      </c>
      <c r="I35" s="119" t="s">
        <v>832</v>
      </c>
      <c r="J35" s="119" t="s">
        <v>833</v>
      </c>
      <c r="K35" s="119" t="s">
        <v>834</v>
      </c>
      <c r="L35" s="119" t="s">
        <v>816</v>
      </c>
      <c r="M35" s="119" t="s">
        <v>1296</v>
      </c>
      <c r="N35" s="119" t="s">
        <v>1319</v>
      </c>
      <c r="O35" s="119" t="s">
        <v>1385</v>
      </c>
      <c r="P35" s="119" t="s">
        <v>1439</v>
      </c>
      <c r="Q35" s="119" t="s">
        <v>817</v>
      </c>
      <c r="R35" s="119" t="s">
        <v>818</v>
      </c>
      <c r="S35" s="119" t="s">
        <v>819</v>
      </c>
      <c r="T35" s="119" t="s">
        <v>820</v>
      </c>
      <c r="U35" s="119" t="s">
        <v>821</v>
      </c>
      <c r="V35" s="303">
        <v>43424</v>
      </c>
      <c r="W35" s="303">
        <v>43425</v>
      </c>
      <c r="X35" s="303">
        <v>43426</v>
      </c>
      <c r="Y35" s="303">
        <v>43427</v>
      </c>
      <c r="Z35" s="303">
        <v>43428</v>
      </c>
      <c r="AA35" s="303">
        <v>43429</v>
      </c>
      <c r="AB35" s="303">
        <v>43430</v>
      </c>
      <c r="AC35" s="303">
        <v>43431</v>
      </c>
      <c r="AD35" s="303">
        <v>43432</v>
      </c>
      <c r="AE35" s="303">
        <v>43433</v>
      </c>
      <c r="AF35" s="303">
        <v>43434</v>
      </c>
      <c r="AG35" s="303">
        <v>43435</v>
      </c>
      <c r="AH35" s="303">
        <v>43436</v>
      </c>
      <c r="AI35" s="303">
        <v>43437</v>
      </c>
      <c r="AJ35" s="303">
        <v>43438</v>
      </c>
      <c r="AK35" s="303">
        <v>43439</v>
      </c>
      <c r="AL35" s="303">
        <v>43440</v>
      </c>
      <c r="AM35" s="303">
        <v>43441</v>
      </c>
      <c r="AN35" s="303">
        <v>43442</v>
      </c>
      <c r="AO35" s="303">
        <v>43443</v>
      </c>
      <c r="AP35" s="303">
        <v>43444</v>
      </c>
      <c r="AQ35" s="303">
        <v>43445</v>
      </c>
      <c r="AR35" s="303">
        <v>43446</v>
      </c>
      <c r="AS35" s="303">
        <v>43447</v>
      </c>
      <c r="AT35" s="303">
        <v>43448</v>
      </c>
      <c r="AU35" s="303">
        <v>43449</v>
      </c>
      <c r="AV35" s="303">
        <v>43450</v>
      </c>
      <c r="AW35" s="303">
        <v>43451</v>
      </c>
      <c r="AX35" s="303">
        <v>43452</v>
      </c>
      <c r="AY35" s="303">
        <v>43453</v>
      </c>
      <c r="AZ35" s="303">
        <v>43454</v>
      </c>
      <c r="BA35" s="303">
        <v>43455</v>
      </c>
      <c r="BB35" s="303">
        <v>43456</v>
      </c>
      <c r="BC35" s="303">
        <v>43457</v>
      </c>
      <c r="BD35" s="303">
        <v>43458</v>
      </c>
      <c r="BE35" s="303">
        <v>43459</v>
      </c>
      <c r="BF35" s="303">
        <v>43460</v>
      </c>
      <c r="BG35" s="303">
        <v>43461</v>
      </c>
      <c r="BH35" s="303">
        <v>43462</v>
      </c>
      <c r="BI35" s="303">
        <v>43463</v>
      </c>
      <c r="BJ35" s="303">
        <v>43464</v>
      </c>
      <c r="BK35" s="303">
        <v>43465</v>
      </c>
      <c r="BL35" s="303">
        <v>43466</v>
      </c>
      <c r="BM35" s="303">
        <v>43467</v>
      </c>
      <c r="BN35" s="303">
        <v>43468</v>
      </c>
      <c r="BO35" s="303">
        <v>43469</v>
      </c>
      <c r="BP35" s="303">
        <v>43470</v>
      </c>
      <c r="BQ35" s="303">
        <v>43471</v>
      </c>
      <c r="BR35" s="303">
        <v>43472</v>
      </c>
      <c r="BS35" s="303">
        <v>43473</v>
      </c>
      <c r="BT35" s="303">
        <v>43474</v>
      </c>
      <c r="BU35" s="303">
        <v>43475</v>
      </c>
      <c r="BV35" s="303">
        <v>43476</v>
      </c>
      <c r="BW35" s="303">
        <v>43477</v>
      </c>
      <c r="BX35" s="303">
        <v>43478</v>
      </c>
      <c r="BY35" s="303">
        <v>43479</v>
      </c>
      <c r="BZ35" s="303">
        <v>43480</v>
      </c>
      <c r="CA35" s="303">
        <v>43481</v>
      </c>
      <c r="CB35" s="303">
        <v>43482</v>
      </c>
      <c r="CC35" s="303">
        <v>43483</v>
      </c>
      <c r="CD35" s="303">
        <v>43484</v>
      </c>
      <c r="CE35" s="303">
        <v>43485</v>
      </c>
      <c r="CF35" s="303">
        <v>43486</v>
      </c>
      <c r="CG35" s="303">
        <v>43487</v>
      </c>
      <c r="CH35" s="303">
        <v>43488</v>
      </c>
      <c r="CI35" s="303">
        <v>43489</v>
      </c>
      <c r="CJ35" s="303">
        <v>43490</v>
      </c>
      <c r="CK35" s="303">
        <v>43491</v>
      </c>
      <c r="CL35" s="303">
        <v>43492</v>
      </c>
      <c r="CM35" s="303">
        <v>43493</v>
      </c>
      <c r="CN35" s="303">
        <v>43494</v>
      </c>
      <c r="CO35" s="303">
        <v>43495</v>
      </c>
      <c r="CP35" s="303">
        <v>43496</v>
      </c>
      <c r="CQ35" s="303">
        <v>43497</v>
      </c>
      <c r="CR35" s="303">
        <v>43498</v>
      </c>
      <c r="CS35" s="303">
        <v>43499</v>
      </c>
      <c r="CT35" s="303">
        <v>43500</v>
      </c>
      <c r="CU35" s="303">
        <v>43501</v>
      </c>
      <c r="CV35" s="303">
        <v>43502</v>
      </c>
      <c r="CW35" s="303">
        <v>43503</v>
      </c>
      <c r="CX35" s="303">
        <v>43504</v>
      </c>
      <c r="CY35" s="303">
        <v>43505</v>
      </c>
      <c r="CZ35" s="303">
        <v>43506</v>
      </c>
      <c r="DA35" s="303">
        <v>43507</v>
      </c>
      <c r="DB35" s="303">
        <v>43508</v>
      </c>
      <c r="DC35" s="303">
        <v>43509</v>
      </c>
      <c r="DD35" s="303">
        <v>43510</v>
      </c>
      <c r="DE35" s="303">
        <v>43511</v>
      </c>
      <c r="DF35" s="303">
        <v>43512</v>
      </c>
      <c r="DG35" s="303">
        <v>43513</v>
      </c>
      <c r="DH35" s="303">
        <v>43514</v>
      </c>
      <c r="DI35" s="303">
        <v>43515</v>
      </c>
      <c r="DJ35" s="303">
        <v>43516</v>
      </c>
      <c r="DK35" s="303">
        <v>43517</v>
      </c>
      <c r="DL35" s="303">
        <v>43518</v>
      </c>
      <c r="DM35" s="303">
        <v>43519</v>
      </c>
      <c r="DN35" s="303">
        <v>43520</v>
      </c>
      <c r="DO35" s="303">
        <v>43521</v>
      </c>
      <c r="DP35" s="303">
        <v>43522</v>
      </c>
      <c r="DQ35" s="303">
        <v>43523</v>
      </c>
      <c r="DR35" s="303">
        <v>43524</v>
      </c>
      <c r="DS35" s="303">
        <v>43525</v>
      </c>
      <c r="DT35" s="303">
        <v>43526</v>
      </c>
      <c r="DU35" s="303">
        <v>43527</v>
      </c>
      <c r="DV35" s="303">
        <v>43528</v>
      </c>
      <c r="DW35" s="303">
        <v>43529</v>
      </c>
      <c r="DX35" s="303">
        <v>43530</v>
      </c>
      <c r="DY35" s="303">
        <v>43531</v>
      </c>
      <c r="DZ35" s="303">
        <v>43532</v>
      </c>
      <c r="EA35" s="303">
        <v>43533</v>
      </c>
      <c r="EB35" s="303">
        <v>43534</v>
      </c>
      <c r="EC35" s="303">
        <v>43535</v>
      </c>
      <c r="ED35" s="303">
        <v>43536</v>
      </c>
      <c r="EE35" s="303">
        <v>43537</v>
      </c>
      <c r="EF35" s="303">
        <v>43538</v>
      </c>
      <c r="EG35" s="303">
        <v>43539</v>
      </c>
      <c r="EH35" s="303">
        <v>43540</v>
      </c>
      <c r="EI35" s="303">
        <v>43541</v>
      </c>
      <c r="EJ35" s="303">
        <v>43542</v>
      </c>
      <c r="EK35" s="303">
        <v>43543</v>
      </c>
      <c r="EL35" s="303">
        <v>43544</v>
      </c>
      <c r="EM35" s="303">
        <v>43545</v>
      </c>
      <c r="EN35" s="303">
        <v>43546</v>
      </c>
      <c r="EO35" s="303">
        <v>43547</v>
      </c>
      <c r="EP35" s="303">
        <v>43548</v>
      </c>
      <c r="EQ35" s="303">
        <v>43549</v>
      </c>
      <c r="ER35" s="303">
        <v>43550</v>
      </c>
      <c r="ES35" s="303">
        <v>43551</v>
      </c>
      <c r="ET35" s="303">
        <v>43552</v>
      </c>
      <c r="EU35" s="303">
        <v>43553</v>
      </c>
      <c r="EV35" s="303">
        <v>43554</v>
      </c>
      <c r="EW35" s="303">
        <v>43555</v>
      </c>
      <c r="EX35" s="303">
        <v>43556</v>
      </c>
      <c r="EY35" s="303">
        <v>43557</v>
      </c>
      <c r="EZ35" s="303">
        <v>43558</v>
      </c>
      <c r="FA35" s="303">
        <v>43559</v>
      </c>
      <c r="FB35" s="303">
        <v>43560</v>
      </c>
      <c r="FC35" s="303">
        <v>43561</v>
      </c>
      <c r="FD35" s="303">
        <v>43562</v>
      </c>
      <c r="FE35" s="303">
        <v>43563</v>
      </c>
      <c r="FF35" s="303">
        <v>43564</v>
      </c>
      <c r="FG35" s="303">
        <v>43565</v>
      </c>
      <c r="FH35" s="303">
        <v>43566</v>
      </c>
      <c r="FI35" s="303">
        <v>43567</v>
      </c>
      <c r="FJ35" s="303">
        <v>43568</v>
      </c>
      <c r="FK35" s="303">
        <v>43569</v>
      </c>
      <c r="FL35" s="303">
        <v>43570</v>
      </c>
      <c r="FM35" s="303">
        <v>43571</v>
      </c>
      <c r="FN35" s="303">
        <v>43572</v>
      </c>
      <c r="FO35" s="303">
        <v>43573</v>
      </c>
      <c r="FP35" s="303">
        <v>43574</v>
      </c>
      <c r="FQ35" s="303">
        <v>43575</v>
      </c>
      <c r="FR35" s="303">
        <v>43576</v>
      </c>
      <c r="FS35" s="303">
        <v>43577</v>
      </c>
      <c r="FT35" s="303">
        <v>43578</v>
      </c>
      <c r="FU35" s="303">
        <v>43579</v>
      </c>
      <c r="FV35" s="303">
        <v>43580</v>
      </c>
      <c r="FW35" s="303">
        <v>43581</v>
      </c>
      <c r="FX35" s="303">
        <v>43582</v>
      </c>
      <c r="FY35" s="303">
        <v>43583</v>
      </c>
      <c r="FZ35" s="303">
        <v>43584</v>
      </c>
      <c r="GA35" s="303">
        <v>43585</v>
      </c>
      <c r="GB35" s="303">
        <v>43586</v>
      </c>
      <c r="GC35" s="303">
        <v>43587</v>
      </c>
      <c r="GD35" s="303">
        <v>43588</v>
      </c>
      <c r="GE35" s="303">
        <v>43589</v>
      </c>
      <c r="GF35" s="303">
        <v>43590</v>
      </c>
      <c r="GG35" s="303">
        <v>43591</v>
      </c>
      <c r="GH35" s="303">
        <v>43592</v>
      </c>
      <c r="GI35" s="303">
        <v>43593</v>
      </c>
      <c r="GJ35" s="303">
        <v>43594</v>
      </c>
      <c r="GK35" s="303">
        <v>43595</v>
      </c>
      <c r="GL35" s="303">
        <v>43596</v>
      </c>
      <c r="GM35" s="303">
        <v>43597</v>
      </c>
      <c r="GN35" s="303">
        <v>43598</v>
      </c>
      <c r="GO35" s="303">
        <v>43599</v>
      </c>
      <c r="GP35" s="303">
        <v>43600</v>
      </c>
      <c r="GQ35" s="303">
        <v>43601</v>
      </c>
      <c r="GR35" s="303">
        <v>43602</v>
      </c>
      <c r="GS35" s="303">
        <v>43603</v>
      </c>
      <c r="GT35" s="303">
        <v>43604</v>
      </c>
      <c r="GU35" s="303">
        <v>43605</v>
      </c>
      <c r="GV35" s="303">
        <v>43606</v>
      </c>
    </row>
    <row r="36" spans="1:287" ht="27" customHeight="1">
      <c r="A36" s="42"/>
      <c r="B36" s="202" t="s">
        <v>822</v>
      </c>
      <c r="C36" s="5"/>
      <c r="D36" s="362">
        <f>SUBTOTAL(9,F36:K36)</f>
        <v>1112</v>
      </c>
      <c r="E36" s="362">
        <f>SUM(BL42:GQ42)</f>
        <v>19535</v>
      </c>
      <c r="F36" s="362">
        <v>8</v>
      </c>
      <c r="G36" s="362">
        <v>3</v>
      </c>
      <c r="H36" s="362">
        <v>22</v>
      </c>
      <c r="I36" s="362">
        <v>32</v>
      </c>
      <c r="J36" s="362">
        <v>221</v>
      </c>
      <c r="K36" s="362">
        <f>SUM(AG42:BK42)</f>
        <v>826</v>
      </c>
      <c r="L36" s="362">
        <f>SUM(BL42:CP42)</f>
        <v>2083</v>
      </c>
      <c r="M36" s="1091">
        <f>SUM(CQ42:DR42)</f>
        <v>2551</v>
      </c>
      <c r="N36" s="1091">
        <f>SUM(DS42:EW42)</f>
        <v>6144</v>
      </c>
      <c r="O36" s="1091">
        <f>SUM(EX42:GA42)</f>
        <v>6729</v>
      </c>
      <c r="P36" s="1091">
        <f>SUM(GB42:GQ42)</f>
        <v>2028</v>
      </c>
      <c r="Q36" s="362">
        <f>SUM(FW42:GC42)</f>
        <v>1158</v>
      </c>
      <c r="R36" s="381">
        <f>SUM(GD42:GJ42)</f>
        <v>1040</v>
      </c>
      <c r="S36" s="381">
        <f>SUM(GK42:GQ42)</f>
        <v>988</v>
      </c>
      <c r="T36" s="382"/>
      <c r="U36" s="382"/>
      <c r="V36" s="89"/>
      <c r="W36" s="89"/>
      <c r="X36" s="89"/>
      <c r="Y36" s="89"/>
      <c r="Z36" s="89"/>
      <c r="AA36" s="89"/>
      <c r="AB36" s="89"/>
      <c r="AC36" s="89"/>
      <c r="AD36" s="89"/>
      <c r="AE36" s="736"/>
      <c r="AF36" s="736"/>
      <c r="AG36" s="736"/>
      <c r="AH36" s="736"/>
      <c r="AI36" s="736"/>
      <c r="AJ36" s="736"/>
      <c r="AK36" s="736"/>
      <c r="AL36" s="736"/>
      <c r="AM36" s="736"/>
      <c r="AN36" s="736"/>
      <c r="AO36" s="736"/>
      <c r="AP36" s="736"/>
      <c r="AQ36" s="736"/>
      <c r="AR36" s="736"/>
      <c r="AS36" s="736"/>
      <c r="AT36" s="736"/>
      <c r="AU36" s="736"/>
      <c r="AV36" s="736"/>
      <c r="AW36" s="736"/>
      <c r="AX36" s="736"/>
      <c r="AY36" s="736"/>
      <c r="AZ36" s="736"/>
      <c r="BA36" s="736"/>
      <c r="BB36" s="736"/>
      <c r="BC36" s="736"/>
      <c r="BD36" s="736"/>
      <c r="BE36" s="89"/>
      <c r="BF36" s="736"/>
      <c r="BG36" s="736"/>
      <c r="BH36" s="736"/>
      <c r="BI36" s="736"/>
      <c r="BJ36" s="736"/>
      <c r="BK36" s="736"/>
      <c r="BL36" s="736"/>
      <c r="BM36" s="736"/>
      <c r="BN36" s="89"/>
      <c r="BO36" s="89"/>
      <c r="BP36" s="89"/>
      <c r="BQ36" s="89"/>
      <c r="BR36" s="736"/>
      <c r="BS36" s="736"/>
      <c r="BT36" s="736"/>
      <c r="BU36" s="736"/>
      <c r="BV36" s="736"/>
      <c r="BW36" s="736"/>
      <c r="BX36" s="736"/>
      <c r="BY36" s="736"/>
      <c r="BZ36" s="736"/>
      <c r="CA36" s="736"/>
      <c r="CB36" s="736"/>
      <c r="CC36" s="736"/>
      <c r="CD36" s="736"/>
      <c r="CE36" s="736"/>
      <c r="CF36" s="736"/>
      <c r="CG36" s="736"/>
      <c r="CH36" s="736"/>
      <c r="CI36" s="736"/>
      <c r="CJ36" s="736"/>
      <c r="CK36" s="736"/>
      <c r="CL36" s="736"/>
      <c r="CM36" s="736"/>
      <c r="CN36" s="736"/>
      <c r="CO36" s="736"/>
      <c r="CP36" s="736"/>
      <c r="CQ36" s="736"/>
      <c r="CR36" s="736"/>
      <c r="CS36" s="736"/>
      <c r="CT36" s="736"/>
      <c r="CU36" s="736"/>
      <c r="CV36" s="736"/>
      <c r="CW36" s="736"/>
      <c r="CX36" s="736"/>
      <c r="CY36" s="736"/>
      <c r="CZ36" s="736"/>
      <c r="DA36" s="736"/>
      <c r="DB36" s="736"/>
      <c r="DC36" s="736"/>
      <c r="DD36" s="89"/>
      <c r="DE36" s="736"/>
      <c r="DF36" s="736"/>
      <c r="DG36" s="736"/>
      <c r="DH36" s="736"/>
      <c r="DI36" s="736"/>
      <c r="DJ36" s="736"/>
      <c r="DK36" s="736"/>
      <c r="DL36" s="736"/>
      <c r="DM36" s="736"/>
      <c r="DN36" s="736"/>
      <c r="DO36" s="736"/>
      <c r="DP36" s="89"/>
      <c r="DQ36" s="736"/>
      <c r="DR36" s="736"/>
      <c r="DS36" s="736"/>
      <c r="DT36" s="736"/>
      <c r="DU36" s="736"/>
      <c r="DV36" s="736"/>
      <c r="DW36" s="736"/>
      <c r="DX36" s="736"/>
      <c r="DY36" s="736"/>
      <c r="DZ36" s="736"/>
      <c r="EA36" s="736"/>
      <c r="EB36" s="736"/>
      <c r="EC36" s="736"/>
      <c r="ED36" s="736"/>
      <c r="EE36" s="736"/>
      <c r="EF36" s="736"/>
      <c r="EG36" s="736"/>
      <c r="EH36" s="736"/>
      <c r="EI36" s="736"/>
      <c r="EJ36" s="736"/>
      <c r="EK36" s="736"/>
      <c r="EL36" s="736"/>
      <c r="EM36" s="736"/>
      <c r="EN36" s="736"/>
      <c r="EO36" s="736"/>
      <c r="EP36" s="736"/>
      <c r="EQ36" s="736"/>
      <c r="ER36" s="736"/>
      <c r="ES36" s="89"/>
      <c r="ET36" s="89"/>
      <c r="EU36" s="736"/>
      <c r="EV36" s="736"/>
      <c r="EW36" s="736"/>
      <c r="EX36" s="736"/>
      <c r="EY36" s="1343" t="s">
        <v>1389</v>
      </c>
      <c r="EZ36" s="736"/>
      <c r="FA36" s="736"/>
      <c r="FB36" s="736"/>
      <c r="FC36" s="736"/>
      <c r="FD36" s="736"/>
      <c r="FE36" s="89"/>
      <c r="FF36" s="736"/>
      <c r="FG36" s="89"/>
      <c r="FH36" s="736"/>
      <c r="FI36" s="736"/>
      <c r="FJ36" s="736"/>
      <c r="FK36" s="736"/>
      <c r="FL36" s="736"/>
      <c r="FM36" s="736"/>
      <c r="FN36" s="736"/>
      <c r="FO36" s="89"/>
      <c r="FP36" s="736"/>
      <c r="FQ36" s="736"/>
      <c r="FR36" s="736"/>
      <c r="FS36" s="736"/>
      <c r="FT36" s="736"/>
      <c r="FU36" s="736"/>
      <c r="FV36" s="736"/>
      <c r="FW36" s="736"/>
      <c r="FX36" s="736"/>
      <c r="FY36" s="736"/>
      <c r="FZ36" s="736"/>
      <c r="GA36" s="736"/>
      <c r="GB36" s="736"/>
      <c r="GC36" s="736"/>
      <c r="GD36" s="736"/>
      <c r="GE36" s="736"/>
      <c r="GF36" s="736"/>
      <c r="GG36" s="736"/>
      <c r="GH36" s="736"/>
      <c r="GI36" s="736"/>
      <c r="GJ36" s="736"/>
      <c r="GK36" s="736"/>
      <c r="GL36" s="736"/>
      <c r="GM36" s="736"/>
      <c r="GN36" s="736"/>
      <c r="GO36" s="736"/>
      <c r="GP36" s="736"/>
      <c r="GQ36" s="89"/>
      <c r="GR36" s="89"/>
      <c r="GS36" s="89"/>
      <c r="GT36" s="89"/>
      <c r="GU36" s="89"/>
      <c r="GV36" s="89"/>
    </row>
    <row r="37" spans="1:287" ht="27" customHeight="1">
      <c r="A37" s="42"/>
      <c r="B37" s="363" t="s">
        <v>823</v>
      </c>
      <c r="C37" s="5"/>
      <c r="D37" s="362">
        <f>SUBTOTAL(9,F37:K37)</f>
        <v>77</v>
      </c>
      <c r="E37" s="362">
        <f>SUM(BL43:GQ43)</f>
        <v>245</v>
      </c>
      <c r="F37" s="362">
        <v>7</v>
      </c>
      <c r="G37" s="362">
        <v>2</v>
      </c>
      <c r="H37" s="362">
        <v>9</v>
      </c>
      <c r="I37" s="362">
        <v>6</v>
      </c>
      <c r="J37" s="362">
        <v>22</v>
      </c>
      <c r="K37" s="362">
        <f>SUM(AG43:BK43)</f>
        <v>31</v>
      </c>
      <c r="L37" s="362">
        <f>SUM(BL43:CP43)</f>
        <v>49</v>
      </c>
      <c r="M37" s="1091">
        <f>SUM(CQ43:DR43)</f>
        <v>58</v>
      </c>
      <c r="N37" s="1091">
        <f>SUM(DS43:EW43)</f>
        <v>69</v>
      </c>
      <c r="O37" s="1091">
        <f>SUM(EX43:GA43)</f>
        <v>57</v>
      </c>
      <c r="P37" s="1091">
        <f>SUM(GB43:GQ43)</f>
        <v>12</v>
      </c>
      <c r="Q37" s="362">
        <f>SUM(FW43:GC43)</f>
        <v>3</v>
      </c>
      <c r="R37" s="381">
        <f>SUM(GD43:GJ43)</f>
        <v>4</v>
      </c>
      <c r="S37" s="381">
        <f>SUM(GK43:GQ43)</f>
        <v>8</v>
      </c>
      <c r="T37" s="382"/>
      <c r="U37" s="382"/>
      <c r="V37" s="383"/>
      <c r="W37" s="383"/>
      <c r="X37" s="383"/>
      <c r="Y37" s="383"/>
      <c r="Z37" s="383"/>
      <c r="AA37" s="383"/>
      <c r="AB37" s="383"/>
      <c r="AC37" s="383"/>
      <c r="AD37" s="383"/>
      <c r="AE37" s="881"/>
      <c r="AF37" s="881"/>
      <c r="AG37" s="881"/>
      <c r="AH37" s="881"/>
      <c r="AI37" s="881"/>
      <c r="AJ37" s="881"/>
      <c r="AK37" s="881"/>
      <c r="AL37" s="881"/>
      <c r="AM37" s="881"/>
      <c r="AN37" s="881"/>
      <c r="AO37" s="881"/>
      <c r="AP37" s="881"/>
      <c r="AQ37" s="881"/>
      <c r="AR37" s="881"/>
      <c r="AS37" s="881"/>
      <c r="AT37" s="881"/>
      <c r="AU37" s="881"/>
      <c r="AV37" s="881"/>
      <c r="AW37" s="881"/>
      <c r="AX37" s="881"/>
      <c r="AY37" s="881"/>
      <c r="AZ37" s="881"/>
      <c r="BA37" s="881"/>
      <c r="BB37" s="881"/>
      <c r="BC37" s="881"/>
      <c r="BD37" s="881"/>
      <c r="BE37" s="383"/>
      <c r="BF37" s="881"/>
      <c r="BG37" s="881"/>
      <c r="BH37" s="881"/>
      <c r="BI37" s="881"/>
      <c r="BJ37" s="881"/>
      <c r="BK37" s="881"/>
      <c r="BL37" s="881"/>
      <c r="BM37" s="881"/>
      <c r="BN37" s="383"/>
      <c r="BO37" s="383"/>
      <c r="BP37" s="383"/>
      <c r="BQ37" s="383"/>
      <c r="BR37" s="881"/>
      <c r="BS37" s="881"/>
      <c r="BT37" s="881"/>
      <c r="BU37" s="881"/>
      <c r="BV37" s="881"/>
      <c r="BW37" s="881"/>
      <c r="BX37" s="881"/>
      <c r="BY37" s="881"/>
      <c r="BZ37" s="881"/>
      <c r="CA37" s="881"/>
      <c r="CB37" s="881"/>
      <c r="CC37" s="881"/>
      <c r="CD37" s="881"/>
      <c r="CE37" s="881"/>
      <c r="CF37" s="881"/>
      <c r="CG37" s="881"/>
      <c r="CH37" s="881"/>
      <c r="CI37" s="881"/>
      <c r="CJ37" s="881"/>
      <c r="CK37" s="881"/>
      <c r="CL37" s="881"/>
      <c r="CM37" s="881"/>
      <c r="CN37" s="881"/>
      <c r="CO37" s="881"/>
      <c r="CP37" s="881"/>
      <c r="CQ37" s="881"/>
      <c r="CR37" s="881"/>
      <c r="CS37" s="881"/>
      <c r="CT37" s="881"/>
      <c r="CU37" s="881"/>
      <c r="CV37" s="881"/>
      <c r="CW37" s="881"/>
      <c r="CX37" s="881"/>
      <c r="CY37" s="881"/>
      <c r="CZ37" s="881"/>
      <c r="DA37" s="881"/>
      <c r="DB37" s="881"/>
      <c r="DC37" s="881"/>
      <c r="DD37" s="383"/>
      <c r="DE37" s="881"/>
      <c r="DF37" s="881"/>
      <c r="DG37" s="881"/>
      <c r="DH37" s="881"/>
      <c r="DI37" s="881"/>
      <c r="DJ37" s="881"/>
      <c r="DK37" s="881"/>
      <c r="DL37" s="881"/>
      <c r="DM37" s="881"/>
      <c r="DN37" s="881"/>
      <c r="DO37" s="881"/>
      <c r="DP37" s="383"/>
      <c r="DQ37" s="881"/>
      <c r="DR37" s="881"/>
      <c r="DS37" s="881"/>
      <c r="DT37" s="881"/>
      <c r="DU37" s="881"/>
      <c r="DV37" s="881"/>
      <c r="DW37" s="881"/>
      <c r="DX37" s="881"/>
      <c r="DY37" s="881"/>
      <c r="DZ37" s="881"/>
      <c r="EA37" s="881"/>
      <c r="EB37" s="881"/>
      <c r="EC37" s="881"/>
      <c r="ED37" s="881"/>
      <c r="EE37" s="881"/>
      <c r="EF37" s="881"/>
      <c r="EG37" s="881"/>
      <c r="EH37" s="881"/>
      <c r="EI37" s="881"/>
      <c r="EJ37" s="881"/>
      <c r="EK37" s="881"/>
      <c r="EL37" s="881"/>
      <c r="EM37" s="881"/>
      <c r="EN37" s="881"/>
      <c r="EO37" s="881"/>
      <c r="EP37" s="881"/>
      <c r="EQ37" s="881"/>
      <c r="ER37" s="881"/>
      <c r="ES37" s="383"/>
      <c r="ET37" s="383"/>
      <c r="EU37" s="881"/>
      <c r="EV37" s="881"/>
      <c r="EW37" s="881"/>
      <c r="EX37" s="881"/>
      <c r="EY37" s="881"/>
      <c r="EZ37" s="881"/>
      <c r="FA37" s="881"/>
      <c r="FB37" s="881"/>
      <c r="FC37" s="881"/>
      <c r="FD37" s="881"/>
      <c r="FE37" s="383"/>
      <c r="FF37" s="881"/>
      <c r="FG37" s="383"/>
      <c r="FH37" s="881"/>
      <c r="FI37" s="881"/>
      <c r="FJ37" s="881"/>
      <c r="FK37" s="881"/>
      <c r="FL37" s="881"/>
      <c r="FM37" s="881"/>
      <c r="FN37" s="881"/>
      <c r="FO37" s="383"/>
      <c r="FP37" s="881"/>
      <c r="FQ37" s="881"/>
      <c r="FR37" s="881"/>
      <c r="FS37" s="881"/>
      <c r="FT37" s="881"/>
      <c r="FU37" s="881"/>
      <c r="FV37" s="881"/>
      <c r="FW37" s="881"/>
      <c r="FX37" s="881"/>
      <c r="FY37" s="881"/>
      <c r="FZ37" s="881"/>
      <c r="GA37" s="881"/>
      <c r="GB37" s="881"/>
      <c r="GC37" s="881"/>
      <c r="GD37" s="881"/>
      <c r="GE37" s="881"/>
      <c r="GF37" s="881"/>
      <c r="GG37" s="881"/>
      <c r="GH37" s="881"/>
      <c r="GI37" s="881"/>
      <c r="GJ37" s="881"/>
      <c r="GK37" s="881"/>
      <c r="GL37" s="881"/>
      <c r="GM37" s="881"/>
      <c r="GN37" s="881"/>
      <c r="GO37" s="881"/>
      <c r="GP37" s="881"/>
      <c r="GQ37" s="383"/>
      <c r="GR37" s="383"/>
      <c r="GS37" s="383"/>
      <c r="GT37" s="383"/>
      <c r="GU37" s="383"/>
      <c r="GV37" s="383"/>
    </row>
    <row r="38" spans="1:287" ht="27" customHeight="1">
      <c r="A38" s="42"/>
      <c r="B38" s="1590" t="s">
        <v>824</v>
      </c>
      <c r="C38" s="364" t="s">
        <v>825</v>
      </c>
      <c r="D38" s="365">
        <f>D37/D36*1000</f>
        <v>69.244604316546756</v>
      </c>
      <c r="E38" s="365">
        <f>E37/E36*1000</f>
        <v>12.541592014333249</v>
      </c>
      <c r="F38" s="366"/>
      <c r="G38" s="366"/>
      <c r="H38" s="366"/>
      <c r="I38" s="366"/>
      <c r="J38" s="366"/>
      <c r="K38" s="366"/>
      <c r="L38" s="366"/>
      <c r="M38" s="1092"/>
      <c r="N38" s="1092"/>
      <c r="O38" s="1092"/>
      <c r="P38" s="1092"/>
      <c r="Q38" s="366"/>
      <c r="R38" s="366"/>
      <c r="S38" s="204"/>
      <c r="T38" s="384"/>
      <c r="U38" s="384"/>
      <c r="V38" s="383"/>
      <c r="W38" s="383"/>
      <c r="X38" s="383"/>
      <c r="Y38" s="383"/>
      <c r="Z38" s="383"/>
      <c r="AA38" s="383"/>
      <c r="AB38" s="383"/>
      <c r="AC38" s="383"/>
      <c r="AD38" s="383"/>
      <c r="AE38" s="881"/>
      <c r="AF38" s="881"/>
      <c r="AG38" s="881"/>
      <c r="AH38" s="881"/>
      <c r="AI38" s="881"/>
      <c r="AJ38" s="881"/>
      <c r="AK38" s="881"/>
      <c r="AL38" s="881"/>
      <c r="AM38" s="881"/>
      <c r="AN38" s="881"/>
      <c r="AO38" s="881"/>
      <c r="AP38" s="881"/>
      <c r="AQ38" s="881"/>
      <c r="AR38" s="881"/>
      <c r="AS38" s="881"/>
      <c r="AT38" s="881"/>
      <c r="AU38" s="881"/>
      <c r="AV38" s="881"/>
      <c r="AW38" s="881"/>
      <c r="AX38" s="881"/>
      <c r="AY38" s="881"/>
      <c r="AZ38" s="881"/>
      <c r="BA38" s="881"/>
      <c r="BB38" s="881"/>
      <c r="BC38" s="881"/>
      <c r="BD38" s="881"/>
      <c r="BE38" s="383"/>
      <c r="BF38" s="881"/>
      <c r="BG38" s="881"/>
      <c r="BH38" s="881"/>
      <c r="BI38" s="881"/>
      <c r="BJ38" s="881"/>
      <c r="BK38" s="881"/>
      <c r="BL38" s="881"/>
      <c r="BM38" s="881"/>
      <c r="BN38" s="383"/>
      <c r="BO38" s="383"/>
      <c r="BP38" s="383"/>
      <c r="BQ38" s="383"/>
      <c r="BR38" s="881"/>
      <c r="BS38" s="881"/>
      <c r="BT38" s="881"/>
      <c r="BU38" s="881"/>
      <c r="BV38" s="881"/>
      <c r="BW38" s="881"/>
      <c r="BX38" s="881"/>
      <c r="BY38" s="881"/>
      <c r="BZ38" s="881"/>
      <c r="CA38" s="881"/>
      <c r="CB38" s="881"/>
      <c r="CC38" s="881"/>
      <c r="CD38" s="881"/>
      <c r="CE38" s="881"/>
      <c r="CF38" s="881"/>
      <c r="CG38" s="881"/>
      <c r="CH38" s="881"/>
      <c r="CI38" s="881"/>
      <c r="CJ38" s="881"/>
      <c r="CK38" s="881"/>
      <c r="CL38" s="881"/>
      <c r="CM38" s="881"/>
      <c r="CN38" s="881"/>
      <c r="CO38" s="881"/>
      <c r="CP38" s="881"/>
      <c r="CQ38" s="881"/>
      <c r="CR38" s="881"/>
      <c r="CS38" s="881"/>
      <c r="CT38" s="881"/>
      <c r="CU38" s="881"/>
      <c r="CV38" s="881"/>
      <c r="CW38" s="881"/>
      <c r="CX38" s="881"/>
      <c r="CY38" s="881"/>
      <c r="CZ38" s="881"/>
      <c r="DA38" s="881"/>
      <c r="DB38" s="881"/>
      <c r="DC38" s="881"/>
      <c r="DD38" s="383"/>
      <c r="DE38" s="881"/>
      <c r="DF38" s="881"/>
      <c r="DG38" s="881"/>
      <c r="DH38" s="881"/>
      <c r="DI38" s="881"/>
      <c r="DJ38" s="881"/>
      <c r="DK38" s="881"/>
      <c r="DL38" s="881"/>
      <c r="DM38" s="881"/>
      <c r="DN38" s="881"/>
      <c r="DO38" s="881"/>
      <c r="DP38" s="383"/>
      <c r="DQ38" s="881"/>
      <c r="DR38" s="881"/>
      <c r="DS38" s="881"/>
      <c r="DT38" s="881"/>
      <c r="DU38" s="881"/>
      <c r="DV38" s="881"/>
      <c r="DW38" s="881"/>
      <c r="DX38" s="881"/>
      <c r="DY38" s="881"/>
      <c r="DZ38" s="881"/>
      <c r="EA38" s="881"/>
      <c r="EB38" s="881"/>
      <c r="EC38" s="881"/>
      <c r="ED38" s="881"/>
      <c r="EE38" s="881"/>
      <c r="EF38" s="881"/>
      <c r="EG38" s="881"/>
      <c r="EH38" s="881"/>
      <c r="EI38" s="881"/>
      <c r="EJ38" s="881"/>
      <c r="EK38" s="881"/>
      <c r="EL38" s="881"/>
      <c r="EM38" s="881"/>
      <c r="EN38" s="881"/>
      <c r="EO38" s="881"/>
      <c r="EP38" s="881"/>
      <c r="EQ38" s="881"/>
      <c r="ER38" s="881"/>
      <c r="ES38" s="383"/>
      <c r="ET38" s="383"/>
      <c r="EU38" s="881"/>
      <c r="EV38" s="881"/>
      <c r="EW38" s="881"/>
      <c r="EX38" s="881"/>
      <c r="EY38" s="881"/>
      <c r="EZ38" s="881"/>
      <c r="FA38" s="881"/>
      <c r="FB38" s="881"/>
      <c r="FC38" s="881"/>
      <c r="FD38" s="881"/>
      <c r="FE38" s="383"/>
      <c r="FF38" s="881"/>
      <c r="FG38" s="383"/>
      <c r="FH38" s="881"/>
      <c r="FI38" s="881"/>
      <c r="FJ38" s="881"/>
      <c r="FK38" s="881"/>
      <c r="FL38" s="881"/>
      <c r="FM38" s="881"/>
      <c r="FN38" s="881"/>
      <c r="FO38" s="383"/>
      <c r="FP38" s="881"/>
      <c r="FQ38" s="881"/>
      <c r="FR38" s="881"/>
      <c r="FS38" s="881"/>
      <c r="FT38" s="881"/>
      <c r="FU38" s="881"/>
      <c r="FV38" s="881"/>
      <c r="FW38" s="881"/>
      <c r="FX38" s="881"/>
      <c r="FY38" s="881"/>
      <c r="FZ38" s="881"/>
      <c r="GA38" s="881"/>
      <c r="GB38" s="881"/>
      <c r="GC38" s="881"/>
      <c r="GD38" s="881"/>
      <c r="GE38" s="881"/>
      <c r="GF38" s="881"/>
      <c r="GG38" s="881"/>
      <c r="GH38" s="881"/>
      <c r="GI38" s="881"/>
      <c r="GJ38" s="881"/>
      <c r="GK38" s="881"/>
      <c r="GL38" s="881"/>
      <c r="GM38" s="881"/>
      <c r="GN38" s="881"/>
      <c r="GO38" s="881"/>
      <c r="GP38" s="881"/>
      <c r="GQ38" s="383"/>
      <c r="GR38" s="383"/>
      <c r="GS38" s="383"/>
      <c r="GT38" s="383"/>
      <c r="GU38" s="383"/>
      <c r="GV38" s="383"/>
    </row>
    <row r="39" spans="1:287" ht="27" customHeight="1">
      <c r="A39" s="42"/>
      <c r="B39" s="1591"/>
      <c r="C39" s="364" t="s">
        <v>826</v>
      </c>
      <c r="D39" s="202"/>
      <c r="E39" s="366"/>
      <c r="F39" s="365">
        <f t="shared" ref="F39:I39" si="0">F37/F36*1000</f>
        <v>875</v>
      </c>
      <c r="G39" s="365">
        <f t="shared" si="0"/>
        <v>666.66666666666663</v>
      </c>
      <c r="H39" s="365">
        <f t="shared" si="0"/>
        <v>409.09090909090912</v>
      </c>
      <c r="I39" s="365">
        <f t="shared" si="0"/>
        <v>187.5</v>
      </c>
      <c r="J39" s="365">
        <f t="shared" ref="J39" si="1">J37/J36*1000</f>
        <v>99.547511312217182</v>
      </c>
      <c r="K39" s="365">
        <f>K37/K36*1000</f>
        <v>37.530266343825666</v>
      </c>
      <c r="L39" s="365">
        <f t="shared" ref="L39:P39" si="2">L37/L36*1000</f>
        <v>23.523763802208354</v>
      </c>
      <c r="M39" s="365">
        <f t="shared" si="2"/>
        <v>22.736181889455114</v>
      </c>
      <c r="N39" s="365">
        <f t="shared" si="2"/>
        <v>11.23046875</v>
      </c>
      <c r="O39" s="365">
        <f t="shared" si="2"/>
        <v>8.4707980383415062</v>
      </c>
      <c r="P39" s="365">
        <f t="shared" si="2"/>
        <v>5.9171597633136095</v>
      </c>
      <c r="Q39" s="365"/>
      <c r="R39" s="365"/>
      <c r="S39" s="204"/>
      <c r="T39" s="384"/>
      <c r="U39" s="384"/>
      <c r="V39" s="383"/>
      <c r="W39" s="383"/>
      <c r="X39" s="383"/>
      <c r="Y39" s="383"/>
      <c r="Z39" s="383"/>
      <c r="AA39" s="383"/>
      <c r="AB39" s="383"/>
      <c r="AC39" s="383"/>
      <c r="AD39" s="383"/>
      <c r="AE39" s="881"/>
      <c r="AF39" s="881"/>
      <c r="AG39" s="881"/>
      <c r="AH39" s="881"/>
      <c r="AI39" s="881"/>
      <c r="AJ39" s="881"/>
      <c r="AK39" s="881"/>
      <c r="AL39" s="881"/>
      <c r="AM39" s="881"/>
      <c r="AN39" s="881"/>
      <c r="AO39" s="881"/>
      <c r="AP39" s="881"/>
      <c r="AQ39" s="881"/>
      <c r="AR39" s="881"/>
      <c r="AS39" s="881"/>
      <c r="AT39" s="881"/>
      <c r="AU39" s="881"/>
      <c r="AV39" s="881"/>
      <c r="AW39" s="881"/>
      <c r="AX39" s="881"/>
      <c r="AY39" s="881"/>
      <c r="AZ39" s="881"/>
      <c r="BA39" s="881"/>
      <c r="BB39" s="881"/>
      <c r="BC39" s="881"/>
      <c r="BD39" s="881"/>
      <c r="BE39" s="383"/>
      <c r="BF39" s="881"/>
      <c r="BG39" s="881"/>
      <c r="BH39" s="881"/>
      <c r="BI39" s="881"/>
      <c r="BJ39" s="881"/>
      <c r="BK39" s="881"/>
      <c r="BL39" s="881"/>
      <c r="BM39" s="881"/>
      <c r="BN39" s="383"/>
      <c r="BO39" s="383"/>
      <c r="BP39" s="383"/>
      <c r="BQ39" s="383"/>
      <c r="BR39" s="881"/>
      <c r="BS39" s="881"/>
      <c r="BT39" s="881"/>
      <c r="BU39" s="881"/>
      <c r="BV39" s="881"/>
      <c r="BW39" s="881"/>
      <c r="BX39" s="881"/>
      <c r="BY39" s="881"/>
      <c r="BZ39" s="881"/>
      <c r="CA39" s="881"/>
      <c r="CB39" s="881"/>
      <c r="CC39" s="881"/>
      <c r="CD39" s="881"/>
      <c r="CE39" s="881"/>
      <c r="CF39" s="881"/>
      <c r="CG39" s="881"/>
      <c r="CH39" s="881"/>
      <c r="CI39" s="881"/>
      <c r="CJ39" s="881"/>
      <c r="CK39" s="881"/>
      <c r="CL39" s="881"/>
      <c r="CM39" s="881"/>
      <c r="CN39" s="881"/>
      <c r="CO39" s="881"/>
      <c r="CP39" s="881"/>
      <c r="CQ39" s="881"/>
      <c r="CR39" s="881"/>
      <c r="CS39" s="881"/>
      <c r="CT39" s="881"/>
      <c r="CU39" s="881"/>
      <c r="CV39" s="881"/>
      <c r="CW39" s="881"/>
      <c r="CX39" s="881"/>
      <c r="CY39" s="881"/>
      <c r="CZ39" s="881"/>
      <c r="DA39" s="881"/>
      <c r="DB39" s="881"/>
      <c r="DC39" s="881"/>
      <c r="DD39" s="383"/>
      <c r="DE39" s="881"/>
      <c r="DF39" s="881"/>
      <c r="DG39" s="881"/>
      <c r="DH39" s="881"/>
      <c r="DI39" s="881"/>
      <c r="DJ39" s="881"/>
      <c r="DK39" s="881"/>
      <c r="DL39" s="881"/>
      <c r="DM39" s="881"/>
      <c r="DN39" s="881"/>
      <c r="DO39" s="881"/>
      <c r="DP39" s="383"/>
      <c r="DQ39" s="881"/>
      <c r="DR39" s="881"/>
      <c r="DS39" s="881"/>
      <c r="DT39" s="881"/>
      <c r="DU39" s="881"/>
      <c r="DV39" s="881"/>
      <c r="DW39" s="881"/>
      <c r="DX39" s="881"/>
      <c r="DY39" s="881"/>
      <c r="DZ39" s="881"/>
      <c r="EA39" s="881"/>
      <c r="EB39" s="881"/>
      <c r="EC39" s="881"/>
      <c r="ED39" s="881"/>
      <c r="EE39" s="881"/>
      <c r="EF39" s="881"/>
      <c r="EG39" s="881"/>
      <c r="EH39" s="881"/>
      <c r="EI39" s="881"/>
      <c r="EJ39" s="881"/>
      <c r="EK39" s="881"/>
      <c r="EL39" s="881"/>
      <c r="EM39" s="881"/>
      <c r="EN39" s="881"/>
      <c r="EO39" s="881"/>
      <c r="EP39" s="881"/>
      <c r="EQ39" s="881"/>
      <c r="ER39" s="881"/>
      <c r="ES39" s="383"/>
      <c r="ET39" s="383"/>
      <c r="EU39" s="881"/>
      <c r="EV39" s="881"/>
      <c r="EW39" s="881"/>
      <c r="EX39" s="881"/>
      <c r="EY39" s="881"/>
      <c r="EZ39" s="881"/>
      <c r="FA39" s="881"/>
      <c r="FB39" s="881"/>
      <c r="FC39" s="881"/>
      <c r="FD39" s="881"/>
      <c r="FE39" s="383"/>
      <c r="FF39" s="881"/>
      <c r="FG39" s="383"/>
      <c r="FH39" s="881"/>
      <c r="FI39" s="881"/>
      <c r="FJ39" s="881"/>
      <c r="FK39" s="881"/>
      <c r="FL39" s="881"/>
      <c r="FM39" s="881"/>
      <c r="FN39" s="881"/>
      <c r="FO39" s="383"/>
      <c r="FP39" s="881"/>
      <c r="FQ39" s="881"/>
      <c r="FR39" s="881"/>
      <c r="FS39" s="881"/>
      <c r="FT39" s="881"/>
      <c r="FU39" s="881"/>
      <c r="FV39" s="881"/>
      <c r="FW39" s="881"/>
      <c r="FX39" s="881"/>
      <c r="FY39" s="881"/>
      <c r="FZ39" s="881"/>
      <c r="GA39" s="881"/>
      <c r="GB39" s="881"/>
      <c r="GC39" s="881"/>
      <c r="GD39" s="881"/>
      <c r="GE39" s="881"/>
      <c r="GF39" s="881"/>
      <c r="GG39" s="881"/>
      <c r="GH39" s="881"/>
      <c r="GI39" s="881"/>
      <c r="GJ39" s="881"/>
      <c r="GK39" s="881"/>
      <c r="GL39" s="881"/>
      <c r="GM39" s="881"/>
      <c r="GN39" s="881"/>
      <c r="GO39" s="881"/>
      <c r="GP39" s="881"/>
      <c r="GQ39" s="383"/>
      <c r="GR39" s="383"/>
      <c r="GS39" s="383"/>
      <c r="GT39" s="383"/>
      <c r="GU39" s="383"/>
      <c r="GV39" s="383"/>
      <c r="GW39" s="1010" t="s">
        <v>1268</v>
      </c>
    </row>
    <row r="40" spans="1:287" ht="27" customHeight="1">
      <c r="A40" s="42"/>
      <c r="B40" s="1592"/>
      <c r="C40" s="364" t="s">
        <v>827</v>
      </c>
      <c r="D40" s="202"/>
      <c r="E40" s="366"/>
      <c r="F40" s="366"/>
      <c r="G40" s="366"/>
      <c r="H40" s="366"/>
      <c r="I40" s="366"/>
      <c r="J40" s="366"/>
      <c r="K40" s="366"/>
      <c r="L40" s="366"/>
      <c r="M40" s="1092"/>
      <c r="N40" s="1092"/>
      <c r="O40" s="1092"/>
      <c r="P40" s="1092"/>
      <c r="Q40" s="365">
        <f t="shared" ref="Q40:U40" si="3">Q37/Q36*1000</f>
        <v>2.5906735751295336</v>
      </c>
      <c r="R40" s="365">
        <f t="shared" si="3"/>
        <v>3.8461538461538463</v>
      </c>
      <c r="S40" s="365">
        <f>S37/S36*1000</f>
        <v>8.097165991902834</v>
      </c>
      <c r="T40" s="365" t="e">
        <f>T37/T36*1000</f>
        <v>#DIV/0!</v>
      </c>
      <c r="U40" s="365" t="e">
        <f t="shared" si="3"/>
        <v>#DIV/0!</v>
      </c>
      <c r="V40" s="383"/>
      <c r="W40" s="383"/>
      <c r="X40" s="383"/>
      <c r="Y40" s="383"/>
      <c r="Z40" s="383"/>
      <c r="AA40" s="383"/>
      <c r="AB40" s="383"/>
      <c r="AC40" s="383"/>
      <c r="AD40" s="383"/>
      <c r="AE40" s="881"/>
      <c r="AF40" s="881"/>
      <c r="AG40" s="881"/>
      <c r="AH40" s="881"/>
      <c r="AI40" s="881"/>
      <c r="AJ40" s="881"/>
      <c r="AK40" s="881"/>
      <c r="AL40" s="881"/>
      <c r="AM40" s="881"/>
      <c r="AN40" s="881"/>
      <c r="AO40" s="881"/>
      <c r="AP40" s="881"/>
      <c r="AQ40" s="881"/>
      <c r="AR40" s="881"/>
      <c r="AS40" s="881"/>
      <c r="AT40" s="881"/>
      <c r="AU40" s="881"/>
      <c r="AV40" s="881"/>
      <c r="AW40" s="881"/>
      <c r="AX40" s="881"/>
      <c r="AY40" s="881"/>
      <c r="AZ40" s="881"/>
      <c r="BA40" s="881"/>
      <c r="BB40" s="881"/>
      <c r="BC40" s="881"/>
      <c r="BD40" s="881"/>
      <c r="BE40" s="383"/>
      <c r="BF40" s="881"/>
      <c r="BG40" s="881"/>
      <c r="BH40" s="881"/>
      <c r="BI40" s="881"/>
      <c r="BJ40" s="881"/>
      <c r="BK40" s="881"/>
      <c r="BL40" s="881"/>
      <c r="BM40" s="881"/>
      <c r="BN40" s="383"/>
      <c r="BO40" s="383"/>
      <c r="BP40" s="383"/>
      <c r="BQ40" s="383"/>
      <c r="BR40" s="881"/>
      <c r="BS40" s="881"/>
      <c r="BT40" s="881"/>
      <c r="BU40" s="881"/>
      <c r="BV40" s="881"/>
      <c r="BW40" s="881"/>
      <c r="BX40" s="881"/>
      <c r="BY40" s="881"/>
      <c r="BZ40" s="881"/>
      <c r="CA40" s="881"/>
      <c r="CB40" s="881"/>
      <c r="CC40" s="881"/>
      <c r="CD40" s="881"/>
      <c r="CE40" s="881"/>
      <c r="CF40" s="881"/>
      <c r="CG40" s="881"/>
      <c r="CH40" s="881"/>
      <c r="CI40" s="881"/>
      <c r="CJ40" s="881"/>
      <c r="CK40" s="881"/>
      <c r="CL40" s="881"/>
      <c r="CM40" s="881"/>
      <c r="CN40" s="881"/>
      <c r="CO40" s="881"/>
      <c r="CP40" s="881"/>
      <c r="CQ40" s="881"/>
      <c r="CR40" s="881"/>
      <c r="CS40" s="881"/>
      <c r="CT40" s="881"/>
      <c r="CU40" s="881"/>
      <c r="CV40" s="881"/>
      <c r="CW40" s="881"/>
      <c r="CX40" s="881"/>
      <c r="CY40" s="881"/>
      <c r="CZ40" s="881"/>
      <c r="DA40" s="881"/>
      <c r="DB40" s="881"/>
      <c r="DC40" s="881"/>
      <c r="DD40" s="383"/>
      <c r="DE40" s="881"/>
      <c r="DF40" s="881"/>
      <c r="DG40" s="881"/>
      <c r="DH40" s="881"/>
      <c r="DI40" s="881"/>
      <c r="DJ40" s="881"/>
      <c r="DK40" s="881"/>
      <c r="DL40" s="881"/>
      <c r="DM40" s="881"/>
      <c r="DN40" s="881"/>
      <c r="DO40" s="881"/>
      <c r="DP40" s="383"/>
      <c r="DQ40" s="881"/>
      <c r="DR40" s="881"/>
      <c r="DS40" s="881"/>
      <c r="DT40" s="881"/>
      <c r="DU40" s="881"/>
      <c r="DV40" s="881"/>
      <c r="DW40" s="881"/>
      <c r="DX40" s="881"/>
      <c r="DY40" s="881"/>
      <c r="DZ40" s="881"/>
      <c r="EA40" s="881"/>
      <c r="EB40" s="881"/>
      <c r="EC40" s="881"/>
      <c r="ED40" s="881"/>
      <c r="EE40" s="881"/>
      <c r="EF40" s="881"/>
      <c r="EG40" s="881"/>
      <c r="EH40" s="881"/>
      <c r="EI40" s="881"/>
      <c r="EJ40" s="881"/>
      <c r="EK40" s="881"/>
      <c r="EL40" s="881"/>
      <c r="EM40" s="881"/>
      <c r="EN40" s="881"/>
      <c r="EO40" s="881"/>
      <c r="EP40" s="881"/>
      <c r="EQ40" s="881"/>
      <c r="ER40" s="881"/>
      <c r="ES40" s="383"/>
      <c r="ET40" s="383"/>
      <c r="EU40" s="881"/>
      <c r="EV40" s="881"/>
      <c r="EW40" s="881"/>
      <c r="EX40" s="881"/>
      <c r="EY40" s="881"/>
      <c r="EZ40" s="881"/>
      <c r="FA40" s="881"/>
      <c r="FB40" s="881"/>
      <c r="FC40" s="881"/>
      <c r="FD40" s="881"/>
      <c r="FE40" s="383"/>
      <c r="FF40" s="881"/>
      <c r="FG40" s="383"/>
      <c r="FH40" s="881"/>
      <c r="FI40" s="881"/>
      <c r="FJ40" s="881"/>
      <c r="FK40" s="881"/>
      <c r="FL40" s="881"/>
      <c r="FM40" s="881"/>
      <c r="FN40" s="881"/>
      <c r="FO40" s="383"/>
      <c r="FP40" s="881"/>
      <c r="FQ40" s="881"/>
      <c r="FR40" s="881"/>
      <c r="FS40" s="881"/>
      <c r="FT40" s="881"/>
      <c r="FU40" s="881"/>
      <c r="FV40" s="881"/>
      <c r="FW40" s="881"/>
      <c r="FX40" s="881"/>
      <c r="FY40" s="881"/>
      <c r="FZ40" s="881"/>
      <c r="GA40" s="881"/>
      <c r="GB40" s="881"/>
      <c r="GC40" s="881"/>
      <c r="GD40" s="881"/>
      <c r="GE40" s="881"/>
      <c r="GF40" s="881"/>
      <c r="GG40" s="881"/>
      <c r="GH40" s="881"/>
      <c r="GI40" s="881"/>
      <c r="GJ40" s="881"/>
      <c r="GK40" s="881"/>
      <c r="GL40" s="881"/>
      <c r="GM40" s="881"/>
      <c r="GN40" s="881"/>
      <c r="GO40" s="881"/>
      <c r="GP40" s="881"/>
      <c r="GQ40" s="383"/>
      <c r="GR40" s="383"/>
      <c r="GS40" s="383"/>
      <c r="GT40" s="383"/>
      <c r="GU40" s="383"/>
      <c r="GV40" s="383"/>
      <c r="GW40" s="1010" t="s">
        <v>1388</v>
      </c>
    </row>
    <row r="41" spans="1:287" ht="27" customHeight="1">
      <c r="A41" s="42"/>
      <c r="B41" s="363" t="s">
        <v>828</v>
      </c>
      <c r="C41" s="7"/>
      <c r="D41" s="202"/>
      <c r="E41" s="365">
        <v>28.8</v>
      </c>
      <c r="F41" s="365"/>
      <c r="G41" s="365"/>
      <c r="H41" s="365"/>
      <c r="I41" s="365"/>
      <c r="J41" s="365">
        <v>28.8</v>
      </c>
      <c r="K41" s="365">
        <v>28.8</v>
      </c>
      <c r="L41" s="365">
        <v>28.8</v>
      </c>
      <c r="M41" s="365">
        <v>28.8</v>
      </c>
      <c r="N41" s="365">
        <v>28.8</v>
      </c>
      <c r="O41" s="365">
        <v>28.8</v>
      </c>
      <c r="P41" s="365">
        <v>28.8</v>
      </c>
      <c r="Q41" s="365">
        <v>28.8</v>
      </c>
      <c r="R41" s="365">
        <v>28.8</v>
      </c>
      <c r="S41" s="365">
        <v>28.8</v>
      </c>
      <c r="T41" s="365">
        <v>28.8</v>
      </c>
      <c r="U41" s="365">
        <v>28.8</v>
      </c>
      <c r="V41" s="385"/>
      <c r="W41" s="385"/>
      <c r="X41" s="385"/>
      <c r="Y41" s="385"/>
      <c r="Z41" s="385"/>
      <c r="AA41" s="385"/>
      <c r="AB41" s="385"/>
      <c r="AC41" s="385"/>
      <c r="AD41" s="385"/>
      <c r="AE41" s="882"/>
      <c r="AF41" s="882"/>
      <c r="AG41" s="882"/>
      <c r="AH41" s="882"/>
      <c r="AI41" s="882"/>
      <c r="AJ41" s="882"/>
      <c r="AK41" s="882"/>
      <c r="AL41" s="882"/>
      <c r="AM41" s="882"/>
      <c r="AN41" s="882"/>
      <c r="AO41" s="882"/>
      <c r="AP41" s="882"/>
      <c r="AQ41" s="882"/>
      <c r="AR41" s="882"/>
      <c r="AS41" s="882"/>
      <c r="AT41" s="882"/>
      <c r="AU41" s="882"/>
      <c r="AV41" s="882"/>
      <c r="AW41" s="882"/>
      <c r="AX41" s="882"/>
      <c r="AY41" s="882"/>
      <c r="AZ41" s="882"/>
      <c r="BA41" s="882"/>
      <c r="BB41" s="882"/>
      <c r="BC41" s="882"/>
      <c r="BD41" s="882"/>
      <c r="BE41" s="385"/>
      <c r="BF41" s="882"/>
      <c r="BG41" s="882"/>
      <c r="BH41" s="882"/>
      <c r="BI41" s="882"/>
      <c r="BJ41" s="882"/>
      <c r="BK41" s="882"/>
      <c r="BL41" s="882"/>
      <c r="BM41" s="882"/>
      <c r="BN41" s="385"/>
      <c r="BO41" s="385"/>
      <c r="BP41" s="385"/>
      <c r="BQ41" s="385"/>
      <c r="BR41" s="882"/>
      <c r="BS41" s="882"/>
      <c r="BT41" s="882"/>
      <c r="BU41" s="882"/>
      <c r="BV41" s="882"/>
      <c r="BW41" s="882"/>
      <c r="BX41" s="882"/>
      <c r="BY41" s="882"/>
      <c r="BZ41" s="882"/>
      <c r="CA41" s="882"/>
      <c r="CB41" s="882"/>
      <c r="CC41" s="882"/>
      <c r="CD41" s="882"/>
      <c r="CE41" s="882"/>
      <c r="CF41" s="882"/>
      <c r="CG41" s="882"/>
      <c r="CH41" s="882"/>
      <c r="CI41" s="882"/>
      <c r="CJ41" s="882"/>
      <c r="CK41" s="882"/>
      <c r="CL41" s="882"/>
      <c r="CM41" s="882"/>
      <c r="CN41" s="882"/>
      <c r="CO41" s="882"/>
      <c r="CP41" s="882"/>
      <c r="CQ41" s="882"/>
      <c r="CR41" s="882"/>
      <c r="CS41" s="882"/>
      <c r="CT41" s="882"/>
      <c r="CU41" s="882"/>
      <c r="CV41" s="882"/>
      <c r="CW41" s="882"/>
      <c r="CX41" s="882"/>
      <c r="CY41" s="882"/>
      <c r="CZ41" s="882"/>
      <c r="DA41" s="882"/>
      <c r="DB41" s="882"/>
      <c r="DC41" s="882"/>
      <c r="DD41" s="385"/>
      <c r="DE41" s="882"/>
      <c r="DF41" s="882"/>
      <c r="DG41" s="882"/>
      <c r="DH41" s="882"/>
      <c r="DI41" s="882"/>
      <c r="DJ41" s="882"/>
      <c r="DK41" s="882"/>
      <c r="DL41" s="882"/>
      <c r="DM41" s="882"/>
      <c r="DN41" s="882"/>
      <c r="DO41" s="882"/>
      <c r="DP41" s="385"/>
      <c r="DQ41" s="882"/>
      <c r="DR41" s="882"/>
      <c r="DS41" s="882"/>
      <c r="DT41" s="882"/>
      <c r="DU41" s="882"/>
      <c r="DV41" s="882"/>
      <c r="DW41" s="882"/>
      <c r="DX41" s="882"/>
      <c r="DY41" s="882"/>
      <c r="DZ41" s="882"/>
      <c r="EA41" s="882"/>
      <c r="EB41" s="882"/>
      <c r="EC41" s="882"/>
      <c r="ED41" s="882"/>
      <c r="EE41" s="882"/>
      <c r="EF41" s="882"/>
      <c r="EG41" s="882"/>
      <c r="EH41" s="882"/>
      <c r="EI41" s="882"/>
      <c r="EJ41" s="882"/>
      <c r="EK41" s="882"/>
      <c r="EL41" s="882"/>
      <c r="EM41" s="882"/>
      <c r="EN41" s="882"/>
      <c r="EO41" s="882"/>
      <c r="EP41" s="882"/>
      <c r="EQ41" s="882"/>
      <c r="ER41" s="882"/>
      <c r="ES41" s="385"/>
      <c r="ET41" s="385"/>
      <c r="EU41" s="882"/>
      <c r="EV41" s="882"/>
      <c r="EW41" s="882"/>
      <c r="EX41" s="882"/>
      <c r="EY41" s="882"/>
      <c r="EZ41" s="882"/>
      <c r="FA41" s="882"/>
      <c r="FB41" s="882"/>
      <c r="FC41" s="882"/>
      <c r="FD41" s="882"/>
      <c r="FE41" s="385"/>
      <c r="FF41" s="882"/>
      <c r="FG41" s="385"/>
      <c r="FH41" s="882"/>
      <c r="FI41" s="882"/>
      <c r="FJ41" s="882"/>
      <c r="FK41" s="882"/>
      <c r="FL41" s="882"/>
      <c r="FM41" s="882"/>
      <c r="FN41" s="882"/>
      <c r="FO41" s="385"/>
      <c r="FP41" s="882"/>
      <c r="FQ41" s="882"/>
      <c r="FR41" s="882"/>
      <c r="FS41" s="882"/>
      <c r="FT41" s="882"/>
      <c r="FU41" s="882"/>
      <c r="FV41" s="882"/>
      <c r="FW41" s="882"/>
      <c r="FX41" s="882"/>
      <c r="FY41" s="882"/>
      <c r="FZ41" s="882"/>
      <c r="GA41" s="882"/>
      <c r="GB41" s="882"/>
      <c r="GC41" s="882"/>
      <c r="GD41" s="882"/>
      <c r="GE41" s="882"/>
      <c r="GF41" s="882"/>
      <c r="GG41" s="882"/>
      <c r="GH41" s="882"/>
      <c r="GI41" s="882"/>
      <c r="GJ41" s="882"/>
      <c r="GK41" s="882"/>
      <c r="GL41" s="882"/>
      <c r="GM41" s="882"/>
      <c r="GN41" s="882"/>
      <c r="GO41" s="882"/>
      <c r="GP41" s="882"/>
      <c r="GQ41" s="385"/>
      <c r="GR41" s="385"/>
      <c r="GS41" s="385"/>
      <c r="GT41" s="385"/>
      <c r="GU41" s="385"/>
      <c r="GV41" s="385"/>
    </row>
    <row r="42" spans="1:287" ht="27" customHeight="1">
      <c r="A42" s="27"/>
      <c r="B42" s="202" t="s">
        <v>822</v>
      </c>
      <c r="C42" s="230"/>
      <c r="D42" s="204"/>
      <c r="E42" s="204"/>
      <c r="F42" s="204"/>
      <c r="G42" s="204"/>
      <c r="H42" s="204"/>
      <c r="I42" s="204"/>
      <c r="J42" s="204"/>
      <c r="K42" s="204"/>
      <c r="L42" s="204"/>
      <c r="M42" s="805"/>
      <c r="N42" s="805"/>
      <c r="O42" s="805"/>
      <c r="P42" s="805"/>
      <c r="Q42" s="204"/>
      <c r="R42" s="204"/>
      <c r="S42" s="204"/>
      <c r="T42" s="204"/>
      <c r="U42" s="204"/>
      <c r="V42" s="89">
        <v>1</v>
      </c>
      <c r="W42" s="89">
        <v>7</v>
      </c>
      <c r="X42" s="89">
        <v>1</v>
      </c>
      <c r="Y42" s="875">
        <v>26</v>
      </c>
      <c r="Z42" s="89">
        <v>41</v>
      </c>
      <c r="AA42" s="89">
        <v>26</v>
      </c>
      <c r="AB42" s="89">
        <v>7</v>
      </c>
      <c r="AC42" s="89">
        <v>6</v>
      </c>
      <c r="AD42" s="89">
        <v>8</v>
      </c>
      <c r="AE42" s="736">
        <v>8</v>
      </c>
      <c r="AF42" s="736">
        <v>35</v>
      </c>
      <c r="AG42" s="736">
        <v>13</v>
      </c>
      <c r="AH42" s="736">
        <v>9</v>
      </c>
      <c r="AI42" s="736">
        <v>3</v>
      </c>
      <c r="AJ42" s="736">
        <v>1</v>
      </c>
      <c r="AK42" s="736">
        <v>1</v>
      </c>
      <c r="AL42" s="736">
        <v>4</v>
      </c>
      <c r="AM42" s="736">
        <v>1</v>
      </c>
      <c r="AN42" s="736"/>
      <c r="AO42" s="736"/>
      <c r="AP42" s="736"/>
      <c r="AQ42" s="736"/>
      <c r="AR42" s="736">
        <v>1</v>
      </c>
      <c r="AS42" s="736">
        <v>1</v>
      </c>
      <c r="AT42" s="736"/>
      <c r="AU42" s="736"/>
      <c r="AV42" s="736">
        <v>3</v>
      </c>
      <c r="AW42" s="736"/>
      <c r="AX42" s="736">
        <v>1</v>
      </c>
      <c r="AY42" s="736">
        <v>5</v>
      </c>
      <c r="AZ42" s="736">
        <v>3</v>
      </c>
      <c r="BA42" s="736">
        <v>14</v>
      </c>
      <c r="BB42" s="736">
        <v>23</v>
      </c>
      <c r="BC42" s="736">
        <v>33</v>
      </c>
      <c r="BD42" s="89">
        <v>64</v>
      </c>
      <c r="BE42" s="89">
        <v>69</v>
      </c>
      <c r="BF42" s="736">
        <v>114</v>
      </c>
      <c r="BG42" s="89">
        <v>127</v>
      </c>
      <c r="BH42" s="89">
        <v>107</v>
      </c>
      <c r="BI42" s="736">
        <v>137</v>
      </c>
      <c r="BJ42" s="736">
        <v>79</v>
      </c>
      <c r="BK42" s="736">
        <v>13</v>
      </c>
      <c r="BL42" s="736"/>
      <c r="BM42" s="736"/>
      <c r="BN42" s="89"/>
      <c r="BO42" s="89"/>
      <c r="BP42" s="89"/>
      <c r="BQ42" s="89"/>
      <c r="BR42" s="736"/>
      <c r="BS42" s="736"/>
      <c r="BT42" s="736"/>
      <c r="BU42" s="736"/>
      <c r="BV42" s="736"/>
      <c r="BW42" s="736"/>
      <c r="BX42" s="736"/>
      <c r="BY42" s="736"/>
      <c r="BZ42" s="736">
        <v>54</v>
      </c>
      <c r="CA42" s="736">
        <v>90</v>
      </c>
      <c r="CB42" s="89">
        <v>132</v>
      </c>
      <c r="CC42" s="736">
        <v>124</v>
      </c>
      <c r="CD42" s="736">
        <v>167</v>
      </c>
      <c r="CE42" s="736"/>
      <c r="CF42" s="89">
        <v>98</v>
      </c>
      <c r="CG42" s="89">
        <v>111</v>
      </c>
      <c r="CH42" s="736">
        <v>105</v>
      </c>
      <c r="CI42" s="89">
        <v>97</v>
      </c>
      <c r="CJ42" s="89">
        <v>168</v>
      </c>
      <c r="CK42" s="736">
        <v>172</v>
      </c>
      <c r="CL42" s="89">
        <v>138</v>
      </c>
      <c r="CM42" s="89">
        <v>182</v>
      </c>
      <c r="CN42" s="89">
        <v>109</v>
      </c>
      <c r="CO42" s="736">
        <v>153</v>
      </c>
      <c r="CP42" s="89">
        <v>183</v>
      </c>
      <c r="CQ42" s="736">
        <v>107</v>
      </c>
      <c r="CR42" s="736"/>
      <c r="CS42" s="736"/>
      <c r="CT42" s="736"/>
      <c r="CU42" s="736"/>
      <c r="CV42" s="736"/>
      <c r="CW42" s="736"/>
      <c r="CX42" s="736"/>
      <c r="CY42" s="736"/>
      <c r="CZ42" s="736"/>
      <c r="DA42" s="736">
        <v>53</v>
      </c>
      <c r="DB42" s="89">
        <v>142</v>
      </c>
      <c r="DC42" s="89">
        <v>165</v>
      </c>
      <c r="DD42" s="89">
        <v>158</v>
      </c>
      <c r="DE42" s="736">
        <v>147</v>
      </c>
      <c r="DF42" s="736">
        <v>140</v>
      </c>
      <c r="DG42" s="89">
        <v>151</v>
      </c>
      <c r="DH42" s="736"/>
      <c r="DI42" s="736"/>
      <c r="DJ42" s="89">
        <v>92</v>
      </c>
      <c r="DK42" s="89">
        <v>153</v>
      </c>
      <c r="DL42" s="736">
        <v>136</v>
      </c>
      <c r="DM42" s="736">
        <v>160</v>
      </c>
      <c r="DN42" s="89">
        <v>209</v>
      </c>
      <c r="DO42" s="89">
        <v>192</v>
      </c>
      <c r="DP42" s="89">
        <v>185</v>
      </c>
      <c r="DQ42" s="736">
        <v>177</v>
      </c>
      <c r="DR42" s="89">
        <v>184</v>
      </c>
      <c r="DS42" s="736">
        <v>156</v>
      </c>
      <c r="DT42" s="736">
        <v>199</v>
      </c>
      <c r="DU42" s="736"/>
      <c r="DV42" s="89">
        <v>175</v>
      </c>
      <c r="DW42" s="89">
        <v>194</v>
      </c>
      <c r="DX42" s="89">
        <v>191</v>
      </c>
      <c r="DY42" s="89">
        <v>203</v>
      </c>
      <c r="DZ42" s="736">
        <v>198</v>
      </c>
      <c r="EA42" s="736">
        <v>200</v>
      </c>
      <c r="EB42" s="89">
        <v>205</v>
      </c>
      <c r="EC42" s="89">
        <v>210</v>
      </c>
      <c r="ED42" s="89">
        <v>209</v>
      </c>
      <c r="EE42" s="89">
        <v>202</v>
      </c>
      <c r="EF42" s="89">
        <v>216</v>
      </c>
      <c r="EG42" s="736">
        <v>198</v>
      </c>
      <c r="EH42" s="736">
        <v>222</v>
      </c>
      <c r="EI42" s="736">
        <v>30</v>
      </c>
      <c r="EJ42" s="89">
        <v>168</v>
      </c>
      <c r="EK42" s="89">
        <v>199</v>
      </c>
      <c r="EL42" s="736">
        <v>228</v>
      </c>
      <c r="EM42" s="736">
        <v>159</v>
      </c>
      <c r="EN42" s="736">
        <v>188</v>
      </c>
      <c r="EO42" s="736">
        <v>206</v>
      </c>
      <c r="EP42" s="736">
        <v>213</v>
      </c>
      <c r="EQ42" s="89">
        <v>214</v>
      </c>
      <c r="ER42" s="89">
        <v>211</v>
      </c>
      <c r="ES42" s="89">
        <v>256</v>
      </c>
      <c r="ET42" s="89">
        <v>222</v>
      </c>
      <c r="EU42" s="736">
        <v>281</v>
      </c>
      <c r="EV42" s="736">
        <v>287</v>
      </c>
      <c r="EW42" s="89">
        <v>304</v>
      </c>
      <c r="EX42" s="89">
        <v>315</v>
      </c>
      <c r="EY42" s="89">
        <v>307</v>
      </c>
      <c r="EZ42" s="89">
        <v>301</v>
      </c>
      <c r="FA42" s="736"/>
      <c r="FB42" s="736"/>
      <c r="FC42" s="736"/>
      <c r="FD42" s="89">
        <v>257</v>
      </c>
      <c r="FE42" s="89">
        <v>301</v>
      </c>
      <c r="FF42" s="89">
        <v>315</v>
      </c>
      <c r="FG42" s="89">
        <v>333</v>
      </c>
      <c r="FH42" s="89">
        <v>307</v>
      </c>
      <c r="FI42" s="736">
        <v>365</v>
      </c>
      <c r="FJ42" s="736">
        <v>9</v>
      </c>
      <c r="FK42" s="736"/>
      <c r="FL42" s="89">
        <v>176</v>
      </c>
      <c r="FM42" s="89">
        <v>367</v>
      </c>
      <c r="FN42" s="736">
        <v>345</v>
      </c>
      <c r="FO42" s="89">
        <v>352</v>
      </c>
      <c r="FP42" s="736">
        <v>328</v>
      </c>
      <c r="FQ42" s="736">
        <v>29</v>
      </c>
      <c r="FR42" s="736"/>
      <c r="FS42" s="89">
        <v>323</v>
      </c>
      <c r="FT42" s="89">
        <v>284</v>
      </c>
      <c r="FU42" s="736">
        <v>265</v>
      </c>
      <c r="FV42" s="89">
        <v>292</v>
      </c>
      <c r="FW42" s="736">
        <v>338</v>
      </c>
      <c r="FX42" s="89">
        <v>362</v>
      </c>
      <c r="FY42" s="736">
        <v>411</v>
      </c>
      <c r="FZ42" s="736">
        <v>47</v>
      </c>
      <c r="GA42" s="736"/>
      <c r="GB42" s="736"/>
      <c r="GC42" s="736"/>
      <c r="GD42" s="736"/>
      <c r="GE42" s="736"/>
      <c r="GF42" s="89">
        <v>163</v>
      </c>
      <c r="GG42" s="736">
        <v>227</v>
      </c>
      <c r="GH42" s="89">
        <v>219</v>
      </c>
      <c r="GI42" s="736">
        <v>193</v>
      </c>
      <c r="GJ42" s="89">
        <v>238</v>
      </c>
      <c r="GK42" s="736">
        <v>57</v>
      </c>
      <c r="GL42" s="736">
        <v>29</v>
      </c>
      <c r="GM42" s="736"/>
      <c r="GN42" s="736">
        <v>216</v>
      </c>
      <c r="GO42" s="89">
        <v>223</v>
      </c>
      <c r="GP42" s="89">
        <v>228</v>
      </c>
      <c r="GQ42" s="89">
        <v>235</v>
      </c>
      <c r="GR42" s="89"/>
      <c r="GS42" s="89"/>
      <c r="GT42" s="89"/>
      <c r="GU42" s="89"/>
      <c r="GV42" s="8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19"/>
      <c r="HX42" s="19"/>
      <c r="HY42" s="19"/>
      <c r="HZ42" s="19"/>
      <c r="IA42" s="19"/>
      <c r="IB42" s="19"/>
      <c r="IC42" s="19"/>
      <c r="ID42" s="19"/>
      <c r="IE42" s="19"/>
      <c r="IF42" s="19"/>
      <c r="IG42" s="19"/>
      <c r="IH42" s="19"/>
      <c r="II42" s="19"/>
      <c r="IJ42" s="19"/>
      <c r="IK42" s="19"/>
      <c r="IL42" s="19"/>
      <c r="IM42" s="19"/>
      <c r="IN42" s="19"/>
      <c r="IO42" s="19"/>
      <c r="IP42" s="19"/>
      <c r="IQ42" s="19"/>
      <c r="IR42" s="19"/>
      <c r="IS42" s="19"/>
      <c r="IT42" s="19"/>
      <c r="IU42" s="19"/>
      <c r="IV42" s="19"/>
      <c r="IW42" s="19"/>
      <c r="IX42" s="19"/>
      <c r="IY42" s="19"/>
      <c r="IZ42" s="19"/>
      <c r="JA42" s="19"/>
      <c r="JB42" s="19"/>
      <c r="JC42" s="19"/>
      <c r="JD42" s="19"/>
      <c r="JE42" s="19"/>
      <c r="JF42" s="19"/>
      <c r="JG42" s="19"/>
      <c r="JH42" s="19"/>
      <c r="JI42" s="19"/>
      <c r="JJ42" s="19"/>
      <c r="JK42" s="19"/>
      <c r="JL42" s="19"/>
      <c r="JM42" s="19"/>
      <c r="JN42" s="19"/>
      <c r="JO42" s="19"/>
      <c r="JP42" s="19"/>
      <c r="JQ42" s="19"/>
      <c r="JR42" s="19"/>
      <c r="JS42" s="19"/>
      <c r="JT42" s="19"/>
      <c r="JU42" s="19"/>
      <c r="JV42" s="19"/>
      <c r="JW42" s="19"/>
      <c r="JX42" s="19"/>
      <c r="JY42" s="19"/>
      <c r="JZ42" s="19"/>
      <c r="KA42" s="19"/>
    </row>
    <row r="43" spans="1:287" s="247" customFormat="1" ht="21.75" customHeight="1">
      <c r="A43" s="205"/>
      <c r="B43" s="206" t="s">
        <v>823</v>
      </c>
      <c r="C43" s="367"/>
      <c r="D43" s="208"/>
      <c r="E43" s="208"/>
      <c r="F43" s="208"/>
      <c r="G43" s="208"/>
      <c r="H43" s="208"/>
      <c r="I43" s="208"/>
      <c r="J43" s="208"/>
      <c r="K43" s="208"/>
      <c r="L43" s="208"/>
      <c r="M43" s="765"/>
      <c r="N43" s="765"/>
      <c r="O43" s="765"/>
      <c r="P43" s="765"/>
      <c r="Q43" s="208"/>
      <c r="R43" s="208"/>
      <c r="S43" s="208"/>
      <c r="T43" s="208"/>
      <c r="U43" s="208"/>
      <c r="V43" s="391"/>
      <c r="W43" s="391">
        <v>2</v>
      </c>
      <c r="X43" s="391"/>
      <c r="Y43" s="391"/>
      <c r="Z43" s="391">
        <v>2</v>
      </c>
      <c r="AA43" s="391">
        <v>2</v>
      </c>
      <c r="AB43" s="391">
        <v>1</v>
      </c>
      <c r="AC43" s="391"/>
      <c r="AD43" s="391"/>
      <c r="AE43" s="883"/>
      <c r="AF43" s="883">
        <v>3</v>
      </c>
      <c r="AG43" s="883">
        <v>2</v>
      </c>
      <c r="AH43" s="883">
        <v>1</v>
      </c>
      <c r="AI43" s="883"/>
      <c r="AJ43" s="883"/>
      <c r="AK43" s="883"/>
      <c r="AL43" s="883"/>
      <c r="AM43" s="883"/>
      <c r="AN43" s="883"/>
      <c r="AO43" s="883"/>
      <c r="AP43" s="883"/>
      <c r="AQ43" s="883"/>
      <c r="AR43" s="883"/>
      <c r="AS43" s="883"/>
      <c r="AT43" s="883"/>
      <c r="AU43" s="883"/>
      <c r="AV43" s="883"/>
      <c r="AW43" s="883"/>
      <c r="AX43" s="883"/>
      <c r="AY43" s="883">
        <v>1</v>
      </c>
      <c r="AZ43" s="883"/>
      <c r="BA43" s="883">
        <v>3</v>
      </c>
      <c r="BB43" s="883">
        <v>3</v>
      </c>
      <c r="BC43" s="883">
        <v>2</v>
      </c>
      <c r="BD43" s="391">
        <v>4</v>
      </c>
      <c r="BE43" s="391">
        <v>2</v>
      </c>
      <c r="BF43" s="883">
        <v>1</v>
      </c>
      <c r="BG43" s="391">
        <v>2</v>
      </c>
      <c r="BH43" s="391">
        <v>4</v>
      </c>
      <c r="BI43" s="883">
        <v>4</v>
      </c>
      <c r="BJ43" s="883">
        <v>2</v>
      </c>
      <c r="BK43" s="883"/>
      <c r="BL43" s="883"/>
      <c r="BM43" s="883"/>
      <c r="BN43" s="391"/>
      <c r="BO43" s="391"/>
      <c r="BP43" s="391"/>
      <c r="BQ43" s="391"/>
      <c r="BR43" s="883"/>
      <c r="BS43" s="883"/>
      <c r="BT43" s="883"/>
      <c r="BU43" s="883"/>
      <c r="BV43" s="883"/>
      <c r="BW43" s="883"/>
      <c r="BX43" s="883"/>
      <c r="BY43" s="883"/>
      <c r="BZ43" s="883">
        <v>2</v>
      </c>
      <c r="CA43" s="883"/>
      <c r="CB43" s="391">
        <v>4</v>
      </c>
      <c r="CC43" s="883">
        <v>5</v>
      </c>
      <c r="CD43" s="883">
        <v>4</v>
      </c>
      <c r="CE43" s="883"/>
      <c r="CF43" s="391">
        <v>3</v>
      </c>
      <c r="CG43" s="391">
        <v>3</v>
      </c>
      <c r="CH43" s="883">
        <v>1</v>
      </c>
      <c r="CI43" s="391">
        <v>2</v>
      </c>
      <c r="CJ43" s="391">
        <v>7</v>
      </c>
      <c r="CK43" s="883">
        <v>3</v>
      </c>
      <c r="CL43" s="391">
        <v>1</v>
      </c>
      <c r="CM43" s="391">
        <v>4</v>
      </c>
      <c r="CN43" s="391">
        <v>2</v>
      </c>
      <c r="CO43" s="883">
        <v>2</v>
      </c>
      <c r="CP43" s="391">
        <v>6</v>
      </c>
      <c r="CQ43" s="883">
        <v>1</v>
      </c>
      <c r="CR43" s="883"/>
      <c r="CS43" s="883"/>
      <c r="CT43" s="883"/>
      <c r="CU43" s="883"/>
      <c r="CV43" s="883"/>
      <c r="CW43" s="883"/>
      <c r="CX43" s="883"/>
      <c r="CY43" s="883"/>
      <c r="CZ43" s="883"/>
      <c r="DA43" s="883">
        <v>2</v>
      </c>
      <c r="DB43" s="883">
        <v>3</v>
      </c>
      <c r="DC43" s="883">
        <v>4</v>
      </c>
      <c r="DD43" s="883">
        <v>4</v>
      </c>
      <c r="DE43" s="883">
        <v>2</v>
      </c>
      <c r="DF43" s="883">
        <v>4</v>
      </c>
      <c r="DG43" s="883">
        <v>4</v>
      </c>
      <c r="DH43" s="883"/>
      <c r="DI43" s="883"/>
      <c r="DJ43" s="883">
        <v>3</v>
      </c>
      <c r="DK43" s="883">
        <v>13</v>
      </c>
      <c r="DL43" s="883">
        <v>1</v>
      </c>
      <c r="DM43" s="883">
        <v>3</v>
      </c>
      <c r="DN43" s="883">
        <v>4</v>
      </c>
      <c r="DO43" s="883">
        <v>5</v>
      </c>
      <c r="DP43" s="883">
        <v>1</v>
      </c>
      <c r="DQ43" s="883">
        <v>1</v>
      </c>
      <c r="DR43" s="883">
        <v>3</v>
      </c>
      <c r="DS43" s="883">
        <v>2</v>
      </c>
      <c r="DT43" s="883">
        <v>3</v>
      </c>
      <c r="DU43" s="883">
        <v>0</v>
      </c>
      <c r="DV43" s="883">
        <v>3</v>
      </c>
      <c r="DW43" s="883">
        <v>3</v>
      </c>
      <c r="DX43" s="883">
        <v>3</v>
      </c>
      <c r="DY43" s="883">
        <v>2</v>
      </c>
      <c r="DZ43" s="883">
        <v>3</v>
      </c>
      <c r="EA43" s="883">
        <v>1</v>
      </c>
      <c r="EB43" s="883">
        <v>3</v>
      </c>
      <c r="EC43" s="883">
        <v>2</v>
      </c>
      <c r="ED43" s="883">
        <v>1</v>
      </c>
      <c r="EE43" s="883">
        <v>1</v>
      </c>
      <c r="EF43" s="883">
        <v>3</v>
      </c>
      <c r="EG43" s="883">
        <v>4</v>
      </c>
      <c r="EH43" s="883">
        <v>2</v>
      </c>
      <c r="EI43" s="883"/>
      <c r="EJ43" s="883">
        <v>2</v>
      </c>
      <c r="EK43" s="883">
        <v>2</v>
      </c>
      <c r="EL43" s="883">
        <v>1</v>
      </c>
      <c r="EM43" s="883"/>
      <c r="EN43" s="883">
        <v>1</v>
      </c>
      <c r="EO43" s="883">
        <v>3</v>
      </c>
      <c r="EP43" s="883">
        <v>1</v>
      </c>
      <c r="EQ43" s="883">
        <v>3</v>
      </c>
      <c r="ER43" s="883">
        <v>2</v>
      </c>
      <c r="ES43" s="883">
        <v>2</v>
      </c>
      <c r="ET43" s="883">
        <v>4</v>
      </c>
      <c r="EU43" s="883">
        <v>2</v>
      </c>
      <c r="EV43" s="883">
        <v>6</v>
      </c>
      <c r="EW43" s="883">
        <v>4</v>
      </c>
      <c r="EX43" s="883">
        <v>5</v>
      </c>
      <c r="EY43" s="883">
        <v>7</v>
      </c>
      <c r="EZ43" s="883">
        <v>3</v>
      </c>
      <c r="FA43" s="883"/>
      <c r="FB43" s="883"/>
      <c r="FC43" s="883"/>
      <c r="FD43" s="883">
        <v>3</v>
      </c>
      <c r="FE43" s="883">
        <v>3</v>
      </c>
      <c r="FF43" s="883">
        <v>4</v>
      </c>
      <c r="FG43" s="883">
        <v>2</v>
      </c>
      <c r="FH43" s="883">
        <v>2</v>
      </c>
      <c r="FI43" s="883">
        <v>4</v>
      </c>
      <c r="FJ43" s="883"/>
      <c r="FK43" s="883"/>
      <c r="FL43" s="883">
        <v>2</v>
      </c>
      <c r="FM43" s="883">
        <v>4</v>
      </c>
      <c r="FN43" s="883">
        <v>2</v>
      </c>
      <c r="FO43" s="883">
        <v>1</v>
      </c>
      <c r="FP43" s="883">
        <v>2</v>
      </c>
      <c r="FQ43" s="883"/>
      <c r="FR43" s="883"/>
      <c r="FS43" s="883">
        <v>1</v>
      </c>
      <c r="FT43" s="883">
        <v>4</v>
      </c>
      <c r="FU43" s="883">
        <v>1</v>
      </c>
      <c r="FV43" s="883">
        <v>4</v>
      </c>
      <c r="FW43" s="883"/>
      <c r="FX43" s="883">
        <v>3</v>
      </c>
      <c r="FY43" s="883"/>
      <c r="FZ43" s="883"/>
      <c r="GA43" s="883"/>
      <c r="GB43" s="883"/>
      <c r="GC43" s="883"/>
      <c r="GD43" s="883"/>
      <c r="GE43" s="883"/>
      <c r="GF43" s="883">
        <v>2</v>
      </c>
      <c r="GG43" s="883"/>
      <c r="GH43" s="883">
        <v>1</v>
      </c>
      <c r="GI43" s="883"/>
      <c r="GJ43" s="883">
        <v>1</v>
      </c>
      <c r="GK43" s="883">
        <v>1</v>
      </c>
      <c r="GL43" s="883"/>
      <c r="GM43" s="883"/>
      <c r="GN43" s="883">
        <v>1</v>
      </c>
      <c r="GO43" s="883">
        <v>3</v>
      </c>
      <c r="GP43" s="883">
        <v>2</v>
      </c>
      <c r="GQ43" s="883">
        <v>1</v>
      </c>
      <c r="GR43" s="391"/>
      <c r="GS43" s="391"/>
      <c r="GT43" s="391"/>
      <c r="GU43" s="391"/>
      <c r="GV43" s="391"/>
      <c r="GW43" s="177"/>
      <c r="GX43" s="177"/>
      <c r="GY43" s="177"/>
      <c r="GZ43" s="177"/>
      <c r="HA43" s="177"/>
      <c r="HB43" s="177"/>
      <c r="HC43" s="177"/>
      <c r="HD43" s="177"/>
      <c r="HE43" s="177"/>
      <c r="HF43" s="177"/>
      <c r="HG43" s="177"/>
      <c r="HH43" s="177"/>
      <c r="HI43" s="177"/>
      <c r="HJ43" s="177"/>
      <c r="HK43" s="177"/>
      <c r="HL43" s="177"/>
      <c r="HM43" s="177"/>
      <c r="HN43" s="177"/>
      <c r="HO43" s="177"/>
      <c r="HP43" s="177"/>
      <c r="HQ43" s="177"/>
      <c r="HR43" s="177"/>
      <c r="HS43" s="177"/>
      <c r="HT43" s="177"/>
      <c r="HU43" s="177"/>
      <c r="HV43" s="177"/>
      <c r="HW43" s="177"/>
      <c r="HX43" s="177"/>
      <c r="HY43" s="177"/>
      <c r="HZ43" s="177"/>
      <c r="IA43" s="177"/>
      <c r="IB43" s="177"/>
      <c r="IC43" s="177"/>
      <c r="ID43" s="177"/>
      <c r="IE43" s="177"/>
      <c r="IF43" s="177"/>
      <c r="IG43" s="177"/>
      <c r="IH43" s="177"/>
      <c r="II43" s="177"/>
      <c r="IJ43" s="177"/>
      <c r="IK43" s="177"/>
      <c r="IL43" s="177"/>
      <c r="IM43" s="177"/>
      <c r="IN43" s="177"/>
      <c r="IO43" s="177"/>
      <c r="IP43" s="177"/>
      <c r="IQ43" s="177"/>
      <c r="IR43" s="177"/>
      <c r="IS43" s="177"/>
      <c r="IT43" s="177"/>
      <c r="IU43" s="177"/>
      <c r="IV43" s="177"/>
      <c r="IW43" s="177"/>
      <c r="IX43" s="177"/>
      <c r="IY43" s="177"/>
      <c r="IZ43" s="177"/>
      <c r="JA43" s="177"/>
      <c r="JB43" s="177"/>
      <c r="JC43" s="177"/>
      <c r="JD43" s="177"/>
      <c r="JE43" s="177"/>
      <c r="JF43" s="177"/>
      <c r="JG43" s="177"/>
      <c r="JH43" s="177"/>
      <c r="JI43" s="177"/>
      <c r="JJ43" s="177"/>
      <c r="JK43" s="177"/>
      <c r="JL43" s="177"/>
      <c r="JM43" s="177"/>
      <c r="JN43" s="177"/>
      <c r="JO43" s="177"/>
      <c r="JP43" s="177"/>
      <c r="JQ43" s="177"/>
      <c r="JR43" s="177"/>
      <c r="JS43" s="177"/>
      <c r="JT43" s="177"/>
      <c r="JU43" s="177"/>
      <c r="JV43" s="177"/>
      <c r="JW43" s="177"/>
      <c r="JX43" s="177"/>
      <c r="JY43" s="177"/>
      <c r="JZ43" s="177"/>
      <c r="KA43" s="177"/>
    </row>
    <row r="44" spans="1:287" s="19" customFormat="1" ht="15">
      <c r="A44" s="63"/>
      <c r="B44" s="368" t="s">
        <v>824</v>
      </c>
      <c r="C44" s="364" t="s">
        <v>829</v>
      </c>
      <c r="D44" s="202"/>
      <c r="E44" s="365"/>
      <c r="F44" s="365"/>
      <c r="G44" s="365"/>
      <c r="H44" s="365"/>
      <c r="I44" s="365"/>
      <c r="J44" s="365"/>
      <c r="K44" s="365"/>
      <c r="L44" s="365"/>
      <c r="M44" s="1093"/>
      <c r="N44" s="1093"/>
      <c r="O44" s="1093"/>
      <c r="P44" s="1093"/>
      <c r="Q44" s="365"/>
      <c r="R44" s="365"/>
      <c r="S44" s="365"/>
      <c r="T44" s="365"/>
      <c r="U44" s="386"/>
      <c r="V44" s="383">
        <f t="shared" ref="V44:AZ44" si="4">1000*V43/V42</f>
        <v>0</v>
      </c>
      <c r="W44" s="383">
        <f t="shared" si="4"/>
        <v>285.71428571428572</v>
      </c>
      <c r="X44" s="383">
        <f t="shared" si="4"/>
        <v>0</v>
      </c>
      <c r="Y44" s="383">
        <f t="shared" si="4"/>
        <v>0</v>
      </c>
      <c r="Z44" s="383">
        <f t="shared" si="4"/>
        <v>48.780487804878049</v>
      </c>
      <c r="AA44" s="383">
        <f t="shared" si="4"/>
        <v>76.92307692307692</v>
      </c>
      <c r="AB44" s="383">
        <f t="shared" si="4"/>
        <v>142.85714285714286</v>
      </c>
      <c r="AC44" s="383">
        <f t="shared" si="4"/>
        <v>0</v>
      </c>
      <c r="AD44" s="383">
        <f t="shared" si="4"/>
        <v>0</v>
      </c>
      <c r="AE44" s="383">
        <f t="shared" si="4"/>
        <v>0</v>
      </c>
      <c r="AF44" s="383">
        <f t="shared" si="4"/>
        <v>85.714285714285708</v>
      </c>
      <c r="AG44" s="383">
        <f t="shared" si="4"/>
        <v>153.84615384615384</v>
      </c>
      <c r="AH44" s="383">
        <f t="shared" si="4"/>
        <v>111.11111111111111</v>
      </c>
      <c r="AI44" s="383">
        <f t="shared" si="4"/>
        <v>0</v>
      </c>
      <c r="AJ44" s="383">
        <f t="shared" si="4"/>
        <v>0</v>
      </c>
      <c r="AK44" s="383">
        <f t="shared" si="4"/>
        <v>0</v>
      </c>
      <c r="AL44" s="383">
        <f t="shared" si="4"/>
        <v>0</v>
      </c>
      <c r="AM44" s="383">
        <f t="shared" si="4"/>
        <v>0</v>
      </c>
      <c r="AN44" s="383" t="e">
        <f t="shared" si="4"/>
        <v>#DIV/0!</v>
      </c>
      <c r="AO44" s="383" t="e">
        <f t="shared" si="4"/>
        <v>#DIV/0!</v>
      </c>
      <c r="AP44" s="383" t="e">
        <f t="shared" si="4"/>
        <v>#DIV/0!</v>
      </c>
      <c r="AQ44" s="383" t="e">
        <f t="shared" si="4"/>
        <v>#DIV/0!</v>
      </c>
      <c r="AR44" s="383">
        <f t="shared" si="4"/>
        <v>0</v>
      </c>
      <c r="AS44" s="383">
        <f t="shared" si="4"/>
        <v>0</v>
      </c>
      <c r="AT44" s="383" t="e">
        <f t="shared" si="4"/>
        <v>#DIV/0!</v>
      </c>
      <c r="AU44" s="383" t="e">
        <f t="shared" si="4"/>
        <v>#DIV/0!</v>
      </c>
      <c r="AV44" s="383">
        <f t="shared" si="4"/>
        <v>0</v>
      </c>
      <c r="AW44" s="383" t="e">
        <f t="shared" si="4"/>
        <v>#DIV/0!</v>
      </c>
      <c r="AX44" s="383">
        <f t="shared" si="4"/>
        <v>0</v>
      </c>
      <c r="AY44" s="383">
        <f t="shared" si="4"/>
        <v>200</v>
      </c>
      <c r="AZ44" s="383">
        <f t="shared" si="4"/>
        <v>0</v>
      </c>
      <c r="BA44" s="383">
        <f>1000*BA43/BA42</f>
        <v>214.28571428571428</v>
      </c>
      <c r="BB44" s="383">
        <f t="shared" ref="BB44:DF44" si="5">1000*BB43/BB42</f>
        <v>130.43478260869566</v>
      </c>
      <c r="BC44" s="383">
        <f t="shared" si="5"/>
        <v>60.606060606060609</v>
      </c>
      <c r="BD44" s="383">
        <f t="shared" si="5"/>
        <v>62.5</v>
      </c>
      <c r="BE44" s="383">
        <f t="shared" si="5"/>
        <v>28.985507246376812</v>
      </c>
      <c r="BF44" s="383">
        <f t="shared" si="5"/>
        <v>8.7719298245614041</v>
      </c>
      <c r="BG44" s="383">
        <f t="shared" si="5"/>
        <v>15.748031496062993</v>
      </c>
      <c r="BH44" s="383">
        <f t="shared" si="5"/>
        <v>37.383177570093459</v>
      </c>
      <c r="BI44" s="383">
        <f t="shared" si="5"/>
        <v>29.197080291970803</v>
      </c>
      <c r="BJ44" s="383">
        <f t="shared" si="5"/>
        <v>25.316455696202532</v>
      </c>
      <c r="BK44" s="383">
        <f t="shared" si="5"/>
        <v>0</v>
      </c>
      <c r="BL44" s="383"/>
      <c r="BM44" s="383"/>
      <c r="BN44" s="383"/>
      <c r="BO44" s="383"/>
      <c r="BP44" s="383"/>
      <c r="BQ44" s="383"/>
      <c r="BR44" s="383"/>
      <c r="BS44" s="383"/>
      <c r="BT44" s="881"/>
      <c r="BU44" s="881"/>
      <c r="BV44" s="881"/>
      <c r="BW44" s="881"/>
      <c r="BX44" s="881"/>
      <c r="BY44" s="881"/>
      <c r="BZ44" s="383">
        <f t="shared" si="5"/>
        <v>37.037037037037038</v>
      </c>
      <c r="CA44" s="383">
        <f t="shared" si="5"/>
        <v>0</v>
      </c>
      <c r="CB44" s="383">
        <f t="shared" ref="CB44" si="6">1000*CB43/CB42</f>
        <v>30.303030303030305</v>
      </c>
      <c r="CC44" s="383">
        <f t="shared" si="5"/>
        <v>40.322580645161288</v>
      </c>
      <c r="CD44" s="383">
        <f t="shared" si="5"/>
        <v>23.952095808383234</v>
      </c>
      <c r="CE44" s="383" t="e">
        <f t="shared" si="5"/>
        <v>#DIV/0!</v>
      </c>
      <c r="CF44" s="383">
        <f t="shared" si="5"/>
        <v>30.612244897959183</v>
      </c>
      <c r="CG44" s="383">
        <f t="shared" si="5"/>
        <v>27.027027027027028</v>
      </c>
      <c r="CH44" s="383">
        <f t="shared" si="5"/>
        <v>9.5238095238095237</v>
      </c>
      <c r="CI44" s="383">
        <f t="shared" ref="CI44" si="7">1000*CI43/CI42</f>
        <v>20.618556701030929</v>
      </c>
      <c r="CJ44" s="383">
        <v>41.666666666666664</v>
      </c>
      <c r="CK44" s="881"/>
      <c r="CL44" s="383">
        <f t="shared" ref="CL44:CN44" si="8">1000*CL43/CL42</f>
        <v>7.2463768115942031</v>
      </c>
      <c r="CM44" s="383">
        <f t="shared" si="8"/>
        <v>21.978021978021978</v>
      </c>
      <c r="CN44" s="383">
        <f t="shared" si="8"/>
        <v>18.348623853211009</v>
      </c>
      <c r="CO44" s="881"/>
      <c r="CP44" s="383">
        <f t="shared" ref="CP44" si="9">1000*CP43/CP42</f>
        <v>32.786885245901637</v>
      </c>
      <c r="CQ44" s="881"/>
      <c r="CR44" s="881"/>
      <c r="CS44" s="881"/>
      <c r="CT44" s="881"/>
      <c r="CU44" s="881"/>
      <c r="CV44" s="881"/>
      <c r="CW44" s="881"/>
      <c r="CX44" s="881"/>
      <c r="CY44" s="881"/>
      <c r="CZ44" s="881"/>
      <c r="DA44" s="383">
        <f t="shared" si="5"/>
        <v>37.735849056603776</v>
      </c>
      <c r="DB44" s="383">
        <f t="shared" ref="DB44:DD44" si="10">1000*DB43/DB42</f>
        <v>21.12676056338028</v>
      </c>
      <c r="DC44" s="383">
        <f t="shared" si="10"/>
        <v>24.242424242424242</v>
      </c>
      <c r="DD44" s="383">
        <f t="shared" si="10"/>
        <v>25.316455696202532</v>
      </c>
      <c r="DE44" s="383">
        <f t="shared" si="5"/>
        <v>13.605442176870747</v>
      </c>
      <c r="DF44" s="383">
        <f t="shared" si="5"/>
        <v>28.571428571428573</v>
      </c>
      <c r="DG44" s="383">
        <f t="shared" ref="DG44:DH44" si="11">1000*DG43/DG42</f>
        <v>26.490066225165563</v>
      </c>
      <c r="DH44" s="383" t="e">
        <f t="shared" si="11"/>
        <v>#DIV/0!</v>
      </c>
      <c r="DI44" s="881"/>
      <c r="DJ44" s="383">
        <f t="shared" ref="DJ44:DU44" si="12">1000*DJ43/DJ42</f>
        <v>32.608695652173914</v>
      </c>
      <c r="DK44" s="383">
        <f t="shared" si="12"/>
        <v>84.967320261437905</v>
      </c>
      <c r="DL44" s="383">
        <f t="shared" si="12"/>
        <v>7.3529411764705879</v>
      </c>
      <c r="DM44" s="383">
        <f t="shared" si="12"/>
        <v>18.75</v>
      </c>
      <c r="DN44" s="383">
        <f t="shared" ref="DN44:DR44" si="13">1000*DN43/DN42</f>
        <v>19.138755980861244</v>
      </c>
      <c r="DO44" s="383">
        <f t="shared" si="13"/>
        <v>26.041666666666668</v>
      </c>
      <c r="DP44" s="383">
        <f t="shared" si="13"/>
        <v>5.4054054054054053</v>
      </c>
      <c r="DQ44" s="383">
        <f t="shared" si="13"/>
        <v>5.6497175141242941</v>
      </c>
      <c r="DR44" s="383">
        <f t="shared" si="13"/>
        <v>16.304347826086957</v>
      </c>
      <c r="DS44" s="383">
        <f t="shared" si="12"/>
        <v>12.820512820512821</v>
      </c>
      <c r="DT44" s="383">
        <f t="shared" si="12"/>
        <v>15.075376884422111</v>
      </c>
      <c r="DU44" s="383" t="e">
        <f t="shared" si="12"/>
        <v>#DIV/0!</v>
      </c>
      <c r="DV44" s="383">
        <f t="shared" ref="DV44:DY44" si="14">1000*DV43/DV42</f>
        <v>17.142857142857142</v>
      </c>
      <c r="DW44" s="383">
        <f t="shared" si="14"/>
        <v>15.463917525773196</v>
      </c>
      <c r="DX44" s="383">
        <f t="shared" si="14"/>
        <v>15.706806282722512</v>
      </c>
      <c r="DY44" s="383">
        <f t="shared" si="14"/>
        <v>9.8522167487684733</v>
      </c>
      <c r="DZ44" s="881"/>
      <c r="EA44" s="881"/>
      <c r="EB44" s="383">
        <f t="shared" ref="EB44:EI44" si="15">1000*EB43/EB42</f>
        <v>14.634146341463415</v>
      </c>
      <c r="EC44" s="383">
        <f t="shared" si="15"/>
        <v>9.5238095238095237</v>
      </c>
      <c r="ED44" s="383">
        <f t="shared" si="15"/>
        <v>4.7846889952153111</v>
      </c>
      <c r="EE44" s="383">
        <f t="shared" si="15"/>
        <v>4.9504950495049505</v>
      </c>
      <c r="EF44" s="383">
        <f t="shared" si="15"/>
        <v>13.888888888888889</v>
      </c>
      <c r="EG44" s="383">
        <f t="shared" si="15"/>
        <v>20.202020202020201</v>
      </c>
      <c r="EH44" s="383">
        <f t="shared" si="15"/>
        <v>9.0090090090090094</v>
      </c>
      <c r="EI44" s="383">
        <f t="shared" si="15"/>
        <v>0</v>
      </c>
      <c r="EJ44" s="383">
        <f t="shared" ref="EJ44:FC44" si="16">1000*EJ43/EJ42</f>
        <v>11.904761904761905</v>
      </c>
      <c r="EK44" s="383">
        <f t="shared" si="16"/>
        <v>10.050251256281408</v>
      </c>
      <c r="EL44" s="383">
        <f t="shared" si="16"/>
        <v>4.3859649122807021</v>
      </c>
      <c r="EM44" s="383">
        <f t="shared" si="16"/>
        <v>0</v>
      </c>
      <c r="EN44" s="383">
        <f t="shared" si="16"/>
        <v>5.3191489361702127</v>
      </c>
      <c r="EO44" s="383">
        <f t="shared" si="16"/>
        <v>14.563106796116505</v>
      </c>
      <c r="EP44" s="383">
        <f t="shared" si="16"/>
        <v>4.694835680751174</v>
      </c>
      <c r="EQ44" s="383">
        <v>14.018691588785046</v>
      </c>
      <c r="ER44" s="383">
        <f t="shared" ref="ER44:ET44" si="17">1000*ER43/ER42</f>
        <v>9.4786729857819907</v>
      </c>
      <c r="ES44" s="383">
        <f t="shared" si="17"/>
        <v>7.8125</v>
      </c>
      <c r="ET44" s="383">
        <f t="shared" si="17"/>
        <v>18.018018018018019</v>
      </c>
      <c r="EU44" s="383">
        <f t="shared" si="16"/>
        <v>7.117437722419929</v>
      </c>
      <c r="EV44" s="383">
        <f t="shared" si="16"/>
        <v>20.905923344947734</v>
      </c>
      <c r="EW44" s="383">
        <f t="shared" ref="EW44:EZ44" si="18">1000*EW43/EW42</f>
        <v>13.157894736842104</v>
      </c>
      <c r="EX44" s="383">
        <f t="shared" si="18"/>
        <v>15.873015873015873</v>
      </c>
      <c r="EY44" s="383">
        <f t="shared" si="18"/>
        <v>22.801302931596091</v>
      </c>
      <c r="EZ44" s="383">
        <f t="shared" si="18"/>
        <v>9.9667774086378742</v>
      </c>
      <c r="FA44" s="383" t="e">
        <f t="shared" si="16"/>
        <v>#DIV/0!</v>
      </c>
      <c r="FB44" s="383" t="e">
        <f t="shared" si="16"/>
        <v>#DIV/0!</v>
      </c>
      <c r="FC44" s="383" t="e">
        <f t="shared" si="16"/>
        <v>#DIV/0!</v>
      </c>
      <c r="FD44" s="383">
        <f t="shared" ref="FD44:FE44" si="19">1000*FD43/FD42</f>
        <v>11.673151750972762</v>
      </c>
      <c r="FE44" s="383">
        <f t="shared" si="19"/>
        <v>9.9667774086378742</v>
      </c>
      <c r="FF44" s="383">
        <f t="shared" ref="FF44:FK44" si="20">1000*FF43/FF42</f>
        <v>12.698412698412698</v>
      </c>
      <c r="FG44" s="383">
        <f t="shared" si="20"/>
        <v>6.0060060060060056</v>
      </c>
      <c r="FH44" s="383">
        <f t="shared" si="20"/>
        <v>6.5146579804560263</v>
      </c>
      <c r="FI44" s="383">
        <f t="shared" si="20"/>
        <v>10.95890410958904</v>
      </c>
      <c r="FJ44" s="383">
        <f t="shared" si="20"/>
        <v>0</v>
      </c>
      <c r="FK44" s="383" t="e">
        <f t="shared" si="20"/>
        <v>#DIV/0!</v>
      </c>
      <c r="FL44" s="383">
        <f t="shared" ref="FL44:FU44" si="21">1000*FL43/FL42</f>
        <v>11.363636363636363</v>
      </c>
      <c r="FM44" s="383">
        <f t="shared" si="21"/>
        <v>10.899182561307901</v>
      </c>
      <c r="FN44" s="383">
        <f t="shared" si="21"/>
        <v>5.7971014492753623</v>
      </c>
      <c r="FO44" s="383">
        <f t="shared" ref="FO44" si="22">1000*FO43/FO42</f>
        <v>2.8409090909090908</v>
      </c>
      <c r="FP44" s="383">
        <f t="shared" si="21"/>
        <v>6.0975609756097562</v>
      </c>
      <c r="FQ44" s="383">
        <f t="shared" si="21"/>
        <v>0</v>
      </c>
      <c r="FR44" s="383" t="e">
        <f t="shared" si="21"/>
        <v>#DIV/0!</v>
      </c>
      <c r="FS44" s="383">
        <f t="shared" si="21"/>
        <v>3.0959752321981426</v>
      </c>
      <c r="FT44" s="383">
        <f t="shared" si="21"/>
        <v>14.084507042253522</v>
      </c>
      <c r="FU44" s="383">
        <f t="shared" si="21"/>
        <v>3.7735849056603774</v>
      </c>
      <c r="FV44" s="383">
        <f t="shared" ref="FV44" si="23">1000*FV43/FV42</f>
        <v>13.698630136986301</v>
      </c>
      <c r="FW44" s="881"/>
      <c r="FX44" s="383">
        <f t="shared" ref="FX44:GI44" si="24">1000*FX43/FX42</f>
        <v>8.2872928176795586</v>
      </c>
      <c r="FY44" s="383">
        <f t="shared" si="24"/>
        <v>0</v>
      </c>
      <c r="FZ44" s="383">
        <f t="shared" si="24"/>
        <v>0</v>
      </c>
      <c r="GA44" s="383" t="e">
        <f t="shared" si="24"/>
        <v>#DIV/0!</v>
      </c>
      <c r="GB44" s="383" t="e">
        <f t="shared" si="24"/>
        <v>#DIV/0!</v>
      </c>
      <c r="GC44" s="383" t="e">
        <f t="shared" si="24"/>
        <v>#DIV/0!</v>
      </c>
      <c r="GD44" s="383" t="e">
        <f t="shared" si="24"/>
        <v>#DIV/0!</v>
      </c>
      <c r="GE44" s="383" t="e">
        <f t="shared" si="24"/>
        <v>#DIV/0!</v>
      </c>
      <c r="GF44" s="383">
        <f t="shared" si="24"/>
        <v>12.269938650306749</v>
      </c>
      <c r="GG44" s="383">
        <f t="shared" si="24"/>
        <v>0</v>
      </c>
      <c r="GH44" s="383">
        <f t="shared" si="24"/>
        <v>4.5662100456621006</v>
      </c>
      <c r="GI44" s="383">
        <f t="shared" si="24"/>
        <v>0</v>
      </c>
      <c r="GJ44" s="383">
        <f t="shared" ref="GJ44:GV44" si="25">1000*GJ43/GJ42</f>
        <v>4.2016806722689077</v>
      </c>
      <c r="GK44" s="383">
        <f t="shared" si="25"/>
        <v>17.543859649122808</v>
      </c>
      <c r="GL44" s="383">
        <f t="shared" si="25"/>
        <v>0</v>
      </c>
      <c r="GM44" s="383" t="e">
        <f t="shared" si="25"/>
        <v>#DIV/0!</v>
      </c>
      <c r="GN44" s="383">
        <f t="shared" si="25"/>
        <v>4.6296296296296298</v>
      </c>
      <c r="GO44" s="383">
        <f t="shared" ref="GO44:GP44" si="26">1000*GO43/GO42</f>
        <v>13.452914798206278</v>
      </c>
      <c r="GP44" s="383">
        <f t="shared" si="26"/>
        <v>8.7719298245614041</v>
      </c>
      <c r="GQ44" s="383">
        <f t="shared" si="25"/>
        <v>4.2553191489361701</v>
      </c>
      <c r="GR44" s="383" t="e">
        <f t="shared" si="25"/>
        <v>#DIV/0!</v>
      </c>
      <c r="GS44" s="383" t="e">
        <f t="shared" si="25"/>
        <v>#DIV/0!</v>
      </c>
      <c r="GT44" s="383" t="e">
        <f t="shared" si="25"/>
        <v>#DIV/0!</v>
      </c>
      <c r="GU44" s="383" t="e">
        <f t="shared" si="25"/>
        <v>#DIV/0!</v>
      </c>
      <c r="GV44" s="383" t="e">
        <f t="shared" si="25"/>
        <v>#DIV/0!</v>
      </c>
      <c r="GY44" s="392"/>
      <c r="GZ44" s="392"/>
      <c r="HA44" s="392"/>
      <c r="HB44" s="392"/>
      <c r="HC44" s="392"/>
      <c r="HD44" s="392"/>
      <c r="HE44" s="392"/>
      <c r="HF44" s="392"/>
      <c r="HG44" s="392"/>
      <c r="HH44" s="392"/>
      <c r="HI44" s="392"/>
      <c r="HJ44" s="392"/>
      <c r="HK44" s="392"/>
      <c r="HL44" s="392"/>
      <c r="HM44" s="392"/>
      <c r="HN44" s="392"/>
      <c r="HO44" s="392"/>
      <c r="HP44" s="392"/>
      <c r="HQ44" s="392"/>
      <c r="HR44" s="392"/>
      <c r="HS44" s="392"/>
      <c r="HT44" s="392"/>
      <c r="HU44" s="392"/>
      <c r="HV44" s="392"/>
      <c r="HW44" s="392"/>
      <c r="HX44" s="392"/>
      <c r="HY44" s="392"/>
      <c r="HZ44" s="392"/>
      <c r="IA44" s="392"/>
      <c r="IB44" s="392"/>
      <c r="IC44" s="392"/>
      <c r="ID44" s="392"/>
      <c r="IE44" s="392"/>
      <c r="IF44" s="392"/>
      <c r="IG44" s="392"/>
      <c r="IH44" s="392"/>
      <c r="II44" s="392"/>
      <c r="IJ44" s="392"/>
      <c r="IK44" s="392"/>
      <c r="IL44" s="392"/>
      <c r="IM44" s="392"/>
      <c r="IN44" s="392"/>
      <c r="IO44" s="392"/>
      <c r="IP44" s="392"/>
      <c r="IQ44" s="392"/>
      <c r="IR44" s="392"/>
      <c r="IS44" s="392"/>
      <c r="IT44" s="392"/>
      <c r="IU44" s="392"/>
      <c r="IV44" s="392"/>
      <c r="IW44" s="392"/>
      <c r="IX44" s="392"/>
      <c r="IY44" s="392"/>
      <c r="IZ44" s="392"/>
      <c r="JA44" s="392"/>
      <c r="JB44" s="392"/>
      <c r="JC44" s="392"/>
      <c r="JD44" s="392"/>
      <c r="JE44" s="392"/>
      <c r="JF44" s="392"/>
      <c r="JG44" s="392"/>
      <c r="JH44" s="392"/>
      <c r="JI44" s="392"/>
      <c r="JJ44" s="392"/>
      <c r="JK44" s="392"/>
      <c r="JL44" s="392"/>
      <c r="JM44" s="392"/>
      <c r="JN44" s="392"/>
      <c r="JO44" s="392"/>
      <c r="JP44" s="392"/>
      <c r="JQ44" s="392"/>
      <c r="JR44" s="392"/>
      <c r="JS44" s="392"/>
      <c r="JT44" s="392"/>
      <c r="JU44" s="392"/>
      <c r="JV44" s="392"/>
      <c r="JW44" s="392"/>
      <c r="JX44" s="392"/>
      <c r="JY44" s="392"/>
      <c r="JZ44" s="392"/>
      <c r="KA44" s="392"/>
    </row>
    <row r="45" spans="1:287" s="357" customFormat="1" ht="31.5" customHeight="1">
      <c r="A45" s="1587"/>
      <c r="B45" s="1593" t="s">
        <v>830</v>
      </c>
      <c r="C45" s="369" t="s">
        <v>831</v>
      </c>
      <c r="D45" s="370"/>
      <c r="E45" s="1606" t="s">
        <v>75</v>
      </c>
      <c r="F45" s="1596" t="s">
        <v>961</v>
      </c>
      <c r="G45" s="1596" t="s">
        <v>962</v>
      </c>
      <c r="H45" s="1596" t="s">
        <v>963</v>
      </c>
      <c r="I45" s="1596" t="s">
        <v>832</v>
      </c>
      <c r="J45" s="1596" t="s">
        <v>833</v>
      </c>
      <c r="K45" s="1596" t="s">
        <v>834</v>
      </c>
      <c r="L45" s="1596" t="s">
        <v>816</v>
      </c>
      <c r="M45" s="1596" t="s">
        <v>1296</v>
      </c>
      <c r="N45" s="1596" t="s">
        <v>1319</v>
      </c>
      <c r="O45" s="1596" t="s">
        <v>1385</v>
      </c>
      <c r="P45" s="1596" t="s">
        <v>1439</v>
      </c>
      <c r="Q45" s="1606" t="s">
        <v>817</v>
      </c>
      <c r="R45" s="1606" t="s">
        <v>818</v>
      </c>
      <c r="S45" s="1606" t="s">
        <v>819</v>
      </c>
      <c r="T45" s="1606" t="s">
        <v>820</v>
      </c>
      <c r="U45" s="1606" t="s">
        <v>821</v>
      </c>
      <c r="V45" s="387" t="s">
        <v>835</v>
      </c>
      <c r="W45" s="387" t="s">
        <v>835</v>
      </c>
      <c r="X45" s="387" t="s">
        <v>835</v>
      </c>
      <c r="Y45" s="387" t="s">
        <v>835</v>
      </c>
      <c r="Z45" s="387" t="s">
        <v>835</v>
      </c>
      <c r="AA45" s="387" t="s">
        <v>835</v>
      </c>
      <c r="AB45" s="387" t="s">
        <v>835</v>
      </c>
      <c r="AC45" s="387" t="s">
        <v>835</v>
      </c>
      <c r="AD45" s="387" t="s">
        <v>835</v>
      </c>
      <c r="AE45" s="387" t="s">
        <v>835</v>
      </c>
      <c r="AF45" s="387" t="s">
        <v>835</v>
      </c>
      <c r="AG45" s="387" t="s">
        <v>835</v>
      </c>
      <c r="AH45" s="387" t="s">
        <v>835</v>
      </c>
      <c r="AI45" s="387" t="s">
        <v>835</v>
      </c>
      <c r="AJ45" s="387" t="s">
        <v>835</v>
      </c>
      <c r="AK45" s="387" t="s">
        <v>835</v>
      </c>
      <c r="AL45" s="387" t="s">
        <v>835</v>
      </c>
      <c r="AM45" s="387" t="s">
        <v>835</v>
      </c>
      <c r="AN45" s="387" t="s">
        <v>835</v>
      </c>
      <c r="AO45" s="387" t="s">
        <v>835</v>
      </c>
      <c r="AP45" s="387" t="s">
        <v>835</v>
      </c>
      <c r="AQ45" s="387" t="s">
        <v>835</v>
      </c>
      <c r="AR45" s="387" t="s">
        <v>835</v>
      </c>
      <c r="AS45" s="387" t="s">
        <v>835</v>
      </c>
      <c r="AT45" s="387" t="s">
        <v>835</v>
      </c>
      <c r="AU45" s="387" t="s">
        <v>835</v>
      </c>
      <c r="AV45" s="387" t="s">
        <v>835</v>
      </c>
      <c r="AW45" s="387" t="s">
        <v>835</v>
      </c>
      <c r="AX45" s="387" t="s">
        <v>835</v>
      </c>
      <c r="AY45" s="387" t="s">
        <v>835</v>
      </c>
      <c r="AZ45" s="387" t="s">
        <v>835</v>
      </c>
      <c r="BA45" s="387" t="s">
        <v>835</v>
      </c>
      <c r="BB45" s="387" t="s">
        <v>835</v>
      </c>
      <c r="BC45" s="387" t="s">
        <v>835</v>
      </c>
      <c r="BD45" s="387" t="s">
        <v>835</v>
      </c>
      <c r="BE45" s="387" t="s">
        <v>835</v>
      </c>
      <c r="BF45" s="387" t="s">
        <v>835</v>
      </c>
      <c r="BG45" s="387" t="s">
        <v>835</v>
      </c>
      <c r="BH45" s="387" t="s">
        <v>835</v>
      </c>
      <c r="BI45" s="387" t="s">
        <v>835</v>
      </c>
      <c r="BJ45" s="387" t="s">
        <v>835</v>
      </c>
      <c r="BK45" s="387" t="s">
        <v>835</v>
      </c>
      <c r="BL45" s="387" t="s">
        <v>835</v>
      </c>
      <c r="BM45" s="387" t="s">
        <v>835</v>
      </c>
      <c r="BN45" s="387" t="s">
        <v>835</v>
      </c>
      <c r="BO45" s="387" t="s">
        <v>835</v>
      </c>
      <c r="BP45" s="387" t="s">
        <v>835</v>
      </c>
      <c r="BQ45" s="387" t="s">
        <v>835</v>
      </c>
      <c r="BR45" s="387" t="s">
        <v>835</v>
      </c>
      <c r="BS45" s="387" t="s">
        <v>835</v>
      </c>
      <c r="BT45" s="387" t="s">
        <v>835</v>
      </c>
      <c r="BU45" s="387" t="s">
        <v>835</v>
      </c>
      <c r="BV45" s="387" t="s">
        <v>835</v>
      </c>
      <c r="BW45" s="387" t="s">
        <v>835</v>
      </c>
      <c r="BX45" s="387" t="s">
        <v>835</v>
      </c>
      <c r="BY45" s="387" t="s">
        <v>835</v>
      </c>
      <c r="BZ45" s="387" t="s">
        <v>835</v>
      </c>
      <c r="CA45" s="387" t="s">
        <v>835</v>
      </c>
      <c r="CB45" s="387" t="s">
        <v>835</v>
      </c>
      <c r="CC45" s="387" t="s">
        <v>835</v>
      </c>
      <c r="CD45" s="387" t="s">
        <v>835</v>
      </c>
      <c r="CE45" s="387" t="s">
        <v>835</v>
      </c>
      <c r="CF45" s="387" t="s">
        <v>835</v>
      </c>
      <c r="CG45" s="387" t="s">
        <v>835</v>
      </c>
      <c r="CH45" s="387" t="s">
        <v>835</v>
      </c>
      <c r="CI45" s="387" t="s">
        <v>835</v>
      </c>
      <c r="CJ45" s="387" t="s">
        <v>835</v>
      </c>
      <c r="CK45" s="387" t="s">
        <v>835</v>
      </c>
      <c r="CL45" s="387" t="s">
        <v>835</v>
      </c>
      <c r="CM45" s="387" t="s">
        <v>835</v>
      </c>
      <c r="CN45" s="387" t="s">
        <v>835</v>
      </c>
      <c r="CO45" s="387" t="s">
        <v>835</v>
      </c>
      <c r="CP45" s="387" t="s">
        <v>835</v>
      </c>
      <c r="CQ45" s="387" t="s">
        <v>835</v>
      </c>
      <c r="CR45" s="387" t="s">
        <v>835</v>
      </c>
      <c r="CS45" s="387" t="s">
        <v>835</v>
      </c>
      <c r="CT45" s="387" t="s">
        <v>835</v>
      </c>
      <c r="CU45" s="387" t="s">
        <v>835</v>
      </c>
      <c r="CV45" s="387" t="s">
        <v>835</v>
      </c>
      <c r="CW45" s="387" t="s">
        <v>835</v>
      </c>
      <c r="CX45" s="387" t="s">
        <v>835</v>
      </c>
      <c r="CY45" s="387" t="s">
        <v>835</v>
      </c>
      <c r="CZ45" s="387" t="s">
        <v>835</v>
      </c>
      <c r="DA45" s="387" t="s">
        <v>835</v>
      </c>
      <c r="DB45" s="387" t="s">
        <v>835</v>
      </c>
      <c r="DC45" s="387" t="s">
        <v>835</v>
      </c>
      <c r="DD45" s="387" t="s">
        <v>835</v>
      </c>
      <c r="DE45" s="387" t="s">
        <v>835</v>
      </c>
      <c r="DF45" s="387" t="s">
        <v>835</v>
      </c>
      <c r="DG45" s="387" t="s">
        <v>835</v>
      </c>
      <c r="DH45" s="387" t="s">
        <v>835</v>
      </c>
      <c r="DI45" s="387" t="s">
        <v>835</v>
      </c>
      <c r="DJ45" s="387" t="s">
        <v>835</v>
      </c>
      <c r="DK45" s="387" t="s">
        <v>835</v>
      </c>
      <c r="DL45" s="387" t="s">
        <v>835</v>
      </c>
      <c r="DM45" s="387" t="s">
        <v>835</v>
      </c>
      <c r="DN45" s="387" t="s">
        <v>835</v>
      </c>
      <c r="DO45" s="387" t="s">
        <v>835</v>
      </c>
      <c r="DP45" s="387" t="s">
        <v>835</v>
      </c>
      <c r="DQ45" s="387" t="s">
        <v>835</v>
      </c>
      <c r="DR45" s="387" t="s">
        <v>835</v>
      </c>
      <c r="DS45" s="387" t="s">
        <v>835</v>
      </c>
      <c r="DT45" s="387" t="s">
        <v>835</v>
      </c>
      <c r="DU45" s="387" t="s">
        <v>835</v>
      </c>
      <c r="DV45" s="387" t="s">
        <v>835</v>
      </c>
      <c r="DW45" s="387" t="s">
        <v>835</v>
      </c>
      <c r="DX45" s="387" t="s">
        <v>835</v>
      </c>
      <c r="DY45" s="387" t="s">
        <v>835</v>
      </c>
      <c r="DZ45" s="387" t="s">
        <v>835</v>
      </c>
      <c r="EA45" s="387" t="s">
        <v>835</v>
      </c>
      <c r="EB45" s="387" t="s">
        <v>835</v>
      </c>
      <c r="EC45" s="387" t="s">
        <v>835</v>
      </c>
      <c r="ED45" s="387" t="s">
        <v>835</v>
      </c>
      <c r="EE45" s="387" t="s">
        <v>835</v>
      </c>
      <c r="EF45" s="387" t="s">
        <v>835</v>
      </c>
      <c r="EG45" s="387" t="s">
        <v>835</v>
      </c>
      <c r="EH45" s="387" t="s">
        <v>835</v>
      </c>
      <c r="EI45" s="387" t="s">
        <v>835</v>
      </c>
      <c r="EJ45" s="387" t="s">
        <v>835</v>
      </c>
      <c r="EK45" s="387" t="s">
        <v>835</v>
      </c>
      <c r="EL45" s="387" t="s">
        <v>835</v>
      </c>
      <c r="EM45" s="387" t="s">
        <v>835</v>
      </c>
      <c r="EN45" s="387" t="s">
        <v>835</v>
      </c>
      <c r="EO45" s="387" t="s">
        <v>835</v>
      </c>
      <c r="EP45" s="387" t="s">
        <v>835</v>
      </c>
      <c r="EQ45" s="387" t="s">
        <v>835</v>
      </c>
      <c r="ER45" s="387" t="s">
        <v>835</v>
      </c>
      <c r="ES45" s="387" t="s">
        <v>835</v>
      </c>
      <c r="ET45" s="387" t="s">
        <v>835</v>
      </c>
      <c r="EU45" s="387" t="s">
        <v>835</v>
      </c>
      <c r="EV45" s="387" t="s">
        <v>835</v>
      </c>
      <c r="EW45" s="387" t="s">
        <v>835</v>
      </c>
      <c r="EX45" s="387" t="s">
        <v>835</v>
      </c>
      <c r="EY45" s="387" t="s">
        <v>835</v>
      </c>
      <c r="EZ45" s="387" t="s">
        <v>835</v>
      </c>
      <c r="FA45" s="387" t="s">
        <v>835</v>
      </c>
      <c r="FB45" s="387" t="s">
        <v>835</v>
      </c>
      <c r="FC45" s="387" t="s">
        <v>835</v>
      </c>
      <c r="FD45" s="387" t="s">
        <v>835</v>
      </c>
      <c r="FE45" s="387" t="s">
        <v>835</v>
      </c>
      <c r="FF45" s="387" t="s">
        <v>835</v>
      </c>
      <c r="FG45" s="387" t="s">
        <v>835</v>
      </c>
      <c r="FH45" s="387" t="s">
        <v>835</v>
      </c>
      <c r="FI45" s="387" t="s">
        <v>835</v>
      </c>
      <c r="FJ45" s="387" t="s">
        <v>835</v>
      </c>
      <c r="FK45" s="387" t="s">
        <v>835</v>
      </c>
      <c r="FL45" s="387" t="s">
        <v>835</v>
      </c>
      <c r="FM45" s="387" t="s">
        <v>835</v>
      </c>
      <c r="FN45" s="387" t="s">
        <v>835</v>
      </c>
      <c r="FO45" s="387" t="s">
        <v>835</v>
      </c>
      <c r="FP45" s="387" t="s">
        <v>835</v>
      </c>
      <c r="FQ45" s="387" t="s">
        <v>835</v>
      </c>
      <c r="FR45" s="387" t="s">
        <v>835</v>
      </c>
      <c r="FS45" s="387" t="s">
        <v>835</v>
      </c>
      <c r="FT45" s="387" t="s">
        <v>835</v>
      </c>
      <c r="FU45" s="387" t="s">
        <v>835</v>
      </c>
      <c r="FV45" s="387" t="s">
        <v>835</v>
      </c>
      <c r="FW45" s="387" t="s">
        <v>835</v>
      </c>
      <c r="FX45" s="387" t="s">
        <v>835</v>
      </c>
      <c r="FY45" s="387" t="s">
        <v>835</v>
      </c>
      <c r="FZ45" s="387" t="s">
        <v>835</v>
      </c>
      <c r="GA45" s="387" t="s">
        <v>835</v>
      </c>
      <c r="GB45" s="387" t="s">
        <v>835</v>
      </c>
      <c r="GC45" s="387" t="s">
        <v>835</v>
      </c>
      <c r="GD45" s="387" t="s">
        <v>835</v>
      </c>
      <c r="GE45" s="387" t="s">
        <v>835</v>
      </c>
      <c r="GF45" s="387" t="s">
        <v>835</v>
      </c>
      <c r="GG45" s="387" t="s">
        <v>835</v>
      </c>
      <c r="GH45" s="387" t="s">
        <v>835</v>
      </c>
      <c r="GI45" s="387" t="s">
        <v>835</v>
      </c>
      <c r="GJ45" s="387" t="s">
        <v>835</v>
      </c>
      <c r="GK45" s="387" t="s">
        <v>835</v>
      </c>
      <c r="GL45" s="387" t="s">
        <v>835</v>
      </c>
      <c r="GM45" s="387" t="s">
        <v>835</v>
      </c>
      <c r="GN45" s="387" t="s">
        <v>835</v>
      </c>
      <c r="GO45" s="387" t="s">
        <v>835</v>
      </c>
      <c r="GP45" s="387" t="s">
        <v>835</v>
      </c>
      <c r="GQ45" s="387" t="s">
        <v>835</v>
      </c>
      <c r="GR45" s="387" t="s">
        <v>835</v>
      </c>
      <c r="GS45" s="387" t="s">
        <v>835</v>
      </c>
      <c r="GT45" s="387" t="s">
        <v>835</v>
      </c>
      <c r="GU45" s="387" t="s">
        <v>835</v>
      </c>
      <c r="GV45" s="387" t="s">
        <v>835</v>
      </c>
      <c r="GW45" s="370"/>
      <c r="GX45" s="370"/>
      <c r="GY45" s="370"/>
      <c r="GZ45" s="400"/>
      <c r="HA45" s="401"/>
      <c r="HB45" s="1587" t="s">
        <v>74</v>
      </c>
      <c r="HC45" s="402"/>
      <c r="HD45" s="402"/>
      <c r="HE45" s="402"/>
      <c r="HF45" s="402"/>
      <c r="HG45" s="402"/>
      <c r="HH45" s="402"/>
      <c r="HI45" s="402"/>
      <c r="HJ45" s="402"/>
      <c r="HK45" s="402"/>
      <c r="HL45" s="402"/>
      <c r="HM45" s="402"/>
      <c r="HN45" s="402"/>
      <c r="HO45" s="402"/>
      <c r="HP45" s="402"/>
      <c r="HQ45" s="402"/>
      <c r="HR45" s="402"/>
      <c r="HS45" s="402"/>
      <c r="HT45" s="402"/>
      <c r="HU45" s="402"/>
      <c r="HV45" s="402"/>
      <c r="HW45" s="402"/>
      <c r="HX45" s="402"/>
      <c r="HY45" s="402"/>
      <c r="HZ45" s="402"/>
      <c r="IA45" s="402"/>
      <c r="IB45" s="402"/>
      <c r="IC45" s="402"/>
      <c r="ID45" s="402"/>
      <c r="IE45" s="402"/>
      <c r="IF45" s="402"/>
      <c r="IG45" s="402"/>
      <c r="IH45" s="402"/>
      <c r="II45" s="402"/>
      <c r="IJ45" s="402"/>
      <c r="IK45" s="402"/>
      <c r="IL45" s="402"/>
      <c r="IM45" s="402"/>
      <c r="IN45" s="402"/>
      <c r="IO45" s="402"/>
      <c r="IP45" s="402"/>
      <c r="IQ45" s="402"/>
      <c r="IR45" s="402"/>
      <c r="IS45" s="402"/>
      <c r="IT45" s="402"/>
      <c r="IU45" s="402"/>
      <c r="IV45" s="402"/>
      <c r="IW45" s="402"/>
      <c r="IX45" s="402"/>
      <c r="IY45" s="402"/>
      <c r="IZ45" s="402"/>
      <c r="JA45" s="402"/>
      <c r="JB45" s="402"/>
      <c r="JC45" s="402"/>
      <c r="JD45" s="402"/>
      <c r="JE45" s="402"/>
      <c r="JF45" s="402"/>
      <c r="JG45" s="402"/>
      <c r="JH45" s="402"/>
      <c r="JI45" s="402"/>
      <c r="JJ45" s="402"/>
      <c r="JK45" s="402"/>
      <c r="JL45" s="402"/>
      <c r="JM45" s="402"/>
      <c r="JN45" s="402"/>
      <c r="JO45" s="402"/>
      <c r="JP45" s="402"/>
      <c r="JQ45" s="402"/>
      <c r="JR45" s="402"/>
      <c r="JS45" s="402"/>
      <c r="JT45" s="402"/>
      <c r="JU45" s="402"/>
      <c r="JV45" s="402"/>
      <c r="JW45" s="402"/>
      <c r="JX45" s="402"/>
      <c r="JY45" s="402"/>
      <c r="JZ45" s="402"/>
      <c r="KA45" s="402"/>
    </row>
    <row r="46" spans="1:287" s="357" customFormat="1" ht="17.25" customHeight="1">
      <c r="A46" s="1588"/>
      <c r="B46" s="1594"/>
      <c r="C46" s="1602" t="s">
        <v>836</v>
      </c>
      <c r="D46" s="1604" t="s">
        <v>837</v>
      </c>
      <c r="E46" s="1607"/>
      <c r="F46" s="1597"/>
      <c r="G46" s="1597"/>
      <c r="H46" s="1597"/>
      <c r="I46" s="1597"/>
      <c r="J46" s="1597"/>
      <c r="K46" s="1597"/>
      <c r="L46" s="1597"/>
      <c r="M46" s="1597"/>
      <c r="N46" s="1597"/>
      <c r="O46" s="1597"/>
      <c r="P46" s="1597"/>
      <c r="Q46" s="1607"/>
      <c r="R46" s="1607"/>
      <c r="S46" s="1607"/>
      <c r="T46" s="1607"/>
      <c r="U46" s="1607"/>
      <c r="V46" s="388">
        <f t="shared" ref="V46:BA46" si="27">SUM(V49:V154)</f>
        <v>0</v>
      </c>
      <c r="W46" s="388">
        <f t="shared" si="27"/>
        <v>2</v>
      </c>
      <c r="X46" s="388">
        <f t="shared" si="27"/>
        <v>0</v>
      </c>
      <c r="Y46" s="388">
        <f t="shared" si="27"/>
        <v>0</v>
      </c>
      <c r="Z46" s="388">
        <f t="shared" si="27"/>
        <v>2</v>
      </c>
      <c r="AA46" s="388">
        <f t="shared" si="27"/>
        <v>2</v>
      </c>
      <c r="AB46" s="388">
        <f t="shared" si="27"/>
        <v>1</v>
      </c>
      <c r="AC46" s="388">
        <f t="shared" si="27"/>
        <v>0</v>
      </c>
      <c r="AD46" s="388">
        <f t="shared" si="27"/>
        <v>0</v>
      </c>
      <c r="AE46" s="388">
        <f t="shared" si="27"/>
        <v>0</v>
      </c>
      <c r="AF46" s="388">
        <f t="shared" si="27"/>
        <v>3</v>
      </c>
      <c r="AG46" s="388">
        <f t="shared" si="27"/>
        <v>2</v>
      </c>
      <c r="AH46" s="388">
        <f t="shared" si="27"/>
        <v>1</v>
      </c>
      <c r="AI46" s="388">
        <f t="shared" si="27"/>
        <v>0</v>
      </c>
      <c r="AJ46" s="388">
        <f t="shared" si="27"/>
        <v>0</v>
      </c>
      <c r="AK46" s="388">
        <f t="shared" si="27"/>
        <v>0</v>
      </c>
      <c r="AL46" s="388">
        <f t="shared" si="27"/>
        <v>0</v>
      </c>
      <c r="AM46" s="388">
        <f t="shared" si="27"/>
        <v>0</v>
      </c>
      <c r="AN46" s="388">
        <f t="shared" si="27"/>
        <v>0</v>
      </c>
      <c r="AO46" s="388">
        <f t="shared" si="27"/>
        <v>0</v>
      </c>
      <c r="AP46" s="388">
        <f t="shared" si="27"/>
        <v>0</v>
      </c>
      <c r="AQ46" s="388">
        <f t="shared" si="27"/>
        <v>0</v>
      </c>
      <c r="AR46" s="388">
        <f t="shared" si="27"/>
        <v>0</v>
      </c>
      <c r="AS46" s="388">
        <f t="shared" si="27"/>
        <v>0</v>
      </c>
      <c r="AT46" s="388">
        <f t="shared" si="27"/>
        <v>0</v>
      </c>
      <c r="AU46" s="388">
        <f t="shared" si="27"/>
        <v>0</v>
      </c>
      <c r="AV46" s="388">
        <f t="shared" si="27"/>
        <v>0</v>
      </c>
      <c r="AW46" s="388">
        <f t="shared" si="27"/>
        <v>0</v>
      </c>
      <c r="AX46" s="388">
        <f t="shared" si="27"/>
        <v>0</v>
      </c>
      <c r="AY46" s="388">
        <f t="shared" si="27"/>
        <v>1</v>
      </c>
      <c r="AZ46" s="388">
        <f t="shared" si="27"/>
        <v>0</v>
      </c>
      <c r="BA46" s="388">
        <f t="shared" si="27"/>
        <v>3</v>
      </c>
      <c r="BB46" s="388">
        <f t="shared" ref="BB46:BS46" si="28">SUM(BB49:BB154)</f>
        <v>3</v>
      </c>
      <c r="BC46" s="388">
        <f t="shared" si="28"/>
        <v>2</v>
      </c>
      <c r="BD46" s="388">
        <f t="shared" si="28"/>
        <v>4</v>
      </c>
      <c r="BE46" s="388">
        <f t="shared" si="28"/>
        <v>2</v>
      </c>
      <c r="BF46" s="388">
        <f t="shared" si="28"/>
        <v>1</v>
      </c>
      <c r="BG46" s="388">
        <f t="shared" si="28"/>
        <v>1</v>
      </c>
      <c r="BH46" s="388">
        <f t="shared" si="28"/>
        <v>4</v>
      </c>
      <c r="BI46" s="388">
        <f t="shared" si="28"/>
        <v>4</v>
      </c>
      <c r="BJ46" s="388">
        <f t="shared" si="28"/>
        <v>2</v>
      </c>
      <c r="BK46" s="388">
        <f t="shared" si="28"/>
        <v>0</v>
      </c>
      <c r="BL46" s="388">
        <f t="shared" si="28"/>
        <v>0</v>
      </c>
      <c r="BM46" s="388">
        <f t="shared" si="28"/>
        <v>0</v>
      </c>
      <c r="BN46" s="388">
        <f t="shared" si="28"/>
        <v>0</v>
      </c>
      <c r="BO46" s="388">
        <f t="shared" si="28"/>
        <v>0</v>
      </c>
      <c r="BP46" s="388">
        <f t="shared" si="28"/>
        <v>0</v>
      </c>
      <c r="BQ46" s="388">
        <f t="shared" si="28"/>
        <v>0</v>
      </c>
      <c r="BR46" s="388">
        <f t="shared" si="28"/>
        <v>0</v>
      </c>
      <c r="BS46" s="388">
        <f t="shared" si="28"/>
        <v>0</v>
      </c>
      <c r="BT46" s="984"/>
      <c r="BU46" s="984"/>
      <c r="BV46" s="984"/>
      <c r="BW46" s="984"/>
      <c r="BX46" s="984"/>
      <c r="BY46" s="984"/>
      <c r="BZ46" s="388">
        <f t="shared" ref="BZ46:CE46" si="29">SUM(BZ49:BZ154)</f>
        <v>2</v>
      </c>
      <c r="CA46" s="388">
        <f t="shared" si="29"/>
        <v>0</v>
      </c>
      <c r="CB46" s="388">
        <f t="shared" ref="CB46" si="30">SUM(CB49:CB154)</f>
        <v>4</v>
      </c>
      <c r="CC46" s="388">
        <f t="shared" si="29"/>
        <v>5</v>
      </c>
      <c r="CD46" s="388">
        <f t="shared" si="29"/>
        <v>4</v>
      </c>
      <c r="CE46" s="388">
        <f t="shared" si="29"/>
        <v>0</v>
      </c>
      <c r="CF46" s="388">
        <f t="shared" ref="CF46:CH46" si="31">SUM(CF49:CF154)</f>
        <v>3</v>
      </c>
      <c r="CG46" s="388">
        <f t="shared" si="31"/>
        <v>3</v>
      </c>
      <c r="CH46" s="388">
        <f t="shared" si="31"/>
        <v>1</v>
      </c>
      <c r="CI46" s="388">
        <f>SUM(CI49:CI154)</f>
        <v>2</v>
      </c>
      <c r="CJ46" s="388">
        <f t="shared" ref="CJ46:DA46" si="32">SUM(CJ49:CJ154)</f>
        <v>7</v>
      </c>
      <c r="CK46" s="388">
        <f t="shared" si="32"/>
        <v>3</v>
      </c>
      <c r="CL46" s="388">
        <f t="shared" ref="CL46:CN46" si="33">SUM(CL49:CL154)</f>
        <v>1</v>
      </c>
      <c r="CM46" s="388">
        <f t="shared" si="33"/>
        <v>4</v>
      </c>
      <c r="CN46" s="388">
        <f t="shared" si="33"/>
        <v>2</v>
      </c>
      <c r="CO46" s="388">
        <f>SUM(CO49:CO154)</f>
        <v>2</v>
      </c>
      <c r="CP46" s="388">
        <f t="shared" ref="CP46:CQ46" si="34">SUM(CP49:CP154)</f>
        <v>6</v>
      </c>
      <c r="CQ46" s="388">
        <f t="shared" si="34"/>
        <v>1</v>
      </c>
      <c r="CR46" s="984"/>
      <c r="CS46" s="984"/>
      <c r="CT46" s="984"/>
      <c r="CU46" s="984"/>
      <c r="CV46" s="984"/>
      <c r="CW46" s="984"/>
      <c r="CX46" s="984"/>
      <c r="CY46" s="984"/>
      <c r="CZ46" s="984"/>
      <c r="DA46" s="388">
        <f t="shared" si="32"/>
        <v>2</v>
      </c>
      <c r="DB46" s="388">
        <f>SUM(DB49:DB154)</f>
        <v>3</v>
      </c>
      <c r="DC46" s="388">
        <f>SUM(DC49:DC154)</f>
        <v>4</v>
      </c>
      <c r="DD46" s="388">
        <f>SUM(DD49:DD154)</f>
        <v>4</v>
      </c>
      <c r="DE46" s="388">
        <f>SUM(DE49:DE154)</f>
        <v>2</v>
      </c>
      <c r="DF46" s="388">
        <f>SUM(DF49:DF154)</f>
        <v>4</v>
      </c>
      <c r="DG46" s="388">
        <f t="shared" ref="DG46" si="35">SUM(DG49:DG154)</f>
        <v>4</v>
      </c>
      <c r="DH46" s="984"/>
      <c r="DI46" s="984"/>
      <c r="DJ46" s="388">
        <f t="shared" ref="DJ46" si="36">SUM(DJ49:DJ154)</f>
        <v>3</v>
      </c>
      <c r="DK46" s="388">
        <f t="shared" ref="DK46:DM46" si="37">SUM(DK49:DK154)</f>
        <v>13</v>
      </c>
      <c r="DL46" s="388">
        <f t="shared" si="37"/>
        <v>1</v>
      </c>
      <c r="DM46" s="388">
        <f t="shared" si="37"/>
        <v>3</v>
      </c>
      <c r="DN46" s="388">
        <f t="shared" ref="DN46:DQ46" si="38">SUM(DN49:DN154)</f>
        <v>4</v>
      </c>
      <c r="DO46" s="388">
        <f t="shared" si="38"/>
        <v>5</v>
      </c>
      <c r="DP46" s="388">
        <f t="shared" si="38"/>
        <v>1</v>
      </c>
      <c r="DQ46" s="388">
        <f t="shared" si="38"/>
        <v>1</v>
      </c>
      <c r="DR46" s="388">
        <f>SUM(DR49:DR154)</f>
        <v>3</v>
      </c>
      <c r="DS46" s="388">
        <f>SUM(DS49:DS154)</f>
        <v>2</v>
      </c>
      <c r="DT46" s="388">
        <f>SUM(DT49:DT154)</f>
        <v>3</v>
      </c>
      <c r="DU46" s="984"/>
      <c r="DV46" s="388">
        <f t="shared" ref="DV46:DY46" si="39">SUM(DV49:DV154)</f>
        <v>3</v>
      </c>
      <c r="DW46" s="388">
        <f t="shared" si="39"/>
        <v>3</v>
      </c>
      <c r="DX46" s="388">
        <f t="shared" si="39"/>
        <v>3</v>
      </c>
      <c r="DY46" s="388">
        <f t="shared" si="39"/>
        <v>2</v>
      </c>
      <c r="DZ46" s="388">
        <f>SUM(DZ49:DZ154)</f>
        <v>3</v>
      </c>
      <c r="EA46" s="388">
        <f>SUM(EA49:EA154)</f>
        <v>1</v>
      </c>
      <c r="EB46" s="388">
        <f t="shared" ref="EB46:EF46" si="40">SUM(EB49:EB154)</f>
        <v>3</v>
      </c>
      <c r="EC46" s="388">
        <f t="shared" si="40"/>
        <v>2</v>
      </c>
      <c r="ED46" s="388">
        <f t="shared" si="40"/>
        <v>1</v>
      </c>
      <c r="EE46" s="388">
        <f t="shared" si="40"/>
        <v>1</v>
      </c>
      <c r="EF46" s="388">
        <f t="shared" si="40"/>
        <v>3</v>
      </c>
      <c r="EG46" s="388">
        <f t="shared" ref="EG46:EQ46" si="41">SUM(EG49:EG154)</f>
        <v>4</v>
      </c>
      <c r="EH46" s="388">
        <f t="shared" si="41"/>
        <v>2</v>
      </c>
      <c r="EI46" s="388">
        <f t="shared" si="41"/>
        <v>0</v>
      </c>
      <c r="EJ46" s="388">
        <f t="shared" si="41"/>
        <v>2</v>
      </c>
      <c r="EK46" s="388">
        <f t="shared" si="41"/>
        <v>2</v>
      </c>
      <c r="EL46" s="388">
        <f t="shared" si="41"/>
        <v>1</v>
      </c>
      <c r="EM46" s="388">
        <f t="shared" si="41"/>
        <v>0</v>
      </c>
      <c r="EN46" s="388">
        <f t="shared" si="41"/>
        <v>1</v>
      </c>
      <c r="EO46" s="388">
        <f t="shared" si="41"/>
        <v>3</v>
      </c>
      <c r="EP46" s="388">
        <f t="shared" si="41"/>
        <v>1</v>
      </c>
      <c r="EQ46" s="388">
        <f t="shared" si="41"/>
        <v>3</v>
      </c>
      <c r="ER46" s="388">
        <f>SUM(ER49:ER154)</f>
        <v>2</v>
      </c>
      <c r="ES46" s="388">
        <f>SUM(ES49:ES154)</f>
        <v>2</v>
      </c>
      <c r="ET46" s="388">
        <f>SUM(ET49:ET154)</f>
        <v>4</v>
      </c>
      <c r="EU46" s="388">
        <f t="shared" ref="EU46:EV46" si="42">SUM(EU49:EU154)</f>
        <v>2</v>
      </c>
      <c r="EV46" s="388">
        <f t="shared" si="42"/>
        <v>6</v>
      </c>
      <c r="EW46" s="388">
        <f t="shared" ref="EW46:FC46" si="43">SUM(EW49:EW154)</f>
        <v>4</v>
      </c>
      <c r="EX46" s="388">
        <f t="shared" si="43"/>
        <v>5</v>
      </c>
      <c r="EY46" s="388">
        <f t="shared" si="43"/>
        <v>7</v>
      </c>
      <c r="EZ46" s="388">
        <f t="shared" si="43"/>
        <v>3</v>
      </c>
      <c r="FA46" s="388">
        <f t="shared" si="43"/>
        <v>0</v>
      </c>
      <c r="FB46" s="388">
        <f t="shared" si="43"/>
        <v>0</v>
      </c>
      <c r="FC46" s="388">
        <f t="shared" si="43"/>
        <v>0</v>
      </c>
      <c r="FD46" s="388">
        <f t="shared" ref="FD46:FE46" si="44">SUM(FD49:FD154)</f>
        <v>3</v>
      </c>
      <c r="FE46" s="388">
        <f t="shared" si="44"/>
        <v>3</v>
      </c>
      <c r="FF46" s="388">
        <f t="shared" ref="FF46:FG46" si="45">SUM(FF49:FF154)</f>
        <v>4</v>
      </c>
      <c r="FG46" s="388">
        <f t="shared" si="45"/>
        <v>2</v>
      </c>
      <c r="FH46" s="388">
        <f t="shared" ref="FH46:FN46" si="46">SUM(FH49:FH154)</f>
        <v>2</v>
      </c>
      <c r="FI46" s="388">
        <f t="shared" si="46"/>
        <v>4</v>
      </c>
      <c r="FJ46" s="388">
        <f t="shared" si="46"/>
        <v>0</v>
      </c>
      <c r="FK46" s="388">
        <f t="shared" si="46"/>
        <v>0</v>
      </c>
      <c r="FL46" s="388">
        <f t="shared" si="46"/>
        <v>2</v>
      </c>
      <c r="FM46" s="388">
        <f t="shared" si="46"/>
        <v>4</v>
      </c>
      <c r="FN46" s="388">
        <f t="shared" si="46"/>
        <v>2</v>
      </c>
      <c r="FO46" s="388">
        <f t="shared" ref="FO46:GV46" si="47">SUM(FO49:FO154)</f>
        <v>1</v>
      </c>
      <c r="FP46" s="388">
        <f t="shared" si="47"/>
        <v>2</v>
      </c>
      <c r="FQ46" s="388">
        <f t="shared" si="47"/>
        <v>0</v>
      </c>
      <c r="FR46" s="388">
        <f t="shared" si="47"/>
        <v>0</v>
      </c>
      <c r="FS46" s="388">
        <f t="shared" si="47"/>
        <v>1</v>
      </c>
      <c r="FT46" s="388">
        <f t="shared" si="47"/>
        <v>4</v>
      </c>
      <c r="FU46" s="388">
        <f t="shared" si="47"/>
        <v>1</v>
      </c>
      <c r="FV46" s="388">
        <f t="shared" si="47"/>
        <v>4</v>
      </c>
      <c r="FW46" s="388">
        <f t="shared" si="47"/>
        <v>0</v>
      </c>
      <c r="FX46" s="388">
        <f t="shared" si="47"/>
        <v>3</v>
      </c>
      <c r="FY46" s="388">
        <f t="shared" si="47"/>
        <v>1</v>
      </c>
      <c r="FZ46" s="388">
        <f t="shared" si="47"/>
        <v>0</v>
      </c>
      <c r="GA46" s="388">
        <f t="shared" si="47"/>
        <v>0</v>
      </c>
      <c r="GB46" s="388">
        <f t="shared" si="47"/>
        <v>0</v>
      </c>
      <c r="GC46" s="388">
        <f t="shared" si="47"/>
        <v>0</v>
      </c>
      <c r="GD46" s="388">
        <f t="shared" si="47"/>
        <v>0</v>
      </c>
      <c r="GE46" s="388">
        <f t="shared" si="47"/>
        <v>0</v>
      </c>
      <c r="GF46" s="388">
        <f t="shared" si="47"/>
        <v>2</v>
      </c>
      <c r="GG46" s="388">
        <f t="shared" si="47"/>
        <v>0</v>
      </c>
      <c r="GH46" s="388">
        <f t="shared" si="47"/>
        <v>1</v>
      </c>
      <c r="GI46" s="388">
        <f t="shared" si="47"/>
        <v>0</v>
      </c>
      <c r="GJ46" s="388">
        <f t="shared" ref="GJ46:GQ46" si="48">SUM(GJ49:GJ154)</f>
        <v>1</v>
      </c>
      <c r="GK46" s="388">
        <f t="shared" si="48"/>
        <v>1</v>
      </c>
      <c r="GL46" s="388">
        <f t="shared" si="48"/>
        <v>0</v>
      </c>
      <c r="GM46" s="388">
        <f t="shared" si="48"/>
        <v>0</v>
      </c>
      <c r="GN46" s="388">
        <f t="shared" si="48"/>
        <v>1</v>
      </c>
      <c r="GO46" s="388">
        <f t="shared" ref="GO46:GP46" si="49">SUM(GO49:GO154)</f>
        <v>3</v>
      </c>
      <c r="GP46" s="388">
        <f t="shared" si="49"/>
        <v>2</v>
      </c>
      <c r="GQ46" s="388">
        <f t="shared" si="48"/>
        <v>1</v>
      </c>
      <c r="GR46" s="388">
        <f t="shared" si="47"/>
        <v>0</v>
      </c>
      <c r="GS46" s="388">
        <f t="shared" si="47"/>
        <v>0</v>
      </c>
      <c r="GT46" s="388">
        <f t="shared" si="47"/>
        <v>0</v>
      </c>
      <c r="GU46" s="388">
        <f t="shared" si="47"/>
        <v>0</v>
      </c>
      <c r="GV46" s="388">
        <f t="shared" si="47"/>
        <v>0</v>
      </c>
      <c r="GW46" s="393"/>
      <c r="GX46" s="1613" t="s">
        <v>838</v>
      </c>
      <c r="GY46" s="393"/>
      <c r="GZ46" s="1615" t="s">
        <v>839</v>
      </c>
      <c r="HA46" s="1615" t="s">
        <v>840</v>
      </c>
      <c r="HB46" s="1588"/>
      <c r="HC46" s="402"/>
      <c r="HD46" s="402"/>
      <c r="HE46" s="402"/>
      <c r="HF46" s="402"/>
      <c r="HG46" s="402"/>
      <c r="HH46" s="402"/>
      <c r="HI46" s="402"/>
      <c r="HJ46" s="402"/>
      <c r="HK46" s="402"/>
      <c r="HL46" s="402"/>
      <c r="HM46" s="402"/>
      <c r="HN46" s="402"/>
      <c r="HO46" s="402"/>
      <c r="HP46" s="402"/>
      <c r="HQ46" s="402"/>
      <c r="HR46" s="402"/>
      <c r="HS46" s="402"/>
      <c r="HT46" s="402"/>
      <c r="HU46" s="402"/>
      <c r="HV46" s="402"/>
      <c r="HW46" s="402"/>
      <c r="HX46" s="402"/>
      <c r="HY46" s="402"/>
      <c r="HZ46" s="402"/>
      <c r="IA46" s="402"/>
      <c r="IB46" s="402"/>
      <c r="IC46" s="402"/>
      <c r="ID46" s="402"/>
      <c r="IE46" s="402"/>
      <c r="IF46" s="402"/>
      <c r="IG46" s="402"/>
      <c r="IH46" s="402"/>
      <c r="II46" s="402"/>
      <c r="IJ46" s="402"/>
      <c r="IK46" s="402"/>
      <c r="IL46" s="402"/>
      <c r="IM46" s="402"/>
      <c r="IN46" s="402"/>
      <c r="IO46" s="402"/>
      <c r="IP46" s="402"/>
      <c r="IQ46" s="402"/>
      <c r="IR46" s="402"/>
      <c r="IS46" s="402"/>
      <c r="IT46" s="402"/>
      <c r="IU46" s="402"/>
      <c r="IV46" s="402"/>
      <c r="IW46" s="402"/>
      <c r="IX46" s="402"/>
      <c r="IY46" s="402"/>
      <c r="IZ46" s="402"/>
      <c r="JA46" s="402"/>
      <c r="JB46" s="402"/>
      <c r="JC46" s="402"/>
      <c r="JD46" s="402"/>
      <c r="JE46" s="402"/>
      <c r="JF46" s="402"/>
      <c r="JG46" s="402"/>
      <c r="JH46" s="402"/>
      <c r="JI46" s="402"/>
      <c r="JJ46" s="402"/>
      <c r="JK46" s="402"/>
      <c r="JL46" s="402"/>
      <c r="JM46" s="402"/>
      <c r="JN46" s="402"/>
      <c r="JO46" s="402"/>
      <c r="JP46" s="402"/>
      <c r="JQ46" s="402"/>
      <c r="JR46" s="402"/>
      <c r="JS46" s="402"/>
      <c r="JT46" s="402"/>
      <c r="JU46" s="402"/>
      <c r="JV46" s="402"/>
      <c r="JW46" s="402"/>
      <c r="JX46" s="402"/>
      <c r="JY46" s="402"/>
      <c r="JZ46" s="402"/>
      <c r="KA46" s="402"/>
    </row>
    <row r="47" spans="1:287" s="358" customFormat="1" ht="18" customHeight="1">
      <c r="A47" s="1589"/>
      <c r="B47" s="1595"/>
      <c r="C47" s="1603"/>
      <c r="D47" s="1605"/>
      <c r="E47" s="1608"/>
      <c r="F47" s="1598"/>
      <c r="G47" s="1598"/>
      <c r="H47" s="1598"/>
      <c r="I47" s="1598"/>
      <c r="J47" s="1598"/>
      <c r="K47" s="1598"/>
      <c r="L47" s="1598"/>
      <c r="M47" s="1598"/>
      <c r="N47" s="1598"/>
      <c r="O47" s="1598"/>
      <c r="P47" s="1598"/>
      <c r="Q47" s="1608"/>
      <c r="R47" s="1608"/>
      <c r="S47" s="1608"/>
      <c r="T47" s="1608"/>
      <c r="U47" s="1608"/>
      <c r="V47" s="303">
        <v>43424</v>
      </c>
      <c r="W47" s="303">
        <v>43425</v>
      </c>
      <c r="X47" s="303">
        <v>43426</v>
      </c>
      <c r="Y47" s="303">
        <v>43427</v>
      </c>
      <c r="Z47" s="303">
        <v>43428</v>
      </c>
      <c r="AA47" s="303">
        <v>43429</v>
      </c>
      <c r="AB47" s="303">
        <v>43430</v>
      </c>
      <c r="AC47" s="303">
        <v>43431</v>
      </c>
      <c r="AD47" s="303">
        <v>43432</v>
      </c>
      <c r="AE47" s="303">
        <v>43433</v>
      </c>
      <c r="AF47" s="303">
        <v>43434</v>
      </c>
      <c r="AG47" s="303">
        <v>43435</v>
      </c>
      <c r="AH47" s="303">
        <v>43436</v>
      </c>
      <c r="AI47" s="303">
        <v>43437</v>
      </c>
      <c r="AJ47" s="303">
        <v>43438</v>
      </c>
      <c r="AK47" s="303">
        <v>43439</v>
      </c>
      <c r="AL47" s="303">
        <v>43440</v>
      </c>
      <c r="AM47" s="303">
        <v>43441</v>
      </c>
      <c r="AN47" s="303">
        <v>43442</v>
      </c>
      <c r="AO47" s="303">
        <v>43443</v>
      </c>
      <c r="AP47" s="303">
        <v>43444</v>
      </c>
      <c r="AQ47" s="303">
        <v>43445</v>
      </c>
      <c r="AR47" s="303">
        <v>43446</v>
      </c>
      <c r="AS47" s="303">
        <v>43447</v>
      </c>
      <c r="AT47" s="303">
        <v>43448</v>
      </c>
      <c r="AU47" s="303">
        <v>43449</v>
      </c>
      <c r="AV47" s="303">
        <v>43450</v>
      </c>
      <c r="AW47" s="303">
        <v>43451</v>
      </c>
      <c r="AX47" s="303">
        <v>43452</v>
      </c>
      <c r="AY47" s="303">
        <v>43453</v>
      </c>
      <c r="AZ47" s="303">
        <v>43454</v>
      </c>
      <c r="BA47" s="303">
        <v>43455</v>
      </c>
      <c r="BB47" s="303">
        <v>43456</v>
      </c>
      <c r="BC47" s="303">
        <v>43457</v>
      </c>
      <c r="BD47" s="303">
        <v>43458</v>
      </c>
      <c r="BE47" s="303">
        <v>43459</v>
      </c>
      <c r="BF47" s="303">
        <v>43460</v>
      </c>
      <c r="BG47" s="303">
        <v>43461</v>
      </c>
      <c r="BH47" s="303">
        <v>43462</v>
      </c>
      <c r="BI47" s="303">
        <v>43463</v>
      </c>
      <c r="BJ47" s="303">
        <v>43464</v>
      </c>
      <c r="BK47" s="303">
        <v>43465</v>
      </c>
      <c r="BL47" s="303">
        <v>43466</v>
      </c>
      <c r="BM47" s="303">
        <v>43467</v>
      </c>
      <c r="BN47" s="303">
        <v>43468</v>
      </c>
      <c r="BO47" s="303">
        <v>43469</v>
      </c>
      <c r="BP47" s="303">
        <v>43470</v>
      </c>
      <c r="BQ47" s="303">
        <v>43471</v>
      </c>
      <c r="BR47" s="303">
        <v>43472</v>
      </c>
      <c r="BS47" s="303">
        <v>43473</v>
      </c>
      <c r="BT47" s="303">
        <v>43474</v>
      </c>
      <c r="BU47" s="303">
        <v>43475</v>
      </c>
      <c r="BV47" s="303">
        <v>43476</v>
      </c>
      <c r="BW47" s="303">
        <v>43477</v>
      </c>
      <c r="BX47" s="303">
        <v>43478</v>
      </c>
      <c r="BY47" s="303">
        <v>43479</v>
      </c>
      <c r="BZ47" s="303">
        <v>43480</v>
      </c>
      <c r="CA47" s="303">
        <v>43481</v>
      </c>
      <c r="CB47" s="303">
        <v>43482</v>
      </c>
      <c r="CC47" s="303">
        <v>43483</v>
      </c>
      <c r="CD47" s="303">
        <v>43484</v>
      </c>
      <c r="CE47" s="303">
        <v>43485</v>
      </c>
      <c r="CF47" s="303">
        <v>43486</v>
      </c>
      <c r="CG47" s="303">
        <v>43487</v>
      </c>
      <c r="CH47" s="303">
        <v>43488</v>
      </c>
      <c r="CI47" s="303">
        <v>43489</v>
      </c>
      <c r="CJ47" s="303">
        <v>43490</v>
      </c>
      <c r="CK47" s="303">
        <v>43491</v>
      </c>
      <c r="CL47" s="303">
        <v>43492</v>
      </c>
      <c r="CM47" s="303">
        <v>43493</v>
      </c>
      <c r="CN47" s="303">
        <v>43494</v>
      </c>
      <c r="CO47" s="303">
        <v>43495</v>
      </c>
      <c r="CP47" s="303">
        <v>43496</v>
      </c>
      <c r="CQ47" s="303">
        <v>43497</v>
      </c>
      <c r="CR47" s="303">
        <v>43498</v>
      </c>
      <c r="CS47" s="303">
        <v>43499</v>
      </c>
      <c r="CT47" s="303">
        <v>43500</v>
      </c>
      <c r="CU47" s="303">
        <v>43501</v>
      </c>
      <c r="CV47" s="303">
        <v>43502</v>
      </c>
      <c r="CW47" s="303">
        <v>43503</v>
      </c>
      <c r="CX47" s="303">
        <v>43504</v>
      </c>
      <c r="CY47" s="303">
        <v>43505</v>
      </c>
      <c r="CZ47" s="303">
        <v>43506</v>
      </c>
      <c r="DA47" s="303">
        <v>43507</v>
      </c>
      <c r="DB47" s="303">
        <v>43508</v>
      </c>
      <c r="DC47" s="303">
        <v>43509</v>
      </c>
      <c r="DD47" s="303">
        <v>43510</v>
      </c>
      <c r="DE47" s="303">
        <v>43511</v>
      </c>
      <c r="DF47" s="303">
        <v>43512</v>
      </c>
      <c r="DG47" s="303">
        <v>43513</v>
      </c>
      <c r="DH47" s="303">
        <v>43514</v>
      </c>
      <c r="DI47" s="303">
        <v>43515</v>
      </c>
      <c r="DJ47" s="303">
        <v>43516</v>
      </c>
      <c r="DK47" s="303">
        <v>43517</v>
      </c>
      <c r="DL47" s="303">
        <v>43518</v>
      </c>
      <c r="DM47" s="303">
        <v>43519</v>
      </c>
      <c r="DN47" s="303">
        <v>43520</v>
      </c>
      <c r="DO47" s="303">
        <v>43521</v>
      </c>
      <c r="DP47" s="303">
        <v>43522</v>
      </c>
      <c r="DQ47" s="303">
        <v>43523</v>
      </c>
      <c r="DR47" s="303">
        <v>43524</v>
      </c>
      <c r="DS47" s="303">
        <v>43525</v>
      </c>
      <c r="DT47" s="303">
        <v>43526</v>
      </c>
      <c r="DU47" s="303">
        <v>43527</v>
      </c>
      <c r="DV47" s="303">
        <v>43528</v>
      </c>
      <c r="DW47" s="303">
        <v>43529</v>
      </c>
      <c r="DX47" s="303">
        <v>43530</v>
      </c>
      <c r="DY47" s="303">
        <v>43531</v>
      </c>
      <c r="DZ47" s="303">
        <v>43532</v>
      </c>
      <c r="EA47" s="303">
        <v>43533</v>
      </c>
      <c r="EB47" s="303">
        <v>43534</v>
      </c>
      <c r="EC47" s="303">
        <v>43535</v>
      </c>
      <c r="ED47" s="303">
        <v>43536</v>
      </c>
      <c r="EE47" s="303">
        <v>43537</v>
      </c>
      <c r="EF47" s="303">
        <v>43538</v>
      </c>
      <c r="EG47" s="303">
        <v>43539</v>
      </c>
      <c r="EH47" s="303">
        <v>43540</v>
      </c>
      <c r="EI47" s="303">
        <v>43541</v>
      </c>
      <c r="EJ47" s="303">
        <v>43542</v>
      </c>
      <c r="EK47" s="303">
        <v>43543</v>
      </c>
      <c r="EL47" s="303">
        <v>43544</v>
      </c>
      <c r="EM47" s="303">
        <v>43545</v>
      </c>
      <c r="EN47" s="303">
        <v>43546</v>
      </c>
      <c r="EO47" s="303">
        <v>43547</v>
      </c>
      <c r="EP47" s="303">
        <v>43548</v>
      </c>
      <c r="EQ47" s="303">
        <v>43549</v>
      </c>
      <c r="ER47" s="303">
        <v>43550</v>
      </c>
      <c r="ES47" s="303">
        <v>43551</v>
      </c>
      <c r="ET47" s="303">
        <v>43552</v>
      </c>
      <c r="EU47" s="303">
        <v>43553</v>
      </c>
      <c r="EV47" s="303">
        <v>43554</v>
      </c>
      <c r="EW47" s="303">
        <v>43555</v>
      </c>
      <c r="EX47" s="303">
        <v>43556</v>
      </c>
      <c r="EY47" s="303">
        <v>43557</v>
      </c>
      <c r="EZ47" s="303">
        <v>43558</v>
      </c>
      <c r="FA47" s="303">
        <v>43559</v>
      </c>
      <c r="FB47" s="303">
        <v>43560</v>
      </c>
      <c r="FC47" s="303">
        <v>43561</v>
      </c>
      <c r="FD47" s="303">
        <v>43562</v>
      </c>
      <c r="FE47" s="303">
        <v>43563</v>
      </c>
      <c r="FF47" s="303">
        <v>43564</v>
      </c>
      <c r="FG47" s="303">
        <v>43565</v>
      </c>
      <c r="FH47" s="303">
        <v>43566</v>
      </c>
      <c r="FI47" s="303">
        <v>43567</v>
      </c>
      <c r="FJ47" s="303">
        <v>43568</v>
      </c>
      <c r="FK47" s="303">
        <v>43569</v>
      </c>
      <c r="FL47" s="303">
        <v>43570</v>
      </c>
      <c r="FM47" s="303">
        <v>43571</v>
      </c>
      <c r="FN47" s="303">
        <v>43572</v>
      </c>
      <c r="FO47" s="303">
        <v>43573</v>
      </c>
      <c r="FP47" s="303">
        <v>43574</v>
      </c>
      <c r="FQ47" s="303">
        <v>43575</v>
      </c>
      <c r="FR47" s="303">
        <v>43576</v>
      </c>
      <c r="FS47" s="303">
        <v>43577</v>
      </c>
      <c r="FT47" s="303">
        <v>43578</v>
      </c>
      <c r="FU47" s="303">
        <v>43579</v>
      </c>
      <c r="FV47" s="303">
        <v>43580</v>
      </c>
      <c r="FW47" s="303">
        <v>43581</v>
      </c>
      <c r="FX47" s="303">
        <v>43582</v>
      </c>
      <c r="FY47" s="303">
        <v>43583</v>
      </c>
      <c r="FZ47" s="303">
        <v>43584</v>
      </c>
      <c r="GA47" s="303">
        <v>43585</v>
      </c>
      <c r="GB47" s="303">
        <v>43586</v>
      </c>
      <c r="GC47" s="303">
        <v>43587</v>
      </c>
      <c r="GD47" s="303">
        <v>43588</v>
      </c>
      <c r="GE47" s="303">
        <v>43589</v>
      </c>
      <c r="GF47" s="303">
        <v>43590</v>
      </c>
      <c r="GG47" s="303">
        <v>43591</v>
      </c>
      <c r="GH47" s="303">
        <v>43592</v>
      </c>
      <c r="GI47" s="303">
        <v>43593</v>
      </c>
      <c r="GJ47" s="303">
        <v>43594</v>
      </c>
      <c r="GK47" s="303">
        <v>43595</v>
      </c>
      <c r="GL47" s="303">
        <v>43596</v>
      </c>
      <c r="GM47" s="303">
        <v>43597</v>
      </c>
      <c r="GN47" s="303">
        <v>43598</v>
      </c>
      <c r="GO47" s="303">
        <v>43599</v>
      </c>
      <c r="GP47" s="303">
        <v>43600</v>
      </c>
      <c r="GQ47" s="303">
        <v>43601</v>
      </c>
      <c r="GR47" s="303">
        <v>43602</v>
      </c>
      <c r="GS47" s="303">
        <v>43603</v>
      </c>
      <c r="GT47" s="303">
        <v>43604</v>
      </c>
      <c r="GU47" s="303">
        <v>43605</v>
      </c>
      <c r="GV47" s="303">
        <v>43606</v>
      </c>
      <c r="GW47" s="394" t="s">
        <v>841</v>
      </c>
      <c r="GX47" s="1614"/>
      <c r="GY47" s="222" t="s">
        <v>32</v>
      </c>
      <c r="GZ47" s="1603"/>
      <c r="HA47" s="1616"/>
      <c r="HB47" s="1589"/>
      <c r="HC47" s="403"/>
      <c r="HD47" s="403"/>
      <c r="HE47" s="403"/>
      <c r="HF47" s="403"/>
      <c r="HG47" s="403"/>
      <c r="HH47" s="403"/>
      <c r="HI47" s="403"/>
      <c r="HJ47" s="403"/>
      <c r="HK47" s="403"/>
      <c r="HL47" s="403"/>
      <c r="HM47" s="403"/>
      <c r="HN47" s="403"/>
      <c r="HO47" s="403"/>
      <c r="HP47" s="403"/>
      <c r="HQ47" s="403"/>
      <c r="HR47" s="403"/>
      <c r="HS47" s="403"/>
      <c r="HT47" s="403"/>
      <c r="HU47" s="403"/>
      <c r="HV47" s="403"/>
      <c r="HW47" s="403"/>
      <c r="HX47" s="403"/>
      <c r="HY47" s="403"/>
      <c r="HZ47" s="403"/>
      <c r="IA47" s="403"/>
      <c r="IB47" s="403"/>
      <c r="IC47" s="403"/>
      <c r="ID47" s="403"/>
      <c r="IE47" s="403"/>
      <c r="IF47" s="403"/>
      <c r="IG47" s="403"/>
      <c r="IH47" s="403"/>
      <c r="II47" s="403"/>
      <c r="IJ47" s="403"/>
      <c r="IK47" s="403"/>
      <c r="IL47" s="403"/>
      <c r="IM47" s="403"/>
      <c r="IN47" s="403"/>
      <c r="IO47" s="403"/>
      <c r="IP47" s="403"/>
      <c r="IQ47" s="403"/>
      <c r="IR47" s="403"/>
      <c r="IS47" s="403"/>
      <c r="IT47" s="403"/>
      <c r="IU47" s="403"/>
      <c r="IV47" s="403"/>
      <c r="IW47" s="403"/>
      <c r="IX47" s="403"/>
      <c r="IY47" s="403"/>
      <c r="IZ47" s="403"/>
      <c r="JA47" s="403"/>
      <c r="JB47" s="403"/>
      <c r="JC47" s="403"/>
      <c r="JD47" s="403"/>
      <c r="JE47" s="403"/>
      <c r="JF47" s="403"/>
      <c r="JG47" s="403"/>
      <c r="JH47" s="403"/>
      <c r="JI47" s="403"/>
      <c r="JJ47" s="403"/>
      <c r="JK47" s="403"/>
      <c r="JL47" s="403"/>
      <c r="JM47" s="403"/>
      <c r="JN47" s="403"/>
      <c r="JO47" s="403"/>
      <c r="JP47" s="403"/>
      <c r="JQ47" s="403"/>
      <c r="JR47" s="403"/>
      <c r="JS47" s="403"/>
      <c r="JT47" s="403"/>
      <c r="JU47" s="403"/>
      <c r="JV47" s="403"/>
      <c r="JW47" s="403"/>
      <c r="JX47" s="403"/>
      <c r="JY47" s="403"/>
      <c r="JZ47" s="403"/>
      <c r="KA47" s="403"/>
    </row>
    <row r="48" spans="1:287" s="359" customFormat="1" ht="24" customHeight="1">
      <c r="A48" s="371"/>
      <c r="B48" s="372"/>
      <c r="C48" s="372"/>
      <c r="D48" s="373"/>
      <c r="E48" s="374"/>
      <c r="F48" s="374"/>
      <c r="G48" s="374"/>
      <c r="H48" s="374"/>
      <c r="I48" s="374"/>
      <c r="J48" s="374"/>
      <c r="K48" s="374"/>
      <c r="L48" s="956"/>
      <c r="M48" s="956"/>
      <c r="N48" s="956"/>
      <c r="O48" s="956"/>
      <c r="P48" s="956"/>
      <c r="Q48" s="374"/>
      <c r="R48" s="374"/>
      <c r="S48" s="374"/>
      <c r="T48" s="374"/>
      <c r="U48" s="374"/>
      <c r="V48" s="389"/>
      <c r="W48" s="389"/>
      <c r="X48" s="389"/>
      <c r="Y48" s="389"/>
      <c r="Z48" s="389"/>
      <c r="AA48" s="389"/>
      <c r="AB48" s="389"/>
      <c r="AC48" s="389"/>
      <c r="AD48" s="389"/>
      <c r="AE48" s="389"/>
      <c r="AF48" s="389"/>
      <c r="AG48" s="389"/>
      <c r="AH48" s="389"/>
      <c r="AI48" s="389"/>
      <c r="AJ48" s="389"/>
      <c r="AK48" s="389"/>
      <c r="AL48" s="389"/>
      <c r="AM48" s="389"/>
      <c r="AN48" s="389"/>
      <c r="AO48" s="389"/>
      <c r="AP48" s="389"/>
      <c r="AQ48" s="389"/>
      <c r="AR48" s="389"/>
      <c r="AS48" s="389"/>
      <c r="AT48" s="389"/>
      <c r="AU48" s="389"/>
      <c r="AV48" s="389"/>
      <c r="AW48" s="389"/>
      <c r="AX48" s="389"/>
      <c r="AY48" s="389"/>
      <c r="AZ48" s="389"/>
      <c r="BA48" s="389"/>
      <c r="BB48" s="389"/>
      <c r="BC48" s="389"/>
      <c r="BD48" s="389"/>
      <c r="BE48" s="389"/>
      <c r="BF48" s="389"/>
      <c r="BG48" s="389"/>
      <c r="BH48" s="389"/>
      <c r="BI48" s="389"/>
      <c r="BJ48" s="389"/>
      <c r="BK48" s="389"/>
      <c r="BL48" s="389"/>
      <c r="BM48" s="389"/>
      <c r="BN48" s="957"/>
      <c r="BO48" s="957"/>
      <c r="BP48" s="957"/>
      <c r="BQ48" s="957"/>
      <c r="BR48" s="957"/>
      <c r="BS48" s="957"/>
      <c r="BT48" s="957"/>
      <c r="BU48" s="957"/>
      <c r="BV48" s="957"/>
      <c r="BW48" s="957"/>
      <c r="BX48" s="957"/>
      <c r="BY48" s="957"/>
      <c r="BZ48" s="957"/>
      <c r="CA48" s="957"/>
      <c r="CB48" s="389"/>
      <c r="CC48" s="957"/>
      <c r="CD48" s="957"/>
      <c r="CE48" s="957"/>
      <c r="CF48" s="389"/>
      <c r="CG48" s="389"/>
      <c r="CH48" s="957"/>
      <c r="CI48" s="389"/>
      <c r="CJ48" s="389"/>
      <c r="CK48" s="957"/>
      <c r="CL48" s="389"/>
      <c r="CM48" s="389"/>
      <c r="CN48" s="389"/>
      <c r="CO48" s="957"/>
      <c r="CP48" s="389"/>
      <c r="CQ48" s="957"/>
      <c r="CR48" s="957"/>
      <c r="CS48" s="957"/>
      <c r="CT48" s="957"/>
      <c r="CU48" s="957"/>
      <c r="CV48" s="957"/>
      <c r="CW48" s="957"/>
      <c r="CX48" s="957"/>
      <c r="CY48" s="957"/>
      <c r="CZ48" s="957"/>
      <c r="DA48" s="957"/>
      <c r="DB48" s="389"/>
      <c r="DC48" s="389"/>
      <c r="DD48" s="389"/>
      <c r="DE48" s="957"/>
      <c r="DF48" s="957"/>
      <c r="DG48" s="389"/>
      <c r="DH48" s="957"/>
      <c r="DI48" s="957"/>
      <c r="DJ48" s="389"/>
      <c r="DK48" s="389"/>
      <c r="DL48" s="957"/>
      <c r="DM48" s="957"/>
      <c r="DN48" s="389"/>
      <c r="DO48" s="389"/>
      <c r="DP48" s="389"/>
      <c r="DQ48" s="957"/>
      <c r="DR48" s="389"/>
      <c r="DS48" s="957"/>
      <c r="DT48" s="957"/>
      <c r="DU48" s="957"/>
      <c r="DV48" s="389"/>
      <c r="DW48" s="389"/>
      <c r="DX48" s="389"/>
      <c r="DY48" s="389"/>
      <c r="DZ48" s="957"/>
      <c r="EA48" s="957"/>
      <c r="EB48" s="389"/>
      <c r="EC48" s="389"/>
      <c r="ED48" s="389"/>
      <c r="EE48" s="389"/>
      <c r="EF48" s="389"/>
      <c r="EG48" s="957"/>
      <c r="EH48" s="957"/>
      <c r="EI48" s="957"/>
      <c r="EJ48" s="389"/>
      <c r="EK48" s="389"/>
      <c r="EL48" s="957"/>
      <c r="EM48" s="957"/>
      <c r="EN48" s="957"/>
      <c r="EO48" s="957"/>
      <c r="EP48" s="957"/>
      <c r="EQ48" s="389"/>
      <c r="ER48" s="389"/>
      <c r="ES48" s="389"/>
      <c r="ET48" s="389"/>
      <c r="EU48" s="957"/>
      <c r="EV48" s="957"/>
      <c r="EW48" s="389"/>
      <c r="EX48" s="389"/>
      <c r="EY48" s="389"/>
      <c r="EZ48" s="389"/>
      <c r="FA48" s="957"/>
      <c r="FB48" s="957"/>
      <c r="FC48" s="957"/>
      <c r="FD48" s="389"/>
      <c r="FE48" s="389"/>
      <c r="FF48" s="389"/>
      <c r="FG48" s="389"/>
      <c r="FH48" s="389"/>
      <c r="FI48" s="957"/>
      <c r="FJ48" s="957"/>
      <c r="FK48" s="957"/>
      <c r="FL48" s="389"/>
      <c r="FM48" s="389"/>
      <c r="FN48" s="957"/>
      <c r="FO48" s="389"/>
      <c r="FP48" s="957"/>
      <c r="FQ48" s="957"/>
      <c r="FR48" s="957"/>
      <c r="FS48" s="389"/>
      <c r="FT48" s="389"/>
      <c r="FU48" s="957"/>
      <c r="FV48" s="389"/>
      <c r="FW48" s="957"/>
      <c r="FX48" s="389"/>
      <c r="FY48" s="957"/>
      <c r="FZ48" s="957"/>
      <c r="GA48" s="957"/>
      <c r="GB48" s="957"/>
      <c r="GC48" s="957"/>
      <c r="GD48" s="957"/>
      <c r="GE48" s="957"/>
      <c r="GF48" s="389"/>
      <c r="GG48" s="957"/>
      <c r="GH48" s="389"/>
      <c r="GI48" s="957"/>
      <c r="GJ48" s="389"/>
      <c r="GK48" s="957"/>
      <c r="GL48" s="957"/>
      <c r="GM48" s="957"/>
      <c r="GN48" s="957"/>
      <c r="GO48" s="389"/>
      <c r="GP48" s="389"/>
      <c r="GQ48" s="389"/>
      <c r="GR48" s="389"/>
      <c r="GS48" s="389"/>
      <c r="GT48" s="389"/>
      <c r="GU48" s="389"/>
      <c r="GV48" s="389"/>
      <c r="GW48" s="395"/>
      <c r="GX48" s="396"/>
      <c r="GY48" s="396"/>
      <c r="GZ48" s="372"/>
      <c r="HA48" s="404"/>
      <c r="HB48" s="405"/>
      <c r="HC48" s="406"/>
      <c r="HD48" s="406"/>
      <c r="HE48" s="406"/>
      <c r="HF48" s="406"/>
      <c r="HG48" s="406"/>
      <c r="HH48" s="406"/>
      <c r="HI48" s="406"/>
      <c r="HJ48" s="406"/>
      <c r="HK48" s="406"/>
      <c r="HL48" s="406"/>
      <c r="HM48" s="406"/>
      <c r="HN48" s="406"/>
      <c r="HO48" s="406"/>
      <c r="HP48" s="406"/>
      <c r="HQ48" s="406"/>
      <c r="HR48" s="406"/>
      <c r="HS48" s="406"/>
      <c r="HT48" s="406"/>
      <c r="HU48" s="406"/>
      <c r="HV48" s="406"/>
      <c r="HW48" s="406"/>
      <c r="HX48" s="406"/>
      <c r="HY48" s="406"/>
      <c r="HZ48" s="406"/>
      <c r="IA48" s="406"/>
      <c r="IB48" s="406"/>
      <c r="IC48" s="406"/>
      <c r="ID48" s="406"/>
      <c r="IE48" s="406"/>
      <c r="IF48" s="406"/>
      <c r="IG48" s="406"/>
      <c r="IH48" s="406"/>
      <c r="II48" s="406"/>
      <c r="IJ48" s="406"/>
      <c r="IK48" s="406"/>
      <c r="IL48" s="406"/>
      <c r="IM48" s="406"/>
      <c r="IN48" s="406"/>
      <c r="IO48" s="406"/>
      <c r="IP48" s="406"/>
      <c r="IQ48" s="406"/>
      <c r="IR48" s="406"/>
      <c r="IS48" s="406"/>
      <c r="IT48" s="406"/>
      <c r="IU48" s="406"/>
      <c r="IV48" s="406"/>
      <c r="IW48" s="406"/>
      <c r="IX48" s="406"/>
      <c r="IY48" s="406"/>
      <c r="IZ48" s="406"/>
      <c r="JA48" s="406"/>
      <c r="JB48" s="406"/>
      <c r="JC48" s="406"/>
      <c r="JD48" s="406"/>
      <c r="JE48" s="406"/>
      <c r="JF48" s="406"/>
      <c r="JG48" s="406"/>
      <c r="JH48" s="406"/>
      <c r="JI48" s="406"/>
      <c r="JJ48" s="406"/>
      <c r="JK48" s="406"/>
      <c r="JL48" s="406"/>
      <c r="JM48" s="406"/>
      <c r="JN48" s="406"/>
      <c r="JO48" s="406"/>
      <c r="JP48" s="406"/>
      <c r="JQ48" s="406"/>
      <c r="JR48" s="406"/>
      <c r="JS48" s="406"/>
      <c r="JT48" s="406"/>
      <c r="JU48" s="406"/>
      <c r="JV48" s="406"/>
      <c r="JW48" s="406"/>
      <c r="JX48" s="406"/>
      <c r="JY48" s="406"/>
      <c r="JZ48" s="406"/>
      <c r="KA48" s="406"/>
    </row>
    <row r="49" spans="1:287" s="360" customFormat="1" ht="75" hidden="1" customHeight="1">
      <c r="A49" s="818">
        <v>1</v>
      </c>
      <c r="B49" s="1610" t="s">
        <v>842</v>
      </c>
      <c r="C49" s="818" t="s">
        <v>843</v>
      </c>
      <c r="D49" s="780" t="s">
        <v>1244</v>
      </c>
      <c r="E49" s="861">
        <f>SUM(L49:P49)</f>
        <v>0</v>
      </c>
      <c r="F49" s="861">
        <v>0</v>
      </c>
      <c r="G49" s="861">
        <v>0</v>
      </c>
      <c r="H49" s="861">
        <v>0</v>
      </c>
      <c r="I49" s="861">
        <v>0</v>
      </c>
      <c r="J49" s="861">
        <f>SUM(V49:AF49)</f>
        <v>0</v>
      </c>
      <c r="K49" s="861">
        <f>SUM(AG49:BK49)</f>
        <v>2</v>
      </c>
      <c r="L49" s="861">
        <f>SUM(BL49:CP49)</f>
        <v>0</v>
      </c>
      <c r="M49" s="858">
        <f>SUM(CQ49:DR49)</f>
        <v>0</v>
      </c>
      <c r="N49" s="861">
        <f>SUM(DS49:EW49)</f>
        <v>0</v>
      </c>
      <c r="O49" s="861">
        <f>SUM(EX49:GA49)</f>
        <v>0</v>
      </c>
      <c r="P49" s="861">
        <f>SUM(GB49:GQ49)</f>
        <v>0</v>
      </c>
      <c r="Q49" s="861">
        <f>SUM(FW49:GC49)</f>
        <v>0</v>
      </c>
      <c r="R49" s="861">
        <f>SUM(GD49:GJ49)</f>
        <v>0</v>
      </c>
      <c r="S49" s="861">
        <f>SUM(GK49:GQ49)</f>
        <v>0</v>
      </c>
      <c r="T49" s="861"/>
      <c r="U49" s="861"/>
      <c r="V49" s="331"/>
      <c r="W49" s="738"/>
      <c r="X49" s="738"/>
      <c r="Y49" s="738"/>
      <c r="Z49" s="738"/>
      <c r="AA49" s="738"/>
      <c r="AB49" s="738"/>
      <c r="AC49" s="738"/>
      <c r="AD49" s="738"/>
      <c r="AE49" s="738"/>
      <c r="AF49" s="738"/>
      <c r="AG49" s="738"/>
      <c r="AH49" s="738"/>
      <c r="AI49" s="738"/>
      <c r="AJ49" s="738"/>
      <c r="AK49" s="738"/>
      <c r="AL49" s="738"/>
      <c r="AM49" s="738"/>
      <c r="AN49" s="738"/>
      <c r="AO49" s="738"/>
      <c r="AP49" s="738"/>
      <c r="AQ49" s="738"/>
      <c r="AR49" s="738"/>
      <c r="AS49" s="738"/>
      <c r="AT49" s="738"/>
      <c r="AU49" s="738"/>
      <c r="AV49" s="738"/>
      <c r="AW49" s="738"/>
      <c r="AX49" s="738"/>
      <c r="AY49" s="738"/>
      <c r="AZ49" s="738"/>
      <c r="BA49" s="769"/>
      <c r="BB49" s="769"/>
      <c r="BC49" s="769"/>
      <c r="BD49" s="769"/>
      <c r="BE49" s="769">
        <v>1</v>
      </c>
      <c r="BF49" s="769"/>
      <c r="BG49" s="769"/>
      <c r="BH49" s="769">
        <v>1</v>
      </c>
      <c r="BI49" s="769"/>
      <c r="BJ49" s="769"/>
      <c r="BK49" s="769"/>
      <c r="BL49" s="769"/>
      <c r="BM49" s="769"/>
      <c r="BN49" s="331"/>
      <c r="BO49" s="331"/>
      <c r="BP49" s="331"/>
      <c r="BQ49" s="331"/>
      <c r="BR49" s="769"/>
      <c r="BS49" s="769"/>
      <c r="BT49" s="769"/>
      <c r="BU49" s="769"/>
      <c r="BV49" s="769"/>
      <c r="BW49" s="769"/>
      <c r="BX49" s="769"/>
      <c r="BY49" s="769"/>
      <c r="BZ49" s="769"/>
      <c r="CA49" s="769"/>
      <c r="CB49" s="769"/>
      <c r="CC49" s="769"/>
      <c r="CD49" s="769"/>
      <c r="CE49" s="769"/>
      <c r="CF49" s="769"/>
      <c r="CG49" s="769"/>
      <c r="CH49" s="769"/>
      <c r="CI49" s="769"/>
      <c r="CJ49" s="1041"/>
      <c r="CK49" s="769"/>
      <c r="CL49" s="769"/>
      <c r="CM49" s="769"/>
      <c r="CN49" s="769"/>
      <c r="CO49" s="769"/>
      <c r="CP49" s="769"/>
      <c r="CQ49" s="769"/>
      <c r="CR49" s="769"/>
      <c r="CS49" s="769"/>
      <c r="CT49" s="769"/>
      <c r="CU49" s="769"/>
      <c r="CV49" s="769"/>
      <c r="CW49" s="769"/>
      <c r="CX49" s="769"/>
      <c r="CY49" s="769"/>
      <c r="CZ49" s="769"/>
      <c r="DA49" s="769"/>
      <c r="DB49" s="769"/>
      <c r="DC49" s="769"/>
      <c r="DD49" s="769"/>
      <c r="DE49" s="769"/>
      <c r="DF49" s="769"/>
      <c r="DG49" s="769"/>
      <c r="DH49" s="769"/>
      <c r="DI49" s="769"/>
      <c r="DJ49" s="769"/>
      <c r="DK49" s="769"/>
      <c r="DL49" s="769"/>
      <c r="DM49" s="769"/>
      <c r="DN49" s="769"/>
      <c r="DO49" s="769"/>
      <c r="DP49" s="769"/>
      <c r="DQ49" s="769"/>
      <c r="DR49" s="769"/>
      <c r="DS49" s="769"/>
      <c r="DT49" s="769"/>
      <c r="DU49" s="769"/>
      <c r="DV49" s="769"/>
      <c r="DW49" s="769"/>
      <c r="DX49" s="769"/>
      <c r="DY49" s="769"/>
      <c r="DZ49" s="769"/>
      <c r="EA49" s="769"/>
      <c r="EB49" s="769"/>
      <c r="EC49" s="769"/>
      <c r="ED49" s="769"/>
      <c r="EE49" s="769"/>
      <c r="EF49" s="769"/>
      <c r="EG49" s="769"/>
      <c r="EH49" s="769"/>
      <c r="EI49" s="769"/>
      <c r="EJ49" s="769"/>
      <c r="EK49" s="769"/>
      <c r="EL49" s="769"/>
      <c r="EM49" s="769"/>
      <c r="EN49" s="769"/>
      <c r="EO49" s="769"/>
      <c r="EP49" s="769"/>
      <c r="EQ49" s="1041"/>
      <c r="ER49" s="769"/>
      <c r="ES49" s="769"/>
      <c r="ET49" s="769"/>
      <c r="EU49" s="769"/>
      <c r="EV49" s="769"/>
      <c r="EW49" s="769"/>
      <c r="EX49" s="769"/>
      <c r="EY49" s="769"/>
      <c r="EZ49" s="769"/>
      <c r="FA49" s="769"/>
      <c r="FB49" s="769"/>
      <c r="FC49" s="769"/>
      <c r="FD49" s="769"/>
      <c r="FE49" s="769"/>
      <c r="FF49" s="769"/>
      <c r="FG49" s="769"/>
      <c r="FH49" s="769"/>
      <c r="FI49" s="769"/>
      <c r="FJ49" s="769"/>
      <c r="FK49" s="769"/>
      <c r="FL49" s="769"/>
      <c r="FM49" s="769"/>
      <c r="FN49" s="769"/>
      <c r="FO49" s="769"/>
      <c r="FP49" s="769"/>
      <c r="FQ49" s="769"/>
      <c r="FR49" s="769"/>
      <c r="FS49" s="769"/>
      <c r="FT49" s="769"/>
      <c r="FU49" s="769"/>
      <c r="FV49" s="769"/>
      <c r="FW49" s="769"/>
      <c r="FX49" s="769"/>
      <c r="FY49" s="769"/>
      <c r="FZ49" s="769"/>
      <c r="GA49" s="769"/>
      <c r="GB49" s="769"/>
      <c r="GC49" s="769"/>
      <c r="GD49" s="769"/>
      <c r="GE49" s="769"/>
      <c r="GF49" s="769"/>
      <c r="GG49" s="769"/>
      <c r="GH49" s="769"/>
      <c r="GI49" s="769"/>
      <c r="GJ49" s="769"/>
      <c r="GK49" s="769"/>
      <c r="GL49" s="769"/>
      <c r="GM49" s="769"/>
      <c r="GN49" s="769"/>
      <c r="GO49" s="769"/>
      <c r="GP49" s="769"/>
      <c r="GQ49" s="769"/>
      <c r="GR49" s="331"/>
      <c r="GS49" s="331"/>
      <c r="GT49" s="331"/>
      <c r="GU49" s="331"/>
      <c r="GV49" s="331"/>
      <c r="GW49" s="397" t="s">
        <v>1248</v>
      </c>
      <c r="GX49" s="870"/>
      <c r="GY49" s="871"/>
      <c r="GZ49" s="869"/>
      <c r="HA49" s="869"/>
      <c r="HB49" s="872" t="s">
        <v>1249</v>
      </c>
      <c r="HC49" s="178"/>
      <c r="HD49" s="178"/>
      <c r="HE49" s="178"/>
      <c r="HF49" s="178"/>
      <c r="HG49" s="178"/>
      <c r="HH49" s="178"/>
      <c r="HI49" s="178"/>
      <c r="HJ49" s="178"/>
      <c r="HK49" s="178"/>
      <c r="HL49" s="178"/>
      <c r="HM49" s="178"/>
      <c r="HN49" s="178"/>
      <c r="HO49" s="178"/>
      <c r="HP49" s="178"/>
      <c r="HQ49" s="178"/>
      <c r="HR49" s="178"/>
      <c r="HS49" s="178"/>
      <c r="HT49" s="178"/>
      <c r="HU49" s="178"/>
      <c r="HV49" s="178"/>
      <c r="HW49" s="178"/>
      <c r="HX49" s="178"/>
      <c r="HY49" s="178"/>
      <c r="HZ49" s="178"/>
      <c r="IA49" s="178"/>
      <c r="IB49" s="178"/>
      <c r="IC49" s="178"/>
      <c r="ID49" s="178"/>
      <c r="IE49" s="178"/>
      <c r="IF49" s="178"/>
      <c r="IG49" s="178"/>
      <c r="IH49" s="178"/>
      <c r="II49" s="178"/>
      <c r="IJ49" s="178"/>
      <c r="IK49" s="178"/>
      <c r="IL49" s="178"/>
      <c r="IM49" s="178"/>
      <c r="IN49" s="178"/>
      <c r="IO49" s="178"/>
      <c r="IP49" s="178"/>
      <c r="IQ49" s="178"/>
      <c r="IR49" s="178"/>
      <c r="IS49" s="178"/>
      <c r="IT49" s="178"/>
      <c r="IU49" s="178"/>
      <c r="IV49" s="178"/>
      <c r="IW49" s="178"/>
      <c r="IX49" s="178"/>
      <c r="IY49" s="178"/>
      <c r="IZ49" s="178"/>
      <c r="JA49" s="178"/>
      <c r="JB49" s="178"/>
      <c r="JC49" s="178"/>
      <c r="JD49" s="178"/>
      <c r="JE49" s="178"/>
      <c r="JF49" s="178"/>
      <c r="JG49" s="178"/>
      <c r="JH49" s="178"/>
      <c r="JI49" s="178"/>
      <c r="JJ49" s="178"/>
      <c r="JK49" s="178"/>
      <c r="JL49" s="178"/>
      <c r="JM49" s="178"/>
      <c r="JN49" s="178"/>
      <c r="JO49" s="178"/>
      <c r="JP49" s="178"/>
      <c r="JQ49" s="178"/>
      <c r="JR49" s="178"/>
      <c r="JS49" s="178"/>
      <c r="JT49" s="178"/>
      <c r="JU49" s="178"/>
      <c r="JV49" s="178"/>
      <c r="JW49" s="178"/>
      <c r="JX49" s="178"/>
      <c r="JY49" s="178"/>
      <c r="JZ49" s="178"/>
      <c r="KA49" s="178"/>
    </row>
    <row r="50" spans="1:287" s="360" customFormat="1" ht="60.75" hidden="1" customHeight="1">
      <c r="A50" s="868">
        <v>2</v>
      </c>
      <c r="B50" s="1600"/>
      <c r="C50" s="827" t="s">
        <v>843</v>
      </c>
      <c r="D50" s="1040" t="s">
        <v>845</v>
      </c>
      <c r="E50" s="861">
        <f t="shared" ref="E50:E115" si="50">SUM(L50:P50)</f>
        <v>9</v>
      </c>
      <c r="F50" s="858">
        <v>0</v>
      </c>
      <c r="G50" s="858">
        <v>0</v>
      </c>
      <c r="H50" s="858">
        <v>0</v>
      </c>
      <c r="I50" s="858">
        <v>0</v>
      </c>
      <c r="J50" s="858">
        <f t="shared" ref="J50:J154" si="51">SUM(V50:AF50)</f>
        <v>0</v>
      </c>
      <c r="K50" s="861">
        <f t="shared" ref="K50:K154" si="52">SUM(AG50:BK50)</f>
        <v>3</v>
      </c>
      <c r="L50" s="861">
        <f t="shared" ref="L50:L144" si="53">SUM(BL50:CP50)</f>
        <v>2</v>
      </c>
      <c r="M50" s="858">
        <f t="shared" ref="M50:M140" si="54">SUM(CQ50:DR50)</f>
        <v>0</v>
      </c>
      <c r="N50" s="861">
        <f t="shared" ref="N50:N123" si="55">SUM(DS50:EW50)</f>
        <v>4</v>
      </c>
      <c r="O50" s="861">
        <f t="shared" ref="O50:O115" si="56">SUM(EX50:GA50)</f>
        <v>3</v>
      </c>
      <c r="P50" s="861">
        <f t="shared" ref="P50:P115" si="57">SUM(GB50:GQ50)</f>
        <v>0</v>
      </c>
      <c r="Q50" s="861">
        <f t="shared" ref="Q50:Q113" si="58">SUM(FW50:GC50)</f>
        <v>0</v>
      </c>
      <c r="R50" s="861">
        <f t="shared" ref="R50:R113" si="59">SUM(GD50:GJ50)</f>
        <v>0</v>
      </c>
      <c r="S50" s="861">
        <f t="shared" ref="S50:S113" si="60">SUM(GK50:GQ50)</f>
        <v>0</v>
      </c>
      <c r="T50" s="861"/>
      <c r="U50" s="861"/>
      <c r="V50" s="271"/>
      <c r="W50" s="413"/>
      <c r="X50" s="413"/>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738"/>
      <c r="BB50" s="738"/>
      <c r="BC50" s="738">
        <v>1</v>
      </c>
      <c r="BD50" s="738"/>
      <c r="BE50" s="738">
        <v>1</v>
      </c>
      <c r="BF50" s="738"/>
      <c r="BG50" s="738"/>
      <c r="BH50" s="738">
        <v>1</v>
      </c>
      <c r="BI50" s="738"/>
      <c r="BJ50" s="738"/>
      <c r="BK50" s="738"/>
      <c r="BL50" s="738"/>
      <c r="BM50" s="738"/>
      <c r="BN50" s="271"/>
      <c r="BO50" s="271"/>
      <c r="BP50" s="271"/>
      <c r="BQ50" s="271"/>
      <c r="BR50" s="738"/>
      <c r="BS50" s="738"/>
      <c r="BT50" s="738"/>
      <c r="BU50" s="738"/>
      <c r="BV50" s="738"/>
      <c r="BW50" s="738"/>
      <c r="BX50" s="738"/>
      <c r="BY50" s="738"/>
      <c r="BZ50" s="738"/>
      <c r="CA50" s="738"/>
      <c r="CB50" s="738"/>
      <c r="CC50" s="1041"/>
      <c r="CD50" s="1041"/>
      <c r="CE50" s="1041"/>
      <c r="CF50" s="1041"/>
      <c r="CG50" s="1041"/>
      <c r="CH50" s="1041">
        <v>1</v>
      </c>
      <c r="CI50" s="1041">
        <v>1</v>
      </c>
      <c r="CJ50" s="769"/>
      <c r="CK50" s="1041"/>
      <c r="CL50" s="1041"/>
      <c r="CM50" s="1041"/>
      <c r="CN50" s="1041"/>
      <c r="CO50" s="1041"/>
      <c r="CP50" s="1041"/>
      <c r="CQ50" s="1041"/>
      <c r="CR50" s="1041"/>
      <c r="CS50" s="1041"/>
      <c r="CT50" s="1041"/>
      <c r="CU50" s="1041"/>
      <c r="CV50" s="1041"/>
      <c r="CW50" s="1041"/>
      <c r="CX50" s="1041"/>
      <c r="CY50" s="1041"/>
      <c r="CZ50" s="1041"/>
      <c r="DA50" s="1041"/>
      <c r="DB50" s="1041"/>
      <c r="DC50" s="1041"/>
      <c r="DD50" s="1041"/>
      <c r="DE50" s="1041"/>
      <c r="DF50" s="1041"/>
      <c r="DG50" s="1041"/>
      <c r="DH50" s="1041"/>
      <c r="DI50" s="1041"/>
      <c r="DJ50" s="1041"/>
      <c r="DK50" s="1041"/>
      <c r="DL50" s="1041"/>
      <c r="DM50" s="1041"/>
      <c r="DN50" s="1041"/>
      <c r="DO50" s="1041"/>
      <c r="DP50" s="1041"/>
      <c r="DQ50" s="1041"/>
      <c r="DR50" s="1041"/>
      <c r="DS50" s="1041"/>
      <c r="DT50" s="1041"/>
      <c r="DU50" s="1041"/>
      <c r="DV50" s="1041"/>
      <c r="DW50" s="1041"/>
      <c r="DX50" s="1041"/>
      <c r="DY50" s="1041"/>
      <c r="DZ50" s="1041"/>
      <c r="EA50" s="1041"/>
      <c r="EB50" s="1041"/>
      <c r="EC50" s="1041"/>
      <c r="ED50" s="1041"/>
      <c r="EE50" s="1041"/>
      <c r="EF50" s="1041"/>
      <c r="EG50" s="1041"/>
      <c r="EH50" s="1041"/>
      <c r="EI50" s="1041"/>
      <c r="EJ50" s="1041"/>
      <c r="EK50" s="1041"/>
      <c r="EL50" s="1041">
        <v>1</v>
      </c>
      <c r="EM50" s="1041"/>
      <c r="EN50" s="1041"/>
      <c r="EO50" s="1304"/>
      <c r="EP50" s="1041"/>
      <c r="EQ50" s="1041"/>
      <c r="ER50" s="1041"/>
      <c r="ES50" s="1041"/>
      <c r="ET50" s="1041">
        <v>1</v>
      </c>
      <c r="EU50" s="1041"/>
      <c r="EV50" s="1041">
        <v>2</v>
      </c>
      <c r="EW50" s="1041"/>
      <c r="EX50" s="1041"/>
      <c r="EY50" s="1041"/>
      <c r="EZ50" s="1041"/>
      <c r="FA50" s="1041"/>
      <c r="FB50" s="1041"/>
      <c r="FC50" s="1041"/>
      <c r="FD50" s="1041"/>
      <c r="FE50" s="1041">
        <v>1</v>
      </c>
      <c r="FF50" s="1041"/>
      <c r="FG50" s="1041"/>
      <c r="FH50" s="1041"/>
      <c r="FI50" s="1041"/>
      <c r="FJ50" s="1041"/>
      <c r="FK50" s="1041"/>
      <c r="FL50" s="1041">
        <v>1</v>
      </c>
      <c r="FM50" s="1041"/>
      <c r="FN50" s="1041">
        <v>1</v>
      </c>
      <c r="FO50" s="1041"/>
      <c r="FP50" s="1041"/>
      <c r="FQ50" s="1041"/>
      <c r="FR50" s="1041"/>
      <c r="FS50" s="1041"/>
      <c r="FT50" s="1041"/>
      <c r="FU50" s="1041"/>
      <c r="FV50" s="1041"/>
      <c r="FW50" s="1041"/>
      <c r="FX50" s="1041"/>
      <c r="FY50" s="1041"/>
      <c r="FZ50" s="1041"/>
      <c r="GA50" s="1041"/>
      <c r="GB50" s="1041"/>
      <c r="GC50" s="1041"/>
      <c r="GD50" s="1041"/>
      <c r="GE50" s="1041"/>
      <c r="GF50" s="1041"/>
      <c r="GG50" s="1041"/>
      <c r="GH50" s="1041"/>
      <c r="GI50" s="1041"/>
      <c r="GJ50" s="1041"/>
      <c r="GK50" s="1041"/>
      <c r="GL50" s="1041"/>
      <c r="GM50" s="1041"/>
      <c r="GN50" s="1041"/>
      <c r="GO50" s="1041"/>
      <c r="GP50" s="1041"/>
      <c r="GQ50" s="1041"/>
      <c r="GR50" s="271"/>
      <c r="GS50" s="271"/>
      <c r="GT50" s="271"/>
      <c r="GU50" s="271"/>
      <c r="GV50" s="271"/>
      <c r="GW50" s="1042" t="s">
        <v>846</v>
      </c>
      <c r="GX50" s="1042"/>
      <c r="GY50" s="1043"/>
      <c r="GZ50" s="1038"/>
      <c r="HA50" s="878" t="s">
        <v>1381</v>
      </c>
      <c r="HB50" s="864" t="s">
        <v>847</v>
      </c>
      <c r="HC50" s="178"/>
      <c r="HD50" s="178"/>
      <c r="HE50" s="178"/>
      <c r="HF50" s="178"/>
      <c r="HG50" s="178"/>
      <c r="HH50" s="178"/>
      <c r="HI50" s="178"/>
      <c r="HJ50" s="178"/>
      <c r="HK50" s="178"/>
      <c r="HL50" s="178"/>
      <c r="HM50" s="178"/>
      <c r="HN50" s="178"/>
      <c r="HO50" s="178"/>
      <c r="HP50" s="178"/>
      <c r="HQ50" s="178"/>
      <c r="HR50" s="178"/>
      <c r="HS50" s="178"/>
      <c r="HT50" s="178"/>
      <c r="HU50" s="178"/>
      <c r="HV50" s="178"/>
      <c r="HW50" s="178"/>
      <c r="HX50" s="178"/>
      <c r="HY50" s="178"/>
      <c r="HZ50" s="178"/>
      <c r="IA50" s="178"/>
      <c r="IB50" s="178"/>
      <c r="IC50" s="178"/>
      <c r="ID50" s="178"/>
      <c r="IE50" s="178"/>
      <c r="IF50" s="178"/>
      <c r="IG50" s="178"/>
      <c r="IH50" s="178"/>
      <c r="II50" s="178"/>
      <c r="IJ50" s="178"/>
      <c r="IK50" s="178"/>
      <c r="IL50" s="178"/>
      <c r="IM50" s="178"/>
      <c r="IN50" s="178"/>
      <c r="IO50" s="178"/>
      <c r="IP50" s="178"/>
      <c r="IQ50" s="178"/>
      <c r="IR50" s="178"/>
      <c r="IS50" s="178"/>
      <c r="IT50" s="178"/>
      <c r="IU50" s="178"/>
      <c r="IV50" s="178"/>
      <c r="IW50" s="178"/>
      <c r="IX50" s="178"/>
      <c r="IY50" s="178"/>
      <c r="IZ50" s="178"/>
      <c r="JA50" s="178"/>
      <c r="JB50" s="178"/>
      <c r="JC50" s="178"/>
      <c r="JD50" s="178"/>
      <c r="JE50" s="178"/>
      <c r="JF50" s="178"/>
      <c r="JG50" s="178"/>
      <c r="JH50" s="178"/>
      <c r="JI50" s="178"/>
      <c r="JJ50" s="178"/>
      <c r="JK50" s="178"/>
      <c r="JL50" s="178"/>
      <c r="JM50" s="178"/>
      <c r="JN50" s="178"/>
      <c r="JO50" s="178"/>
      <c r="JP50" s="178"/>
      <c r="JQ50" s="178"/>
      <c r="JR50" s="178"/>
      <c r="JS50" s="178"/>
      <c r="JT50" s="178"/>
      <c r="JU50" s="178"/>
      <c r="JV50" s="178"/>
      <c r="JW50" s="178"/>
      <c r="JX50" s="178"/>
      <c r="JY50" s="178"/>
      <c r="JZ50" s="178"/>
      <c r="KA50" s="178"/>
    </row>
    <row r="51" spans="1:287" s="360" customFormat="1" ht="52.5" hidden="1" customHeight="1">
      <c r="A51" s="222">
        <v>3</v>
      </c>
      <c r="B51" s="1601"/>
      <c r="C51" s="231" t="s">
        <v>848</v>
      </c>
      <c r="D51" s="378" t="s">
        <v>849</v>
      </c>
      <c r="E51" s="861">
        <f t="shared" si="50"/>
        <v>0</v>
      </c>
      <c r="F51" s="379">
        <v>0</v>
      </c>
      <c r="G51" s="379">
        <v>0</v>
      </c>
      <c r="H51" s="379">
        <v>0</v>
      </c>
      <c r="I51" s="379">
        <v>0</v>
      </c>
      <c r="J51" s="867">
        <f t="shared" si="51"/>
        <v>0</v>
      </c>
      <c r="K51" s="861">
        <f t="shared" si="52"/>
        <v>0</v>
      </c>
      <c r="L51" s="861">
        <f t="shared" si="53"/>
        <v>0</v>
      </c>
      <c r="M51" s="858">
        <f t="shared" si="54"/>
        <v>0</v>
      </c>
      <c r="N51" s="861">
        <f t="shared" si="55"/>
        <v>0</v>
      </c>
      <c r="O51" s="861">
        <f t="shared" si="56"/>
        <v>0</v>
      </c>
      <c r="P51" s="861">
        <f t="shared" si="57"/>
        <v>0</v>
      </c>
      <c r="Q51" s="861">
        <f t="shared" si="58"/>
        <v>0</v>
      </c>
      <c r="R51" s="861">
        <f t="shared" si="59"/>
        <v>0</v>
      </c>
      <c r="S51" s="861">
        <f t="shared" si="60"/>
        <v>0</v>
      </c>
      <c r="T51" s="861"/>
      <c r="U51" s="861"/>
      <c r="V51" s="390"/>
      <c r="W51" s="390"/>
      <c r="X51" s="390"/>
      <c r="Y51" s="390"/>
      <c r="Z51" s="390"/>
      <c r="AA51" s="390"/>
      <c r="AB51" s="390"/>
      <c r="AC51" s="390"/>
      <c r="AD51" s="390"/>
      <c r="AE51" s="390"/>
      <c r="AF51" s="390"/>
      <c r="AG51" s="390"/>
      <c r="AH51" s="390"/>
      <c r="AI51" s="390"/>
      <c r="AJ51" s="390"/>
      <c r="AK51" s="390"/>
      <c r="AL51" s="390"/>
      <c r="AM51" s="390"/>
      <c r="AN51" s="390"/>
      <c r="AO51" s="390"/>
      <c r="AP51" s="390"/>
      <c r="AQ51" s="390"/>
      <c r="AR51" s="390"/>
      <c r="AS51" s="390"/>
      <c r="AT51" s="390"/>
      <c r="AU51" s="390"/>
      <c r="AV51" s="390"/>
      <c r="AW51" s="390"/>
      <c r="AX51" s="390"/>
      <c r="AY51" s="390"/>
      <c r="AZ51" s="390"/>
      <c r="BA51" s="390"/>
      <c r="BB51" s="390"/>
      <c r="BC51" s="390"/>
      <c r="BD51" s="390"/>
      <c r="BE51" s="390"/>
      <c r="BF51" s="390"/>
      <c r="BG51" s="390"/>
      <c r="BH51" s="390"/>
      <c r="BI51" s="390"/>
      <c r="BJ51" s="390"/>
      <c r="BK51" s="390"/>
      <c r="BL51" s="390"/>
      <c r="BM51" s="390"/>
      <c r="BN51" s="390"/>
      <c r="BO51" s="390"/>
      <c r="BP51" s="390"/>
      <c r="BQ51" s="390"/>
      <c r="BR51" s="390"/>
      <c r="BS51" s="390"/>
      <c r="BT51" s="390"/>
      <c r="BU51" s="390"/>
      <c r="BV51" s="390"/>
      <c r="BW51" s="390"/>
      <c r="BX51" s="390"/>
      <c r="BY51" s="390"/>
      <c r="BZ51" s="390"/>
      <c r="CA51" s="390"/>
      <c r="CB51" s="390"/>
      <c r="CC51" s="390"/>
      <c r="CD51" s="390"/>
      <c r="CE51" s="390"/>
      <c r="CF51" s="390"/>
      <c r="CG51" s="390"/>
      <c r="CH51" s="390"/>
      <c r="CI51" s="390"/>
      <c r="CJ51" s="1041"/>
      <c r="CK51" s="390"/>
      <c r="CL51" s="390"/>
      <c r="CM51" s="390"/>
      <c r="CN51" s="390"/>
      <c r="CO51" s="390"/>
      <c r="CP51" s="390"/>
      <c r="CQ51" s="390"/>
      <c r="CR51" s="390"/>
      <c r="CS51" s="390"/>
      <c r="CT51" s="390"/>
      <c r="CU51" s="390"/>
      <c r="CV51" s="390"/>
      <c r="CW51" s="390"/>
      <c r="CX51" s="390"/>
      <c r="CY51" s="390"/>
      <c r="CZ51" s="390"/>
      <c r="DA51" s="390"/>
      <c r="DB51" s="390"/>
      <c r="DC51" s="390"/>
      <c r="DD51" s="390"/>
      <c r="DE51" s="390"/>
      <c r="DF51" s="390"/>
      <c r="DG51" s="390"/>
      <c r="DH51" s="390"/>
      <c r="DI51" s="390"/>
      <c r="DJ51" s="390"/>
      <c r="DK51" s="390"/>
      <c r="DL51" s="390"/>
      <c r="DM51" s="390"/>
      <c r="DN51" s="390"/>
      <c r="DO51" s="390"/>
      <c r="DP51" s="390"/>
      <c r="DQ51" s="390"/>
      <c r="DR51" s="390"/>
      <c r="DS51" s="390"/>
      <c r="DT51" s="390"/>
      <c r="DU51" s="390"/>
      <c r="DV51" s="390"/>
      <c r="DW51" s="390"/>
      <c r="DX51" s="390"/>
      <c r="DY51" s="390"/>
      <c r="DZ51" s="390"/>
      <c r="EA51" s="390"/>
      <c r="EB51" s="390"/>
      <c r="EC51" s="390"/>
      <c r="ED51" s="390"/>
      <c r="EE51" s="390"/>
      <c r="EF51" s="390"/>
      <c r="EG51" s="390"/>
      <c r="EH51" s="390"/>
      <c r="EI51" s="390"/>
      <c r="EJ51" s="390"/>
      <c r="EK51" s="390"/>
      <c r="EL51" s="390"/>
      <c r="EM51" s="390"/>
      <c r="EN51" s="390"/>
      <c r="EO51" s="390"/>
      <c r="EP51" s="390"/>
      <c r="EQ51" s="1041"/>
      <c r="ER51" s="390"/>
      <c r="ES51" s="390"/>
      <c r="ET51" s="390"/>
      <c r="EU51" s="738"/>
      <c r="EV51" s="738"/>
      <c r="EW51" s="738"/>
      <c r="EX51" s="738"/>
      <c r="EY51" s="738"/>
      <c r="EZ51" s="738"/>
      <c r="FA51" s="738"/>
      <c r="FB51" s="738"/>
      <c r="FC51" s="738"/>
      <c r="FD51" s="738"/>
      <c r="FE51" s="738"/>
      <c r="FF51" s="738"/>
      <c r="FG51" s="738"/>
      <c r="FH51" s="738"/>
      <c r="FI51" s="738"/>
      <c r="FJ51" s="738"/>
      <c r="FK51" s="738"/>
      <c r="FL51" s="738"/>
      <c r="FM51" s="738"/>
      <c r="FN51" s="738"/>
      <c r="FO51" s="738"/>
      <c r="FP51" s="738"/>
      <c r="FQ51" s="738"/>
      <c r="FR51" s="738"/>
      <c r="FS51" s="738"/>
      <c r="FT51" s="738"/>
      <c r="FU51" s="738"/>
      <c r="FV51" s="738"/>
      <c r="FW51" s="738"/>
      <c r="FX51" s="738"/>
      <c r="FY51" s="738"/>
      <c r="FZ51" s="738"/>
      <c r="GA51" s="738"/>
      <c r="GB51" s="738"/>
      <c r="GC51" s="738"/>
      <c r="GD51" s="738"/>
      <c r="GE51" s="738"/>
      <c r="GF51" s="738"/>
      <c r="GG51" s="738"/>
      <c r="GH51" s="738"/>
      <c r="GI51" s="738"/>
      <c r="GJ51" s="738"/>
      <c r="GK51" s="738"/>
      <c r="GL51" s="738"/>
      <c r="GM51" s="738"/>
      <c r="GN51" s="738"/>
      <c r="GO51" s="738"/>
      <c r="GP51" s="738"/>
      <c r="GQ51" s="738"/>
      <c r="GR51" s="390"/>
      <c r="GS51" s="390"/>
      <c r="GT51" s="390"/>
      <c r="GU51" s="390"/>
      <c r="GV51" s="390"/>
      <c r="GW51" s="398" t="s">
        <v>850</v>
      </c>
      <c r="GX51" s="1013"/>
      <c r="GY51" s="1013" t="s">
        <v>851</v>
      </c>
      <c r="GZ51" s="216"/>
      <c r="HA51" s="216"/>
      <c r="HB51" s="407" t="s">
        <v>852</v>
      </c>
      <c r="HC51" s="178"/>
      <c r="HD51" s="178"/>
      <c r="HE51" s="178"/>
      <c r="HF51" s="178"/>
      <c r="HG51" s="178"/>
      <c r="HH51" s="178"/>
      <c r="HI51" s="178"/>
      <c r="HJ51" s="178"/>
      <c r="HK51" s="178"/>
      <c r="HL51" s="178"/>
      <c r="HM51" s="178"/>
      <c r="HN51" s="178"/>
      <c r="HO51" s="178"/>
      <c r="HP51" s="178"/>
      <c r="HQ51" s="178"/>
      <c r="HR51" s="178"/>
      <c r="HS51" s="178"/>
      <c r="HT51" s="178"/>
      <c r="HU51" s="178"/>
      <c r="HV51" s="178"/>
      <c r="HW51" s="178"/>
      <c r="HX51" s="178"/>
      <c r="HY51" s="178"/>
      <c r="HZ51" s="178"/>
      <c r="IA51" s="178"/>
      <c r="IB51" s="178"/>
      <c r="IC51" s="178"/>
      <c r="ID51" s="178"/>
      <c r="IE51" s="178"/>
      <c r="IF51" s="178"/>
      <c r="IG51" s="178"/>
      <c r="IH51" s="178"/>
      <c r="II51" s="178"/>
      <c r="IJ51" s="178"/>
      <c r="IK51" s="178"/>
      <c r="IL51" s="178"/>
      <c r="IM51" s="178"/>
      <c r="IN51" s="178"/>
      <c r="IO51" s="178"/>
      <c r="IP51" s="178"/>
      <c r="IQ51" s="178"/>
      <c r="IR51" s="178"/>
      <c r="IS51" s="178"/>
      <c r="IT51" s="178"/>
      <c r="IU51" s="178"/>
      <c r="IV51" s="178"/>
      <c r="IW51" s="178"/>
      <c r="IX51" s="178"/>
      <c r="IY51" s="178"/>
      <c r="IZ51" s="178"/>
      <c r="JA51" s="178"/>
      <c r="JB51" s="178"/>
      <c r="JC51" s="178"/>
      <c r="JD51" s="178"/>
      <c r="JE51" s="178"/>
      <c r="JF51" s="178"/>
      <c r="JG51" s="178"/>
      <c r="JH51" s="178"/>
      <c r="JI51" s="178"/>
      <c r="JJ51" s="178"/>
      <c r="JK51" s="178"/>
      <c r="JL51" s="178"/>
      <c r="JM51" s="178"/>
      <c r="JN51" s="178"/>
      <c r="JO51" s="178"/>
      <c r="JP51" s="178"/>
      <c r="JQ51" s="178"/>
      <c r="JR51" s="178"/>
      <c r="JS51" s="178"/>
      <c r="JT51" s="178"/>
      <c r="JU51" s="178"/>
      <c r="JV51" s="178"/>
      <c r="JW51" s="178"/>
      <c r="JX51" s="178"/>
      <c r="JY51" s="178"/>
      <c r="JZ51" s="178"/>
      <c r="KA51" s="178"/>
    </row>
    <row r="52" spans="1:287" s="360" customFormat="1" ht="52.5" hidden="1" customHeight="1">
      <c r="A52" s="1011"/>
      <c r="B52" s="1601"/>
      <c r="C52" s="1316"/>
      <c r="D52" s="378" t="s">
        <v>1384</v>
      </c>
      <c r="E52" s="861">
        <f t="shared" si="50"/>
        <v>1</v>
      </c>
      <c r="F52" s="379"/>
      <c r="G52" s="379"/>
      <c r="H52" s="379"/>
      <c r="I52" s="379"/>
      <c r="J52" s="858">
        <v>0</v>
      </c>
      <c r="K52" s="858">
        <v>0</v>
      </c>
      <c r="L52" s="858">
        <v>0</v>
      </c>
      <c r="M52" s="858">
        <v>0</v>
      </c>
      <c r="N52" s="861">
        <f t="shared" si="55"/>
        <v>1</v>
      </c>
      <c r="O52" s="861">
        <f t="shared" si="56"/>
        <v>0</v>
      </c>
      <c r="P52" s="861">
        <f t="shared" si="57"/>
        <v>0</v>
      </c>
      <c r="Q52" s="861">
        <f t="shared" si="58"/>
        <v>0</v>
      </c>
      <c r="R52" s="861">
        <f t="shared" si="59"/>
        <v>0</v>
      </c>
      <c r="S52" s="861">
        <f t="shared" si="60"/>
        <v>0</v>
      </c>
      <c r="T52" s="861"/>
      <c r="U52" s="861"/>
      <c r="V52" s="390"/>
      <c r="W52" s="390"/>
      <c r="X52" s="390"/>
      <c r="Y52" s="390"/>
      <c r="Z52" s="390"/>
      <c r="AA52" s="390"/>
      <c r="AB52" s="390"/>
      <c r="AC52" s="390"/>
      <c r="AD52" s="390"/>
      <c r="AE52" s="390"/>
      <c r="AF52" s="390"/>
      <c r="AG52" s="390"/>
      <c r="AH52" s="390"/>
      <c r="AI52" s="390"/>
      <c r="AJ52" s="390"/>
      <c r="AK52" s="390"/>
      <c r="AL52" s="390"/>
      <c r="AM52" s="390"/>
      <c r="AN52" s="390"/>
      <c r="AO52" s="390"/>
      <c r="AP52" s="390"/>
      <c r="AQ52" s="390"/>
      <c r="AR52" s="390"/>
      <c r="AS52" s="390"/>
      <c r="AT52" s="390"/>
      <c r="AU52" s="390"/>
      <c r="AV52" s="390"/>
      <c r="AW52" s="390"/>
      <c r="AX52" s="390"/>
      <c r="AY52" s="390"/>
      <c r="AZ52" s="390"/>
      <c r="BA52" s="390"/>
      <c r="BB52" s="390"/>
      <c r="BC52" s="390"/>
      <c r="BD52" s="390"/>
      <c r="BE52" s="390"/>
      <c r="BF52" s="390"/>
      <c r="BG52" s="390"/>
      <c r="BH52" s="390"/>
      <c r="BI52" s="390"/>
      <c r="BJ52" s="390"/>
      <c r="BK52" s="390"/>
      <c r="BL52" s="390"/>
      <c r="BM52" s="390"/>
      <c r="BN52" s="390"/>
      <c r="BO52" s="390"/>
      <c r="BP52" s="390"/>
      <c r="BQ52" s="390"/>
      <c r="BR52" s="390"/>
      <c r="BS52" s="390"/>
      <c r="BT52" s="390"/>
      <c r="BU52" s="390"/>
      <c r="BV52" s="390"/>
      <c r="BW52" s="390"/>
      <c r="BX52" s="390"/>
      <c r="BY52" s="390"/>
      <c r="BZ52" s="390"/>
      <c r="CA52" s="390"/>
      <c r="CB52" s="390"/>
      <c r="CC52" s="390"/>
      <c r="CD52" s="390"/>
      <c r="CE52" s="390"/>
      <c r="CF52" s="390"/>
      <c r="CG52" s="390"/>
      <c r="CH52" s="390"/>
      <c r="CI52" s="390"/>
      <c r="CJ52" s="1041"/>
      <c r="CK52" s="390"/>
      <c r="CL52" s="390"/>
      <c r="CM52" s="390"/>
      <c r="CN52" s="390"/>
      <c r="CO52" s="390"/>
      <c r="CP52" s="390"/>
      <c r="CQ52" s="390"/>
      <c r="CR52" s="390"/>
      <c r="CS52" s="390"/>
      <c r="CT52" s="390"/>
      <c r="CU52" s="390"/>
      <c r="CV52" s="390"/>
      <c r="CW52" s="390"/>
      <c r="CX52" s="390"/>
      <c r="CY52" s="390"/>
      <c r="CZ52" s="390"/>
      <c r="DA52" s="390"/>
      <c r="DB52" s="390"/>
      <c r="DC52" s="390"/>
      <c r="DD52" s="390"/>
      <c r="DE52" s="390"/>
      <c r="DF52" s="390"/>
      <c r="DG52" s="390"/>
      <c r="DH52" s="390"/>
      <c r="DI52" s="390"/>
      <c r="DJ52" s="390"/>
      <c r="DK52" s="390"/>
      <c r="DL52" s="390"/>
      <c r="DM52" s="390"/>
      <c r="DN52" s="390"/>
      <c r="DO52" s="390"/>
      <c r="DP52" s="390"/>
      <c r="DQ52" s="390"/>
      <c r="DR52" s="390"/>
      <c r="DS52" s="390"/>
      <c r="DT52" s="390"/>
      <c r="DU52" s="390"/>
      <c r="DV52" s="390"/>
      <c r="DW52" s="390"/>
      <c r="DX52" s="390"/>
      <c r="DY52" s="390"/>
      <c r="DZ52" s="390"/>
      <c r="EA52" s="390"/>
      <c r="EB52" s="390"/>
      <c r="EC52" s="390"/>
      <c r="ED52" s="390"/>
      <c r="EE52" s="390"/>
      <c r="EF52" s="390"/>
      <c r="EG52" s="390"/>
      <c r="EH52" s="390"/>
      <c r="EI52" s="390"/>
      <c r="EJ52" s="390"/>
      <c r="EK52" s="390"/>
      <c r="EL52" s="390"/>
      <c r="EM52" s="390"/>
      <c r="EN52" s="390"/>
      <c r="EO52" s="390"/>
      <c r="EP52" s="390"/>
      <c r="EQ52" s="1041"/>
      <c r="ER52" s="390"/>
      <c r="ES52" s="390"/>
      <c r="ET52" s="390"/>
      <c r="EU52" s="738"/>
      <c r="EV52" s="738"/>
      <c r="EW52" s="738">
        <v>1</v>
      </c>
      <c r="EX52" s="738"/>
      <c r="EY52" s="738"/>
      <c r="EZ52" s="738"/>
      <c r="FA52" s="738"/>
      <c r="FB52" s="738"/>
      <c r="FC52" s="738"/>
      <c r="FD52" s="738"/>
      <c r="FE52" s="738"/>
      <c r="FF52" s="738"/>
      <c r="FG52" s="738"/>
      <c r="FH52" s="738"/>
      <c r="FI52" s="738"/>
      <c r="FJ52" s="738"/>
      <c r="FK52" s="738"/>
      <c r="FL52" s="738"/>
      <c r="FM52" s="738"/>
      <c r="FN52" s="738"/>
      <c r="FO52" s="738"/>
      <c r="FP52" s="738"/>
      <c r="FQ52" s="738"/>
      <c r="FR52" s="738"/>
      <c r="FS52" s="738"/>
      <c r="FT52" s="738"/>
      <c r="FU52" s="738"/>
      <c r="FV52" s="738"/>
      <c r="FW52" s="738"/>
      <c r="FX52" s="738"/>
      <c r="FY52" s="738"/>
      <c r="FZ52" s="738"/>
      <c r="GA52" s="738"/>
      <c r="GB52" s="738"/>
      <c r="GC52" s="738"/>
      <c r="GD52" s="738"/>
      <c r="GE52" s="738"/>
      <c r="GF52" s="738"/>
      <c r="GG52" s="738"/>
      <c r="GH52" s="738"/>
      <c r="GI52" s="738"/>
      <c r="GJ52" s="738"/>
      <c r="GK52" s="738"/>
      <c r="GL52" s="738"/>
      <c r="GM52" s="738"/>
      <c r="GN52" s="738"/>
      <c r="GO52" s="738"/>
      <c r="GP52" s="738"/>
      <c r="GQ52" s="738"/>
      <c r="GR52" s="390"/>
      <c r="GS52" s="390"/>
      <c r="GT52" s="390"/>
      <c r="GU52" s="390"/>
      <c r="GV52" s="390"/>
      <c r="GW52" s="398"/>
      <c r="GX52" s="1325"/>
      <c r="GY52" s="1325"/>
      <c r="GZ52" s="1317"/>
      <c r="HA52" s="1317"/>
      <c r="HB52" s="407"/>
      <c r="HC52" s="178"/>
      <c r="HD52" s="178"/>
      <c r="HE52" s="178"/>
      <c r="HF52" s="178"/>
      <c r="HG52" s="178"/>
      <c r="HH52" s="178"/>
      <c r="HI52" s="178"/>
      <c r="HJ52" s="178"/>
      <c r="HK52" s="178"/>
      <c r="HL52" s="178"/>
      <c r="HM52" s="178"/>
      <c r="HN52" s="178"/>
      <c r="HO52" s="178"/>
      <c r="HP52" s="178"/>
      <c r="HQ52" s="178"/>
      <c r="HR52" s="178"/>
      <c r="HS52" s="178"/>
      <c r="HT52" s="178"/>
      <c r="HU52" s="178"/>
      <c r="HV52" s="178"/>
      <c r="HW52" s="178"/>
      <c r="HX52" s="178"/>
      <c r="HY52" s="178"/>
      <c r="HZ52" s="178"/>
      <c r="IA52" s="178"/>
      <c r="IB52" s="178"/>
      <c r="IC52" s="178"/>
      <c r="ID52" s="178"/>
      <c r="IE52" s="178"/>
      <c r="IF52" s="178"/>
      <c r="IG52" s="178"/>
      <c r="IH52" s="178"/>
      <c r="II52" s="178"/>
      <c r="IJ52" s="178"/>
      <c r="IK52" s="178"/>
      <c r="IL52" s="178"/>
      <c r="IM52" s="178"/>
      <c r="IN52" s="178"/>
      <c r="IO52" s="178"/>
      <c r="IP52" s="178"/>
      <c r="IQ52" s="178"/>
      <c r="IR52" s="178"/>
      <c r="IS52" s="178"/>
      <c r="IT52" s="178"/>
      <c r="IU52" s="178"/>
      <c r="IV52" s="178"/>
      <c r="IW52" s="178"/>
      <c r="IX52" s="178"/>
      <c r="IY52" s="178"/>
      <c r="IZ52" s="178"/>
      <c r="JA52" s="178"/>
      <c r="JB52" s="178"/>
      <c r="JC52" s="178"/>
      <c r="JD52" s="178"/>
      <c r="JE52" s="178"/>
      <c r="JF52" s="178"/>
      <c r="JG52" s="178"/>
      <c r="JH52" s="178"/>
      <c r="JI52" s="178"/>
      <c r="JJ52" s="178"/>
      <c r="JK52" s="178"/>
      <c r="JL52" s="178"/>
      <c r="JM52" s="178"/>
      <c r="JN52" s="178"/>
      <c r="JO52" s="178"/>
      <c r="JP52" s="178"/>
      <c r="JQ52" s="178"/>
      <c r="JR52" s="178"/>
      <c r="JS52" s="178"/>
      <c r="JT52" s="178"/>
      <c r="JU52" s="178"/>
      <c r="JV52" s="178"/>
      <c r="JW52" s="178"/>
      <c r="JX52" s="178"/>
      <c r="JY52" s="178"/>
      <c r="JZ52" s="178"/>
      <c r="KA52" s="178"/>
    </row>
    <row r="53" spans="1:287" s="360" customFormat="1" ht="52.5" hidden="1" customHeight="1">
      <c r="A53" s="217">
        <v>4</v>
      </c>
      <c r="B53" s="1601"/>
      <c r="C53" s="212" t="s">
        <v>843</v>
      </c>
      <c r="D53" s="375" t="s">
        <v>1400</v>
      </c>
      <c r="E53" s="861">
        <f t="shared" si="50"/>
        <v>1</v>
      </c>
      <c r="F53" s="377">
        <v>0</v>
      </c>
      <c r="G53" s="377">
        <v>0</v>
      </c>
      <c r="H53" s="377">
        <v>0</v>
      </c>
      <c r="I53" s="377">
        <v>0</v>
      </c>
      <c r="J53" s="858">
        <f t="shared" si="51"/>
        <v>0</v>
      </c>
      <c r="K53" s="861">
        <f t="shared" si="52"/>
        <v>0</v>
      </c>
      <c r="L53" s="861">
        <f t="shared" si="53"/>
        <v>0</v>
      </c>
      <c r="M53" s="858">
        <f t="shared" si="54"/>
        <v>0</v>
      </c>
      <c r="N53" s="861">
        <f t="shared" si="55"/>
        <v>0</v>
      </c>
      <c r="O53" s="861">
        <f t="shared" si="56"/>
        <v>1</v>
      </c>
      <c r="P53" s="861">
        <f t="shared" si="57"/>
        <v>0</v>
      </c>
      <c r="Q53" s="861">
        <f t="shared" si="58"/>
        <v>0</v>
      </c>
      <c r="R53" s="861">
        <f t="shared" si="59"/>
        <v>0</v>
      </c>
      <c r="S53" s="861">
        <f t="shared" si="60"/>
        <v>0</v>
      </c>
      <c r="T53" s="861"/>
      <c r="U53" s="861"/>
      <c r="V53" s="331"/>
      <c r="W53" s="331"/>
      <c r="X53" s="331"/>
      <c r="Y53" s="331"/>
      <c r="Z53" s="331"/>
      <c r="AA53" s="331"/>
      <c r="AB53" s="331"/>
      <c r="AC53" s="331"/>
      <c r="AD53" s="331"/>
      <c r="AE53" s="769"/>
      <c r="AF53" s="769"/>
      <c r="AG53" s="769"/>
      <c r="AH53" s="769"/>
      <c r="AI53" s="769"/>
      <c r="AJ53" s="769"/>
      <c r="AK53" s="769"/>
      <c r="AL53" s="769"/>
      <c r="AM53" s="769"/>
      <c r="AN53" s="769"/>
      <c r="AO53" s="769"/>
      <c r="AP53" s="769"/>
      <c r="AQ53" s="769"/>
      <c r="AR53" s="769"/>
      <c r="AS53" s="769"/>
      <c r="AT53" s="769"/>
      <c r="AU53" s="769"/>
      <c r="AV53" s="769"/>
      <c r="AW53" s="769"/>
      <c r="AX53" s="769"/>
      <c r="AY53" s="769"/>
      <c r="AZ53" s="769"/>
      <c r="BA53" s="769"/>
      <c r="BB53" s="769"/>
      <c r="BC53" s="769"/>
      <c r="BD53" s="331"/>
      <c r="BE53" s="331"/>
      <c r="BF53" s="769"/>
      <c r="BG53" s="331"/>
      <c r="BH53" s="331"/>
      <c r="BI53" s="769"/>
      <c r="BJ53" s="769"/>
      <c r="BK53" s="769"/>
      <c r="BL53" s="769"/>
      <c r="BM53" s="769"/>
      <c r="BN53" s="331"/>
      <c r="BO53" s="331"/>
      <c r="BP53" s="331"/>
      <c r="BQ53" s="331"/>
      <c r="BR53" s="769"/>
      <c r="BS53" s="769"/>
      <c r="BT53" s="769"/>
      <c r="BU53" s="769"/>
      <c r="BV53" s="769"/>
      <c r="BW53" s="769"/>
      <c r="BX53" s="769"/>
      <c r="BY53" s="769"/>
      <c r="BZ53" s="769"/>
      <c r="CA53" s="769"/>
      <c r="CB53" s="331"/>
      <c r="CC53" s="769"/>
      <c r="CD53" s="769"/>
      <c r="CE53" s="769"/>
      <c r="CF53" s="331"/>
      <c r="CG53" s="331"/>
      <c r="CH53" s="769"/>
      <c r="CI53" s="331"/>
      <c r="CJ53" s="738"/>
      <c r="CK53" s="769"/>
      <c r="CL53" s="331"/>
      <c r="CM53" s="331"/>
      <c r="CN53" s="331"/>
      <c r="CO53" s="769"/>
      <c r="CP53" s="331"/>
      <c r="CQ53" s="769"/>
      <c r="CR53" s="769"/>
      <c r="CS53" s="769"/>
      <c r="CT53" s="769"/>
      <c r="CU53" s="769"/>
      <c r="CV53" s="769"/>
      <c r="CW53" s="769"/>
      <c r="CX53" s="769"/>
      <c r="CY53" s="769"/>
      <c r="CZ53" s="769"/>
      <c r="DA53" s="769"/>
      <c r="DB53" s="331"/>
      <c r="DC53" s="331"/>
      <c r="DD53" s="331"/>
      <c r="DE53" s="769"/>
      <c r="DF53" s="769"/>
      <c r="DG53" s="331"/>
      <c r="DH53" s="769"/>
      <c r="DI53" s="769"/>
      <c r="DJ53" s="331"/>
      <c r="DK53" s="331"/>
      <c r="DL53" s="769"/>
      <c r="DM53" s="769"/>
      <c r="DN53" s="331"/>
      <c r="DO53" s="331"/>
      <c r="DP53" s="331"/>
      <c r="DQ53" s="769"/>
      <c r="DR53" s="331"/>
      <c r="DS53" s="769"/>
      <c r="DT53" s="769"/>
      <c r="DU53" s="769"/>
      <c r="DV53" s="331"/>
      <c r="DW53" s="331"/>
      <c r="DX53" s="331"/>
      <c r="DY53" s="331"/>
      <c r="DZ53" s="769"/>
      <c r="EA53" s="769"/>
      <c r="EB53" s="331"/>
      <c r="EC53" s="331"/>
      <c r="ED53" s="331"/>
      <c r="EE53" s="331"/>
      <c r="EF53" s="331"/>
      <c r="EG53" s="769"/>
      <c r="EH53" s="769"/>
      <c r="EI53" s="769"/>
      <c r="EJ53" s="331"/>
      <c r="EK53" s="331"/>
      <c r="EL53" s="769"/>
      <c r="EM53" s="769"/>
      <c r="EN53" s="769"/>
      <c r="EO53" s="769"/>
      <c r="EP53" s="769"/>
      <c r="EQ53" s="738"/>
      <c r="ER53" s="331"/>
      <c r="ES53" s="331"/>
      <c r="ET53" s="331"/>
      <c r="EU53" s="769"/>
      <c r="EV53" s="769"/>
      <c r="EW53" s="331"/>
      <c r="EX53" s="331"/>
      <c r="EY53" s="331"/>
      <c r="EZ53" s="331"/>
      <c r="FA53" s="769"/>
      <c r="FB53" s="769"/>
      <c r="FC53" s="769"/>
      <c r="FD53" s="331"/>
      <c r="FE53" s="331"/>
      <c r="FF53" s="331">
        <v>1</v>
      </c>
      <c r="FG53" s="331"/>
      <c r="FH53" s="331"/>
      <c r="FI53" s="769"/>
      <c r="FJ53" s="769"/>
      <c r="FK53" s="769"/>
      <c r="FL53" s="331"/>
      <c r="FM53" s="331"/>
      <c r="FN53" s="769"/>
      <c r="FO53" s="331"/>
      <c r="FP53" s="769"/>
      <c r="FQ53" s="769"/>
      <c r="FR53" s="769"/>
      <c r="FS53" s="331"/>
      <c r="FT53" s="331"/>
      <c r="FU53" s="769"/>
      <c r="FV53" s="331"/>
      <c r="FW53" s="769"/>
      <c r="FX53" s="331"/>
      <c r="FY53" s="769"/>
      <c r="FZ53" s="769"/>
      <c r="GA53" s="769"/>
      <c r="GB53" s="769"/>
      <c r="GC53" s="769"/>
      <c r="GD53" s="769"/>
      <c r="GE53" s="769"/>
      <c r="GF53" s="331"/>
      <c r="GG53" s="769"/>
      <c r="GH53" s="331"/>
      <c r="GI53" s="769"/>
      <c r="GJ53" s="331"/>
      <c r="GK53" s="769"/>
      <c r="GL53" s="769"/>
      <c r="GM53" s="769"/>
      <c r="GN53" s="769"/>
      <c r="GO53" s="331"/>
      <c r="GP53" s="331"/>
      <c r="GQ53" s="331"/>
      <c r="GR53" s="331"/>
      <c r="GS53" s="331"/>
      <c r="GT53" s="331"/>
      <c r="GU53" s="331"/>
      <c r="GV53" s="331"/>
      <c r="GW53" s="399" t="s">
        <v>853</v>
      </c>
      <c r="GX53" s="269"/>
      <c r="GY53" s="269"/>
      <c r="GZ53" s="224"/>
      <c r="HA53" s="224"/>
      <c r="HB53" s="408" t="s">
        <v>854</v>
      </c>
      <c r="HC53" s="178"/>
      <c r="HD53" s="178"/>
      <c r="HE53" s="178"/>
      <c r="HF53" s="178"/>
      <c r="HG53" s="178"/>
      <c r="HH53" s="178"/>
      <c r="HI53" s="178"/>
      <c r="HJ53" s="178"/>
      <c r="HK53" s="178"/>
      <c r="HL53" s="178"/>
      <c r="HM53" s="178"/>
      <c r="HN53" s="178"/>
      <c r="HO53" s="178"/>
      <c r="HP53" s="178"/>
      <c r="HQ53" s="178"/>
      <c r="HR53" s="178"/>
      <c r="HS53" s="178"/>
      <c r="HT53" s="178"/>
      <c r="HU53" s="178"/>
      <c r="HV53" s="178"/>
      <c r="HW53" s="178"/>
      <c r="HX53" s="178"/>
      <c r="HY53" s="178"/>
      <c r="HZ53" s="178"/>
      <c r="IA53" s="178"/>
      <c r="IB53" s="178"/>
      <c r="IC53" s="178"/>
      <c r="ID53" s="178"/>
      <c r="IE53" s="178"/>
      <c r="IF53" s="178"/>
      <c r="IG53" s="178"/>
      <c r="IH53" s="178"/>
      <c r="II53" s="178"/>
      <c r="IJ53" s="178"/>
      <c r="IK53" s="178"/>
      <c r="IL53" s="178"/>
      <c r="IM53" s="178"/>
      <c r="IN53" s="178"/>
      <c r="IO53" s="178"/>
      <c r="IP53" s="178"/>
      <c r="IQ53" s="178"/>
      <c r="IR53" s="178"/>
      <c r="IS53" s="178"/>
      <c r="IT53" s="178"/>
      <c r="IU53" s="178"/>
      <c r="IV53" s="178"/>
      <c r="IW53" s="178"/>
      <c r="IX53" s="178"/>
      <c r="IY53" s="178"/>
      <c r="IZ53" s="178"/>
      <c r="JA53" s="178"/>
      <c r="JB53" s="178"/>
      <c r="JC53" s="178"/>
      <c r="JD53" s="178"/>
      <c r="JE53" s="178"/>
      <c r="JF53" s="178"/>
      <c r="JG53" s="178"/>
      <c r="JH53" s="178"/>
      <c r="JI53" s="178"/>
      <c r="JJ53" s="178"/>
      <c r="JK53" s="178"/>
      <c r="JL53" s="178"/>
      <c r="JM53" s="178"/>
      <c r="JN53" s="178"/>
      <c r="JO53" s="178"/>
      <c r="JP53" s="178"/>
      <c r="JQ53" s="178"/>
      <c r="JR53" s="178"/>
      <c r="JS53" s="178"/>
      <c r="JT53" s="178"/>
      <c r="JU53" s="178"/>
      <c r="JV53" s="178"/>
      <c r="JW53" s="178"/>
      <c r="JX53" s="178"/>
      <c r="JY53" s="178"/>
      <c r="JZ53" s="178"/>
      <c r="KA53" s="178"/>
    </row>
    <row r="54" spans="1:287" s="360" customFormat="1" ht="52.5" hidden="1" customHeight="1">
      <c r="A54" s="818"/>
      <c r="B54" s="1601"/>
      <c r="C54" s="818" t="s">
        <v>848</v>
      </c>
      <c r="D54" s="1045" t="s">
        <v>855</v>
      </c>
      <c r="E54" s="861">
        <f t="shared" si="50"/>
        <v>0</v>
      </c>
      <c r="F54" s="377">
        <v>0</v>
      </c>
      <c r="G54" s="377">
        <v>0</v>
      </c>
      <c r="H54" s="377">
        <v>0</v>
      </c>
      <c r="I54" s="377">
        <v>0</v>
      </c>
      <c r="J54" s="858">
        <f t="shared" si="51"/>
        <v>0</v>
      </c>
      <c r="K54" s="861">
        <f t="shared" si="52"/>
        <v>0</v>
      </c>
      <c r="L54" s="861">
        <f t="shared" si="53"/>
        <v>0</v>
      </c>
      <c r="M54" s="861">
        <f t="shared" si="54"/>
        <v>0</v>
      </c>
      <c r="N54" s="861">
        <f t="shared" si="55"/>
        <v>0</v>
      </c>
      <c r="O54" s="861">
        <f t="shared" si="56"/>
        <v>0</v>
      </c>
      <c r="P54" s="861">
        <f t="shared" si="57"/>
        <v>0</v>
      </c>
      <c r="Q54" s="861">
        <f t="shared" si="58"/>
        <v>0</v>
      </c>
      <c r="R54" s="861">
        <f t="shared" si="59"/>
        <v>0</v>
      </c>
      <c r="S54" s="861">
        <f t="shared" si="60"/>
        <v>0</v>
      </c>
      <c r="T54" s="861"/>
      <c r="U54" s="861"/>
      <c r="V54" s="331"/>
      <c r="W54" s="331"/>
      <c r="X54" s="331"/>
      <c r="Y54" s="331"/>
      <c r="Z54" s="331"/>
      <c r="AA54" s="331"/>
      <c r="AB54" s="331"/>
      <c r="AC54" s="331"/>
      <c r="AD54" s="331"/>
      <c r="AE54" s="769"/>
      <c r="AF54" s="769"/>
      <c r="AG54" s="769"/>
      <c r="AH54" s="769"/>
      <c r="AI54" s="769"/>
      <c r="AJ54" s="769"/>
      <c r="AK54" s="769"/>
      <c r="AL54" s="769"/>
      <c r="AM54" s="769"/>
      <c r="AN54" s="769"/>
      <c r="AO54" s="769"/>
      <c r="AP54" s="769"/>
      <c r="AQ54" s="769"/>
      <c r="AR54" s="769"/>
      <c r="AS54" s="769"/>
      <c r="AT54" s="769"/>
      <c r="AU54" s="769"/>
      <c r="AV54" s="769"/>
      <c r="AW54" s="769"/>
      <c r="AX54" s="769"/>
      <c r="AY54" s="769"/>
      <c r="AZ54" s="769"/>
      <c r="BA54" s="769"/>
      <c r="BB54" s="769"/>
      <c r="BC54" s="769"/>
      <c r="BD54" s="331"/>
      <c r="BE54" s="331"/>
      <c r="BF54" s="769"/>
      <c r="BG54" s="331"/>
      <c r="BH54" s="331"/>
      <c r="BI54" s="769"/>
      <c r="BJ54" s="769"/>
      <c r="BK54" s="769"/>
      <c r="BL54" s="769"/>
      <c r="BM54" s="769"/>
      <c r="BN54" s="331"/>
      <c r="BO54" s="331"/>
      <c r="BP54" s="331"/>
      <c r="BQ54" s="331"/>
      <c r="BR54" s="769"/>
      <c r="BS54" s="769"/>
      <c r="BT54" s="769"/>
      <c r="BU54" s="769"/>
      <c r="BV54" s="769"/>
      <c r="BW54" s="769"/>
      <c r="BX54" s="769"/>
      <c r="BY54" s="769"/>
      <c r="BZ54" s="769"/>
      <c r="CA54" s="769"/>
      <c r="CB54" s="331"/>
      <c r="CC54" s="769"/>
      <c r="CD54" s="769"/>
      <c r="CE54" s="769"/>
      <c r="CF54" s="331"/>
      <c r="CG54" s="331"/>
      <c r="CH54" s="769"/>
      <c r="CI54" s="331"/>
      <c r="CJ54" s="738"/>
      <c r="CK54" s="769"/>
      <c r="CL54" s="331"/>
      <c r="CM54" s="331"/>
      <c r="CN54" s="331"/>
      <c r="CO54" s="769"/>
      <c r="CP54" s="331"/>
      <c r="CQ54" s="769"/>
      <c r="CR54" s="769"/>
      <c r="CS54" s="769"/>
      <c r="CT54" s="769"/>
      <c r="CU54" s="769"/>
      <c r="CV54" s="769"/>
      <c r="CW54" s="769"/>
      <c r="CX54" s="769"/>
      <c r="CY54" s="769"/>
      <c r="CZ54" s="769"/>
      <c r="DA54" s="769"/>
      <c r="DB54" s="331"/>
      <c r="DC54" s="331"/>
      <c r="DD54" s="331"/>
      <c r="DE54" s="769"/>
      <c r="DF54" s="769"/>
      <c r="DG54" s="331"/>
      <c r="DH54" s="769"/>
      <c r="DI54" s="769"/>
      <c r="DJ54" s="331"/>
      <c r="DK54" s="331"/>
      <c r="DL54" s="769"/>
      <c r="DM54" s="769"/>
      <c r="DN54" s="331"/>
      <c r="DO54" s="331"/>
      <c r="DP54" s="331"/>
      <c r="DQ54" s="769"/>
      <c r="DR54" s="331"/>
      <c r="DS54" s="769"/>
      <c r="DT54" s="769"/>
      <c r="DU54" s="769"/>
      <c r="DV54" s="331"/>
      <c r="DW54" s="331"/>
      <c r="DX54" s="331"/>
      <c r="DY54" s="331"/>
      <c r="DZ54" s="769"/>
      <c r="EA54" s="769"/>
      <c r="EB54" s="331"/>
      <c r="EC54" s="331"/>
      <c r="ED54" s="331"/>
      <c r="EE54" s="331"/>
      <c r="EF54" s="331"/>
      <c r="EG54" s="769"/>
      <c r="EH54" s="769"/>
      <c r="EI54" s="769"/>
      <c r="EJ54" s="331"/>
      <c r="EK54" s="331"/>
      <c r="EL54" s="769"/>
      <c r="EM54" s="769"/>
      <c r="EN54" s="769"/>
      <c r="EO54" s="769"/>
      <c r="EP54" s="769"/>
      <c r="EQ54" s="738"/>
      <c r="ER54" s="331"/>
      <c r="ES54" s="331"/>
      <c r="ET54" s="331"/>
      <c r="EU54" s="769"/>
      <c r="EV54" s="769"/>
      <c r="EW54" s="331"/>
      <c r="EX54" s="331"/>
      <c r="EY54" s="331"/>
      <c r="EZ54" s="331"/>
      <c r="FA54" s="769"/>
      <c r="FB54" s="769"/>
      <c r="FC54" s="769"/>
      <c r="FD54" s="331"/>
      <c r="FE54" s="331"/>
      <c r="FF54" s="331"/>
      <c r="FG54" s="331"/>
      <c r="FH54" s="331"/>
      <c r="FI54" s="769"/>
      <c r="FJ54" s="769"/>
      <c r="FK54" s="769"/>
      <c r="FL54" s="331"/>
      <c r="FM54" s="331"/>
      <c r="FN54" s="769"/>
      <c r="FO54" s="331"/>
      <c r="FP54" s="769"/>
      <c r="FQ54" s="769"/>
      <c r="FR54" s="769"/>
      <c r="FS54" s="331"/>
      <c r="FT54" s="331"/>
      <c r="FU54" s="769"/>
      <c r="FV54" s="331"/>
      <c r="FW54" s="769"/>
      <c r="FX54" s="331"/>
      <c r="FY54" s="769"/>
      <c r="FZ54" s="769"/>
      <c r="GA54" s="769"/>
      <c r="GB54" s="769"/>
      <c r="GC54" s="769"/>
      <c r="GD54" s="769"/>
      <c r="GE54" s="769"/>
      <c r="GF54" s="331"/>
      <c r="GG54" s="769"/>
      <c r="GH54" s="331"/>
      <c r="GI54" s="769"/>
      <c r="GJ54" s="331"/>
      <c r="GK54" s="769"/>
      <c r="GL54" s="769"/>
      <c r="GM54" s="769"/>
      <c r="GN54" s="769"/>
      <c r="GO54" s="769"/>
      <c r="GP54" s="769"/>
      <c r="GQ54" s="769"/>
      <c r="GR54" s="331"/>
      <c r="GS54" s="331"/>
      <c r="GT54" s="331"/>
      <c r="GU54" s="331"/>
      <c r="GV54" s="331"/>
      <c r="GW54" s="397" t="s">
        <v>856</v>
      </c>
      <c r="GX54" s="870"/>
      <c r="GY54" s="870"/>
      <c r="GZ54" s="1506"/>
      <c r="HA54" s="1506"/>
      <c r="HB54" s="1175"/>
      <c r="HC54" s="178"/>
      <c r="HD54" s="178"/>
      <c r="HE54" s="178"/>
      <c r="HF54" s="178"/>
      <c r="HG54" s="178"/>
      <c r="HH54" s="178"/>
      <c r="HI54" s="178"/>
      <c r="HJ54" s="178"/>
      <c r="HK54" s="178"/>
      <c r="HL54" s="178"/>
      <c r="HM54" s="178"/>
      <c r="HN54" s="178"/>
      <c r="HO54" s="178"/>
      <c r="HP54" s="178"/>
      <c r="HQ54" s="178"/>
      <c r="HR54" s="178"/>
      <c r="HS54" s="178"/>
      <c r="HT54" s="178"/>
      <c r="HU54" s="178"/>
      <c r="HV54" s="178"/>
      <c r="HW54" s="178"/>
      <c r="HX54" s="178"/>
      <c r="HY54" s="178"/>
      <c r="HZ54" s="178"/>
      <c r="IA54" s="178"/>
      <c r="IB54" s="178"/>
      <c r="IC54" s="178"/>
      <c r="ID54" s="178"/>
      <c r="IE54" s="178"/>
      <c r="IF54" s="178"/>
      <c r="IG54" s="178"/>
      <c r="IH54" s="178"/>
      <c r="II54" s="178"/>
      <c r="IJ54" s="178"/>
      <c r="IK54" s="178"/>
      <c r="IL54" s="178"/>
      <c r="IM54" s="178"/>
      <c r="IN54" s="178"/>
      <c r="IO54" s="178"/>
      <c r="IP54" s="178"/>
      <c r="IQ54" s="178"/>
      <c r="IR54" s="178"/>
      <c r="IS54" s="178"/>
      <c r="IT54" s="178"/>
      <c r="IU54" s="178"/>
      <c r="IV54" s="178"/>
      <c r="IW54" s="178"/>
      <c r="IX54" s="178"/>
      <c r="IY54" s="178"/>
      <c r="IZ54" s="178"/>
      <c r="JA54" s="178"/>
      <c r="JB54" s="178"/>
      <c r="JC54" s="178"/>
      <c r="JD54" s="178"/>
      <c r="JE54" s="178"/>
      <c r="JF54" s="178"/>
      <c r="JG54" s="178"/>
      <c r="JH54" s="178"/>
      <c r="JI54" s="178"/>
      <c r="JJ54" s="178"/>
      <c r="JK54" s="178"/>
      <c r="JL54" s="178"/>
      <c r="JM54" s="178"/>
      <c r="JN54" s="178"/>
      <c r="JO54" s="178"/>
      <c r="JP54" s="178"/>
      <c r="JQ54" s="178"/>
      <c r="JR54" s="178"/>
      <c r="JS54" s="178"/>
      <c r="JT54" s="178"/>
      <c r="JU54" s="178"/>
      <c r="JV54" s="178"/>
      <c r="JW54" s="178"/>
      <c r="JX54" s="178"/>
      <c r="JY54" s="178"/>
      <c r="JZ54" s="178"/>
      <c r="KA54" s="178"/>
    </row>
    <row r="55" spans="1:287" s="360" customFormat="1" ht="52.5" hidden="1" customHeight="1">
      <c r="A55" s="1505"/>
      <c r="B55" s="1601"/>
      <c r="C55" s="1505" t="s">
        <v>1415</v>
      </c>
      <c r="D55" s="409" t="s">
        <v>1416</v>
      </c>
      <c r="E55" s="379">
        <f t="shared" si="50"/>
        <v>3</v>
      </c>
      <c r="F55" s="861"/>
      <c r="G55" s="861"/>
      <c r="H55" s="861"/>
      <c r="I55" s="861"/>
      <c r="J55" s="858">
        <f t="shared" si="51"/>
        <v>0</v>
      </c>
      <c r="K55" s="861">
        <f t="shared" si="52"/>
        <v>0</v>
      </c>
      <c r="L55" s="379">
        <f t="shared" si="53"/>
        <v>0</v>
      </c>
      <c r="M55" s="1012">
        <f t="shared" si="54"/>
        <v>0</v>
      </c>
      <c r="N55" s="379">
        <v>0</v>
      </c>
      <c r="O55" s="379">
        <f t="shared" si="56"/>
        <v>3</v>
      </c>
      <c r="P55" s="379">
        <f t="shared" si="57"/>
        <v>0</v>
      </c>
      <c r="Q55" s="379">
        <f t="shared" si="58"/>
        <v>1</v>
      </c>
      <c r="R55" s="379">
        <f t="shared" si="59"/>
        <v>0</v>
      </c>
      <c r="S55" s="379">
        <f t="shared" si="60"/>
        <v>0</v>
      </c>
      <c r="T55" s="379"/>
      <c r="U55" s="379"/>
      <c r="V55" s="769"/>
      <c r="W55" s="769"/>
      <c r="X55" s="769"/>
      <c r="Y55" s="769"/>
      <c r="Z55" s="769"/>
      <c r="AA55" s="769"/>
      <c r="AB55" s="769"/>
      <c r="AC55" s="769"/>
      <c r="AD55" s="769"/>
      <c r="AE55" s="769"/>
      <c r="AF55" s="769"/>
      <c r="AG55" s="769"/>
      <c r="AH55" s="769"/>
      <c r="AI55" s="769"/>
      <c r="AJ55" s="769"/>
      <c r="AK55" s="769"/>
      <c r="AL55" s="769"/>
      <c r="AM55" s="769"/>
      <c r="AN55" s="769"/>
      <c r="AO55" s="769"/>
      <c r="AP55" s="769"/>
      <c r="AQ55" s="769"/>
      <c r="AR55" s="769"/>
      <c r="AS55" s="769"/>
      <c r="AT55" s="769"/>
      <c r="AU55" s="769"/>
      <c r="AV55" s="769"/>
      <c r="AW55" s="769"/>
      <c r="AX55" s="769"/>
      <c r="AY55" s="769"/>
      <c r="AZ55" s="769"/>
      <c r="BA55" s="769"/>
      <c r="BB55" s="769"/>
      <c r="BC55" s="769"/>
      <c r="BD55" s="769"/>
      <c r="BE55" s="769"/>
      <c r="BF55" s="769"/>
      <c r="BG55" s="769"/>
      <c r="BH55" s="769"/>
      <c r="BI55" s="769"/>
      <c r="BJ55" s="769"/>
      <c r="BK55" s="769"/>
      <c r="BL55" s="769"/>
      <c r="BM55" s="769"/>
      <c r="BN55" s="769"/>
      <c r="BO55" s="769"/>
      <c r="BP55" s="769"/>
      <c r="BQ55" s="769"/>
      <c r="BR55" s="769"/>
      <c r="BS55" s="769"/>
      <c r="BT55" s="769"/>
      <c r="BU55" s="769"/>
      <c r="BV55" s="769"/>
      <c r="BW55" s="769"/>
      <c r="BX55" s="769"/>
      <c r="BY55" s="769"/>
      <c r="BZ55" s="769"/>
      <c r="CA55" s="769"/>
      <c r="CB55" s="769"/>
      <c r="CC55" s="769"/>
      <c r="CD55" s="769"/>
      <c r="CE55" s="769"/>
      <c r="CF55" s="769"/>
      <c r="CG55" s="769"/>
      <c r="CH55" s="769"/>
      <c r="CI55" s="769"/>
      <c r="CJ55" s="738"/>
      <c r="CK55" s="769"/>
      <c r="CL55" s="769"/>
      <c r="CM55" s="769"/>
      <c r="CN55" s="769"/>
      <c r="CO55" s="769"/>
      <c r="CP55" s="769"/>
      <c r="CQ55" s="769"/>
      <c r="CR55" s="769"/>
      <c r="CS55" s="769"/>
      <c r="CT55" s="769"/>
      <c r="CU55" s="769"/>
      <c r="CV55" s="769"/>
      <c r="CW55" s="769"/>
      <c r="CX55" s="769"/>
      <c r="CY55" s="769"/>
      <c r="CZ55" s="769"/>
      <c r="DA55" s="769"/>
      <c r="DB55" s="769"/>
      <c r="DC55" s="769"/>
      <c r="DD55" s="769"/>
      <c r="DE55" s="769"/>
      <c r="DF55" s="769"/>
      <c r="DG55" s="769"/>
      <c r="DH55" s="769"/>
      <c r="DI55" s="769"/>
      <c r="DJ55" s="769"/>
      <c r="DK55" s="769"/>
      <c r="DL55" s="769"/>
      <c r="DM55" s="769"/>
      <c r="DN55" s="769"/>
      <c r="DO55" s="769"/>
      <c r="DP55" s="769"/>
      <c r="DQ55" s="769"/>
      <c r="DR55" s="769"/>
      <c r="DS55" s="769"/>
      <c r="DT55" s="769"/>
      <c r="DU55" s="769"/>
      <c r="DV55" s="769"/>
      <c r="DW55" s="769"/>
      <c r="DX55" s="769"/>
      <c r="DY55" s="769"/>
      <c r="DZ55" s="769"/>
      <c r="EA55" s="769"/>
      <c r="EB55" s="769"/>
      <c r="EC55" s="769"/>
      <c r="ED55" s="769"/>
      <c r="EE55" s="769"/>
      <c r="EF55" s="769"/>
      <c r="EG55" s="769"/>
      <c r="EH55" s="769"/>
      <c r="EI55" s="769"/>
      <c r="EJ55" s="769"/>
      <c r="EK55" s="769"/>
      <c r="EL55" s="769"/>
      <c r="EM55" s="769"/>
      <c r="EN55" s="769"/>
      <c r="EO55" s="769"/>
      <c r="EP55" s="769"/>
      <c r="EQ55" s="769"/>
      <c r="ER55" s="769"/>
      <c r="ES55" s="769"/>
      <c r="ET55" s="769"/>
      <c r="EU55" s="769"/>
      <c r="EV55" s="769"/>
      <c r="EW55" s="769"/>
      <c r="EX55" s="769"/>
      <c r="EY55" s="769"/>
      <c r="EZ55" s="769"/>
      <c r="FA55" s="769"/>
      <c r="FB55" s="769"/>
      <c r="FC55" s="769"/>
      <c r="FD55" s="769"/>
      <c r="FE55" s="769"/>
      <c r="FF55" s="769"/>
      <c r="FG55" s="769"/>
      <c r="FH55" s="769"/>
      <c r="FI55" s="769"/>
      <c r="FJ55" s="769"/>
      <c r="FK55" s="769"/>
      <c r="FL55" s="769"/>
      <c r="FM55" s="769">
        <v>2</v>
      </c>
      <c r="FN55" s="769"/>
      <c r="FO55" s="769"/>
      <c r="FP55" s="769"/>
      <c r="FQ55" s="769"/>
      <c r="FR55" s="769"/>
      <c r="FS55" s="769"/>
      <c r="FT55" s="769"/>
      <c r="FU55" s="769"/>
      <c r="FV55" s="769"/>
      <c r="FW55" s="769"/>
      <c r="FX55" s="769">
        <v>1</v>
      </c>
      <c r="FY55" s="769"/>
      <c r="FZ55" s="769"/>
      <c r="GA55" s="769"/>
      <c r="GB55" s="769"/>
      <c r="GC55" s="769"/>
      <c r="GD55" s="769"/>
      <c r="GE55" s="769"/>
      <c r="GF55" s="769"/>
      <c r="GG55" s="769"/>
      <c r="GH55" s="769"/>
      <c r="GI55" s="769"/>
      <c r="GJ55" s="769"/>
      <c r="GK55" s="390"/>
      <c r="GL55" s="390"/>
      <c r="GM55" s="390"/>
      <c r="GN55" s="390"/>
      <c r="GO55" s="390"/>
      <c r="GP55" s="390"/>
      <c r="GQ55" s="390"/>
      <c r="GR55" s="769"/>
      <c r="GS55" s="769"/>
      <c r="GT55" s="769"/>
      <c r="GU55" s="769"/>
      <c r="GV55" s="769"/>
      <c r="GW55" s="876" t="s">
        <v>1435</v>
      </c>
      <c r="GX55" s="877"/>
      <c r="GY55" s="877"/>
      <c r="GZ55" s="1507"/>
      <c r="HA55" s="1508"/>
      <c r="HB55" s="1337" t="s">
        <v>1417</v>
      </c>
      <c r="HC55" s="178"/>
      <c r="HD55" s="178"/>
      <c r="HE55" s="178"/>
      <c r="HF55" s="178"/>
      <c r="HG55" s="178"/>
      <c r="HH55" s="178"/>
      <c r="HI55" s="178"/>
      <c r="HJ55" s="178"/>
      <c r="HK55" s="178"/>
      <c r="HL55" s="178"/>
      <c r="HM55" s="178"/>
      <c r="HN55" s="178"/>
      <c r="HO55" s="178"/>
      <c r="HP55" s="178"/>
      <c r="HQ55" s="178"/>
      <c r="HR55" s="178"/>
      <c r="HS55" s="178"/>
      <c r="HT55" s="178"/>
      <c r="HU55" s="178"/>
      <c r="HV55" s="178"/>
      <c r="HW55" s="178"/>
      <c r="HX55" s="178"/>
      <c r="HY55" s="178"/>
      <c r="HZ55" s="178"/>
      <c r="IA55" s="178"/>
      <c r="IB55" s="178"/>
      <c r="IC55" s="178"/>
      <c r="ID55" s="178"/>
      <c r="IE55" s="178"/>
      <c r="IF55" s="178"/>
      <c r="IG55" s="178"/>
      <c r="IH55" s="178"/>
      <c r="II55" s="178"/>
      <c r="IJ55" s="178"/>
      <c r="IK55" s="178"/>
      <c r="IL55" s="178"/>
      <c r="IM55" s="178"/>
      <c r="IN55" s="178"/>
      <c r="IO55" s="178"/>
      <c r="IP55" s="178"/>
      <c r="IQ55" s="178"/>
      <c r="IR55" s="178"/>
      <c r="IS55" s="178"/>
      <c r="IT55" s="178"/>
      <c r="IU55" s="178"/>
      <c r="IV55" s="178"/>
      <c r="IW55" s="178"/>
      <c r="IX55" s="178"/>
      <c r="IY55" s="178"/>
      <c r="IZ55" s="178"/>
      <c r="JA55" s="178"/>
      <c r="JB55" s="178"/>
      <c r="JC55" s="178"/>
      <c r="JD55" s="178"/>
      <c r="JE55" s="178"/>
      <c r="JF55" s="178"/>
      <c r="JG55" s="178"/>
      <c r="JH55" s="178"/>
      <c r="JI55" s="178"/>
      <c r="JJ55" s="178"/>
      <c r="JK55" s="178"/>
      <c r="JL55" s="178"/>
      <c r="JM55" s="178"/>
      <c r="JN55" s="178"/>
      <c r="JO55" s="178"/>
      <c r="JP55" s="178"/>
      <c r="JQ55" s="178"/>
      <c r="JR55" s="178"/>
      <c r="JS55" s="178"/>
      <c r="JT55" s="178"/>
      <c r="JU55" s="178"/>
      <c r="JV55" s="178"/>
      <c r="JW55" s="178"/>
      <c r="JX55" s="178"/>
      <c r="JY55" s="178"/>
      <c r="JZ55" s="178"/>
      <c r="KA55" s="178"/>
    </row>
    <row r="56" spans="1:287" s="360" customFormat="1" ht="87" hidden="1" customHeight="1">
      <c r="A56" s="818">
        <v>5</v>
      </c>
      <c r="B56" s="1601"/>
      <c r="C56" s="818" t="s">
        <v>1271</v>
      </c>
      <c r="D56" s="1045" t="s">
        <v>1272</v>
      </c>
      <c r="E56" s="861">
        <f t="shared" si="50"/>
        <v>5</v>
      </c>
      <c r="F56" s="861">
        <v>0</v>
      </c>
      <c r="G56" s="861">
        <v>0</v>
      </c>
      <c r="H56" s="861">
        <v>0</v>
      </c>
      <c r="I56" s="861">
        <v>0</v>
      </c>
      <c r="J56" s="861">
        <v>0</v>
      </c>
      <c r="K56" s="861">
        <v>0</v>
      </c>
      <c r="L56" s="861">
        <f t="shared" si="53"/>
        <v>3</v>
      </c>
      <c r="M56" s="858">
        <f t="shared" si="54"/>
        <v>1</v>
      </c>
      <c r="N56" s="861">
        <f t="shared" si="55"/>
        <v>0</v>
      </c>
      <c r="O56" s="861">
        <f t="shared" si="56"/>
        <v>1</v>
      </c>
      <c r="P56" s="861">
        <f t="shared" si="57"/>
        <v>0</v>
      </c>
      <c r="Q56" s="861">
        <f t="shared" si="58"/>
        <v>0</v>
      </c>
      <c r="R56" s="861">
        <f t="shared" si="59"/>
        <v>0</v>
      </c>
      <c r="S56" s="861">
        <f t="shared" si="60"/>
        <v>0</v>
      </c>
      <c r="T56" s="861"/>
      <c r="U56" s="861"/>
      <c r="V56" s="769"/>
      <c r="W56" s="769"/>
      <c r="X56" s="769"/>
      <c r="Y56" s="769"/>
      <c r="Z56" s="769"/>
      <c r="AA56" s="769"/>
      <c r="AB56" s="769"/>
      <c r="AC56" s="769"/>
      <c r="AD56" s="769"/>
      <c r="AE56" s="769"/>
      <c r="AF56" s="769"/>
      <c r="AG56" s="769"/>
      <c r="AH56" s="769"/>
      <c r="AI56" s="769"/>
      <c r="AJ56" s="769"/>
      <c r="AK56" s="769"/>
      <c r="AL56" s="769"/>
      <c r="AM56" s="769"/>
      <c r="AN56" s="769"/>
      <c r="AO56" s="769"/>
      <c r="AP56" s="769"/>
      <c r="AQ56" s="769"/>
      <c r="AR56" s="769"/>
      <c r="AS56" s="769"/>
      <c r="AT56" s="769"/>
      <c r="AU56" s="769"/>
      <c r="AV56" s="769"/>
      <c r="AW56" s="769"/>
      <c r="AX56" s="769"/>
      <c r="AY56" s="769"/>
      <c r="AZ56" s="769"/>
      <c r="BA56" s="769"/>
      <c r="BB56" s="769"/>
      <c r="BC56" s="769"/>
      <c r="BD56" s="769"/>
      <c r="BE56" s="769"/>
      <c r="BF56" s="769"/>
      <c r="BG56" s="769"/>
      <c r="BH56" s="769"/>
      <c r="BI56" s="769"/>
      <c r="BJ56" s="769"/>
      <c r="BK56" s="769"/>
      <c r="BL56" s="769"/>
      <c r="BM56" s="769"/>
      <c r="BN56" s="769"/>
      <c r="BO56" s="769"/>
      <c r="BP56" s="769"/>
      <c r="BQ56" s="769"/>
      <c r="BR56" s="769"/>
      <c r="BS56" s="769"/>
      <c r="BT56" s="769"/>
      <c r="BU56" s="769"/>
      <c r="BV56" s="769"/>
      <c r="BW56" s="769"/>
      <c r="BX56" s="769"/>
      <c r="BY56" s="769"/>
      <c r="BZ56" s="769"/>
      <c r="CA56" s="769"/>
      <c r="CB56" s="769"/>
      <c r="CC56" s="769">
        <v>2</v>
      </c>
      <c r="CD56" s="769"/>
      <c r="CE56" s="769"/>
      <c r="CF56" s="769"/>
      <c r="CG56" s="769"/>
      <c r="CH56" s="769"/>
      <c r="CI56" s="769"/>
      <c r="CJ56" s="738">
        <v>1</v>
      </c>
      <c r="CK56" s="769"/>
      <c r="CL56" s="769"/>
      <c r="CM56" s="769"/>
      <c r="CN56" s="769"/>
      <c r="CO56" s="769"/>
      <c r="CP56" s="769"/>
      <c r="CQ56" s="769"/>
      <c r="CR56" s="769"/>
      <c r="CS56" s="769"/>
      <c r="CT56" s="769"/>
      <c r="CU56" s="769"/>
      <c r="CV56" s="769"/>
      <c r="CW56" s="769"/>
      <c r="CX56" s="769"/>
      <c r="CY56" s="769"/>
      <c r="CZ56" s="769"/>
      <c r="DA56" s="769"/>
      <c r="DB56" s="769"/>
      <c r="DC56" s="769"/>
      <c r="DD56" s="769"/>
      <c r="DE56" s="769"/>
      <c r="DF56" s="769"/>
      <c r="DG56" s="769"/>
      <c r="DH56" s="769"/>
      <c r="DI56" s="769"/>
      <c r="DJ56" s="769"/>
      <c r="DK56" s="769"/>
      <c r="DL56" s="769"/>
      <c r="DM56" s="769"/>
      <c r="DN56" s="769"/>
      <c r="DO56" s="769"/>
      <c r="DP56" s="769">
        <v>1</v>
      </c>
      <c r="DQ56" s="769"/>
      <c r="DR56" s="769"/>
      <c r="DS56" s="769"/>
      <c r="DT56" s="769"/>
      <c r="DU56" s="769"/>
      <c r="DV56" s="769"/>
      <c r="DW56" s="769"/>
      <c r="DX56" s="769"/>
      <c r="DY56" s="769"/>
      <c r="DZ56" s="769"/>
      <c r="EA56" s="769"/>
      <c r="EB56" s="769"/>
      <c r="EC56" s="769"/>
      <c r="ED56" s="769"/>
      <c r="EE56" s="769"/>
      <c r="EF56" s="769"/>
      <c r="EG56" s="769"/>
      <c r="EH56" s="769"/>
      <c r="EI56" s="769"/>
      <c r="EJ56" s="769"/>
      <c r="EK56" s="769"/>
      <c r="EL56" s="769"/>
      <c r="EM56" s="769"/>
      <c r="EN56" s="769"/>
      <c r="EO56" s="769"/>
      <c r="EP56" s="769"/>
      <c r="EQ56" s="769"/>
      <c r="ER56" s="769"/>
      <c r="ES56" s="769"/>
      <c r="ET56" s="769"/>
      <c r="EU56" s="769"/>
      <c r="EV56" s="769"/>
      <c r="EW56" s="769"/>
      <c r="EX56" s="769"/>
      <c r="EY56" s="769"/>
      <c r="EZ56" s="769"/>
      <c r="FA56" s="769"/>
      <c r="FB56" s="769"/>
      <c r="FC56" s="769"/>
      <c r="FD56" s="769"/>
      <c r="FE56" s="769"/>
      <c r="FF56" s="769">
        <v>1</v>
      </c>
      <c r="FG56" s="769"/>
      <c r="FH56" s="769"/>
      <c r="FI56" s="769"/>
      <c r="FJ56" s="769"/>
      <c r="FK56" s="769"/>
      <c r="FL56" s="769"/>
      <c r="FM56" s="769"/>
      <c r="FN56" s="769"/>
      <c r="FO56" s="769"/>
      <c r="FP56" s="769"/>
      <c r="FQ56" s="769"/>
      <c r="FR56" s="769"/>
      <c r="FS56" s="769"/>
      <c r="FT56" s="769"/>
      <c r="FU56" s="769"/>
      <c r="FV56" s="769"/>
      <c r="FW56" s="769"/>
      <c r="FX56" s="769"/>
      <c r="FY56" s="769"/>
      <c r="FZ56" s="769"/>
      <c r="GA56" s="769"/>
      <c r="GB56" s="769"/>
      <c r="GC56" s="769"/>
      <c r="GD56" s="769"/>
      <c r="GE56" s="769"/>
      <c r="GF56" s="769"/>
      <c r="GG56" s="769"/>
      <c r="GH56" s="769"/>
      <c r="GI56" s="769"/>
      <c r="GJ56" s="769"/>
      <c r="GK56" s="769"/>
      <c r="GL56" s="769"/>
      <c r="GM56" s="769"/>
      <c r="GN56" s="769"/>
      <c r="GO56" s="769"/>
      <c r="GP56" s="769"/>
      <c r="GQ56" s="769"/>
      <c r="GR56" s="769"/>
      <c r="GS56" s="769"/>
      <c r="GT56" s="769"/>
      <c r="GU56" s="769"/>
      <c r="GV56" s="769"/>
      <c r="GW56" s="870" t="s">
        <v>1285</v>
      </c>
      <c r="GX56" s="870"/>
      <c r="GY56" s="870"/>
      <c r="GZ56" s="1171"/>
      <c r="HA56" s="1171"/>
      <c r="HB56" s="872" t="s">
        <v>1282</v>
      </c>
      <c r="HC56" s="178"/>
      <c r="HD56" s="178"/>
      <c r="HE56" s="178"/>
      <c r="HF56" s="178"/>
      <c r="HG56" s="178"/>
      <c r="HH56" s="178"/>
      <c r="HI56" s="178"/>
      <c r="HJ56" s="178"/>
      <c r="HK56" s="178"/>
      <c r="HL56" s="178"/>
      <c r="HM56" s="178"/>
      <c r="HN56" s="178"/>
      <c r="HO56" s="178"/>
      <c r="HP56" s="178"/>
      <c r="HQ56" s="178"/>
      <c r="HR56" s="178"/>
      <c r="HS56" s="178"/>
      <c r="HT56" s="178"/>
      <c r="HU56" s="178"/>
      <c r="HV56" s="178"/>
      <c r="HW56" s="178"/>
      <c r="HX56" s="178"/>
      <c r="HY56" s="178"/>
      <c r="HZ56" s="178"/>
      <c r="IA56" s="178"/>
      <c r="IB56" s="178"/>
      <c r="IC56" s="178"/>
      <c r="ID56" s="178"/>
      <c r="IE56" s="178"/>
      <c r="IF56" s="178"/>
      <c r="IG56" s="178"/>
      <c r="IH56" s="178"/>
      <c r="II56" s="178"/>
      <c r="IJ56" s="178"/>
      <c r="IK56" s="178"/>
      <c r="IL56" s="178"/>
      <c r="IM56" s="178"/>
      <c r="IN56" s="178"/>
      <c r="IO56" s="178"/>
      <c r="IP56" s="178"/>
      <c r="IQ56" s="178"/>
      <c r="IR56" s="178"/>
      <c r="IS56" s="178"/>
      <c r="IT56" s="178"/>
      <c r="IU56" s="178"/>
      <c r="IV56" s="178"/>
      <c r="IW56" s="178"/>
      <c r="IX56" s="178"/>
      <c r="IY56" s="178"/>
      <c r="IZ56" s="178"/>
      <c r="JA56" s="178"/>
      <c r="JB56" s="178"/>
      <c r="JC56" s="178"/>
      <c r="JD56" s="178"/>
      <c r="JE56" s="178"/>
      <c r="JF56" s="178"/>
      <c r="JG56" s="178"/>
      <c r="JH56" s="178"/>
      <c r="JI56" s="178"/>
      <c r="JJ56" s="178"/>
      <c r="JK56" s="178"/>
      <c r="JL56" s="178"/>
      <c r="JM56" s="178"/>
      <c r="JN56" s="178"/>
      <c r="JO56" s="178"/>
      <c r="JP56" s="178"/>
      <c r="JQ56" s="178"/>
      <c r="JR56" s="178"/>
      <c r="JS56" s="178"/>
      <c r="JT56" s="178"/>
      <c r="JU56" s="178"/>
      <c r="JV56" s="178"/>
      <c r="JW56" s="178"/>
      <c r="JX56" s="178"/>
      <c r="JY56" s="178"/>
      <c r="JZ56" s="178"/>
      <c r="KA56" s="178"/>
    </row>
    <row r="57" spans="1:287" s="360" customFormat="1" ht="204" customHeight="1">
      <c r="A57" s="754">
        <v>1</v>
      </c>
      <c r="B57" s="1600"/>
      <c r="C57" s="754" t="s">
        <v>1313</v>
      </c>
      <c r="D57" s="753" t="s">
        <v>1297</v>
      </c>
      <c r="E57" s="861">
        <f t="shared" si="50"/>
        <v>69</v>
      </c>
      <c r="F57" s="858">
        <v>0</v>
      </c>
      <c r="G57" s="858">
        <v>0</v>
      </c>
      <c r="H57" s="858">
        <v>0</v>
      </c>
      <c r="I57" s="858">
        <v>0</v>
      </c>
      <c r="J57" s="858">
        <v>0</v>
      </c>
      <c r="K57" s="858">
        <v>0</v>
      </c>
      <c r="L57" s="858">
        <f t="shared" si="53"/>
        <v>17</v>
      </c>
      <c r="M57" s="858">
        <f t="shared" si="54"/>
        <v>29</v>
      </c>
      <c r="N57" s="858">
        <f t="shared" si="55"/>
        <v>8</v>
      </c>
      <c r="O57" s="861">
        <f t="shared" si="56"/>
        <v>12</v>
      </c>
      <c r="P57" s="861">
        <f t="shared" si="57"/>
        <v>3</v>
      </c>
      <c r="Q57" s="861">
        <f t="shared" si="58"/>
        <v>0</v>
      </c>
      <c r="R57" s="861">
        <f t="shared" si="59"/>
        <v>0</v>
      </c>
      <c r="S57" s="861">
        <f t="shared" si="60"/>
        <v>3</v>
      </c>
      <c r="T57" s="858"/>
      <c r="U57" s="858"/>
      <c r="V57" s="769"/>
      <c r="W57" s="769"/>
      <c r="X57" s="769"/>
      <c r="Y57" s="769"/>
      <c r="Z57" s="769"/>
      <c r="AA57" s="769"/>
      <c r="AB57" s="769"/>
      <c r="AC57" s="769"/>
      <c r="AD57" s="769"/>
      <c r="AE57" s="769"/>
      <c r="AF57" s="769"/>
      <c r="AG57" s="769"/>
      <c r="AH57" s="769"/>
      <c r="AI57" s="769"/>
      <c r="AJ57" s="769"/>
      <c r="AK57" s="769"/>
      <c r="AL57" s="769"/>
      <c r="AM57" s="769"/>
      <c r="AN57" s="769"/>
      <c r="AO57" s="769"/>
      <c r="AP57" s="769"/>
      <c r="AQ57" s="769"/>
      <c r="AR57" s="769"/>
      <c r="AS57" s="769"/>
      <c r="AT57" s="769"/>
      <c r="AU57" s="769"/>
      <c r="AV57" s="769"/>
      <c r="AW57" s="769"/>
      <c r="AX57" s="769"/>
      <c r="AY57" s="769"/>
      <c r="AZ57" s="769"/>
      <c r="BA57" s="769"/>
      <c r="BB57" s="769"/>
      <c r="BC57" s="769"/>
      <c r="BD57" s="769"/>
      <c r="BE57" s="769"/>
      <c r="BF57" s="769"/>
      <c r="BG57" s="769"/>
      <c r="BH57" s="769"/>
      <c r="BI57" s="769"/>
      <c r="BJ57" s="769"/>
      <c r="BK57" s="769"/>
      <c r="BL57" s="769"/>
      <c r="BM57" s="769"/>
      <c r="BN57" s="769"/>
      <c r="BO57" s="769"/>
      <c r="BP57" s="769"/>
      <c r="BQ57" s="769"/>
      <c r="BR57" s="769"/>
      <c r="BS57" s="769"/>
      <c r="BT57" s="769"/>
      <c r="BU57" s="769"/>
      <c r="BV57" s="769"/>
      <c r="BW57" s="769"/>
      <c r="BX57" s="769"/>
      <c r="BY57" s="769"/>
      <c r="BZ57" s="769"/>
      <c r="CA57" s="769"/>
      <c r="CB57" s="769"/>
      <c r="CC57" s="1041"/>
      <c r="CD57" s="1041"/>
      <c r="CE57" s="1041"/>
      <c r="CF57" s="1041"/>
      <c r="CG57" s="1041"/>
      <c r="CH57" s="1041"/>
      <c r="CI57" s="1041">
        <v>1</v>
      </c>
      <c r="CJ57" s="738">
        <v>3</v>
      </c>
      <c r="CK57" s="1041">
        <v>3</v>
      </c>
      <c r="CL57" s="1041">
        <v>1</v>
      </c>
      <c r="CM57" s="1041">
        <v>3</v>
      </c>
      <c r="CN57" s="1041">
        <v>2</v>
      </c>
      <c r="CO57" s="1041">
        <v>2</v>
      </c>
      <c r="CP57" s="1041">
        <v>2</v>
      </c>
      <c r="CQ57" s="1041">
        <v>1</v>
      </c>
      <c r="CR57" s="1041"/>
      <c r="CS57" s="1041"/>
      <c r="CT57" s="1041"/>
      <c r="CU57" s="1041"/>
      <c r="CV57" s="1041"/>
      <c r="CW57" s="1041"/>
      <c r="CX57" s="1041"/>
      <c r="CY57" s="1041"/>
      <c r="CZ57" s="1041"/>
      <c r="DA57" s="1041">
        <v>1</v>
      </c>
      <c r="DB57" s="1041">
        <v>3</v>
      </c>
      <c r="DC57" s="1041">
        <v>2</v>
      </c>
      <c r="DD57" s="1041">
        <v>2</v>
      </c>
      <c r="DE57" s="1041">
        <v>2</v>
      </c>
      <c r="DF57" s="1041">
        <v>3</v>
      </c>
      <c r="DG57" s="1041">
        <v>3</v>
      </c>
      <c r="DH57" s="1041"/>
      <c r="DI57" s="1041"/>
      <c r="DJ57" s="1041"/>
      <c r="DK57" s="1041">
        <v>3</v>
      </c>
      <c r="DL57" s="1041">
        <v>1</v>
      </c>
      <c r="DM57" s="1041">
        <v>3</v>
      </c>
      <c r="DN57" s="1041">
        <v>2</v>
      </c>
      <c r="DO57" s="1041">
        <v>2</v>
      </c>
      <c r="DP57" s="1041"/>
      <c r="DQ57" s="1041"/>
      <c r="DR57" s="1041">
        <v>1</v>
      </c>
      <c r="DS57" s="1041"/>
      <c r="DT57" s="1041">
        <v>2</v>
      </c>
      <c r="DU57" s="1041"/>
      <c r="DV57" s="1041">
        <v>1</v>
      </c>
      <c r="DW57" s="1041"/>
      <c r="DX57" s="1041"/>
      <c r="DY57" s="1041"/>
      <c r="DZ57" s="1041"/>
      <c r="EA57" s="1041"/>
      <c r="EB57" s="1041"/>
      <c r="EC57" s="1041"/>
      <c r="ED57" s="1041"/>
      <c r="EE57" s="1041"/>
      <c r="EF57" s="1041">
        <v>1</v>
      </c>
      <c r="EG57" s="1041"/>
      <c r="EH57" s="1041"/>
      <c r="EI57" s="1041"/>
      <c r="EJ57" s="1041"/>
      <c r="EK57" s="1041"/>
      <c r="EL57" s="1041"/>
      <c r="EM57" s="1041"/>
      <c r="EN57" s="1041"/>
      <c r="EO57" s="1041"/>
      <c r="EP57" s="1041">
        <v>1</v>
      </c>
      <c r="EQ57" s="331"/>
      <c r="ER57" s="1041"/>
      <c r="ES57" s="1041"/>
      <c r="ET57" s="1041"/>
      <c r="EU57" s="1041"/>
      <c r="EV57" s="1304">
        <v>2</v>
      </c>
      <c r="EW57" s="1041">
        <v>1</v>
      </c>
      <c r="EX57" s="1041"/>
      <c r="EY57" s="1041">
        <v>3</v>
      </c>
      <c r="EZ57" s="1041">
        <v>1</v>
      </c>
      <c r="FA57" s="1041"/>
      <c r="FB57" s="1041"/>
      <c r="FC57" s="1041"/>
      <c r="FD57" s="1041"/>
      <c r="FE57" s="1041">
        <v>2</v>
      </c>
      <c r="FF57" s="1041"/>
      <c r="FG57" s="1041"/>
      <c r="FH57" s="1041"/>
      <c r="FI57" s="1041">
        <v>1</v>
      </c>
      <c r="FJ57" s="1041"/>
      <c r="FK57" s="1041"/>
      <c r="FL57" s="1041"/>
      <c r="FM57" s="1041">
        <v>1</v>
      </c>
      <c r="FN57" s="1041">
        <v>1</v>
      </c>
      <c r="FO57" s="1041"/>
      <c r="FP57" s="1041">
        <v>1</v>
      </c>
      <c r="FQ57" s="1041"/>
      <c r="FR57" s="1041"/>
      <c r="FS57" s="1041">
        <v>1</v>
      </c>
      <c r="FT57" s="1041">
        <v>1</v>
      </c>
      <c r="FU57" s="1041"/>
      <c r="FV57" s="1041"/>
      <c r="FW57" s="1041"/>
      <c r="FX57" s="1041"/>
      <c r="FY57" s="1041"/>
      <c r="FZ57" s="1041"/>
      <c r="GA57" s="1041"/>
      <c r="GB57" s="1041"/>
      <c r="GC57" s="1041"/>
      <c r="GD57" s="1041"/>
      <c r="GE57" s="1041"/>
      <c r="GF57" s="1041"/>
      <c r="GG57" s="1041"/>
      <c r="GH57" s="1041"/>
      <c r="GI57" s="1041"/>
      <c r="GJ57" s="1041"/>
      <c r="GK57" s="1041"/>
      <c r="GL57" s="1041"/>
      <c r="GM57" s="1041"/>
      <c r="GN57" s="1041">
        <v>1</v>
      </c>
      <c r="GO57" s="1041">
        <v>1</v>
      </c>
      <c r="GP57" s="1041"/>
      <c r="GQ57" s="1041">
        <v>1</v>
      </c>
      <c r="GR57" s="769"/>
      <c r="GS57" s="769"/>
      <c r="GT57" s="769"/>
      <c r="GU57" s="769"/>
      <c r="GV57" s="769"/>
      <c r="GW57" s="1044" t="s">
        <v>1457</v>
      </c>
      <c r="GX57" s="1432" t="s">
        <v>1450</v>
      </c>
      <c r="GY57" s="1044"/>
      <c r="GZ57" s="1151" t="s">
        <v>1317</v>
      </c>
      <c r="HA57" s="1353"/>
      <c r="HB57" s="864" t="s">
        <v>1395</v>
      </c>
      <c r="HC57" s="178"/>
      <c r="HD57" s="178"/>
      <c r="HE57" s="178"/>
      <c r="HF57" s="178"/>
      <c r="HG57" s="178"/>
      <c r="HH57" s="178"/>
      <c r="HI57" s="178"/>
      <c r="HJ57" s="178"/>
      <c r="HK57" s="178"/>
      <c r="HL57" s="178"/>
      <c r="HM57" s="178"/>
      <c r="HN57" s="178"/>
      <c r="HO57" s="178"/>
      <c r="HP57" s="178"/>
      <c r="HQ57" s="178"/>
      <c r="HR57" s="178"/>
      <c r="HS57" s="178"/>
      <c r="HT57" s="178"/>
      <c r="HU57" s="178"/>
      <c r="HV57" s="178"/>
      <c r="HW57" s="178"/>
      <c r="HX57" s="178"/>
      <c r="HY57" s="178"/>
      <c r="HZ57" s="178"/>
      <c r="IA57" s="178"/>
      <c r="IB57" s="178"/>
      <c r="IC57" s="178"/>
      <c r="ID57" s="178"/>
      <c r="IE57" s="178"/>
      <c r="IF57" s="178"/>
      <c r="IG57" s="178"/>
      <c r="IH57" s="178"/>
      <c r="II57" s="178"/>
      <c r="IJ57" s="178"/>
      <c r="IK57" s="178"/>
      <c r="IL57" s="178"/>
      <c r="IM57" s="178"/>
      <c r="IN57" s="178"/>
      <c r="IO57" s="178"/>
      <c r="IP57" s="178"/>
      <c r="IQ57" s="178"/>
      <c r="IR57" s="178"/>
      <c r="IS57" s="178"/>
      <c r="IT57" s="178"/>
      <c r="IU57" s="178"/>
      <c r="IV57" s="178"/>
      <c r="IW57" s="178"/>
      <c r="IX57" s="178"/>
      <c r="IY57" s="178"/>
      <c r="IZ57" s="178"/>
      <c r="JA57" s="178"/>
      <c r="JB57" s="178"/>
      <c r="JC57" s="178"/>
      <c r="JD57" s="178"/>
      <c r="JE57" s="178"/>
      <c r="JF57" s="178"/>
      <c r="JG57" s="178"/>
      <c r="JH57" s="178"/>
      <c r="JI57" s="178"/>
      <c r="JJ57" s="178"/>
      <c r="JK57" s="178"/>
      <c r="JL57" s="178"/>
      <c r="JM57" s="178"/>
      <c r="JN57" s="178"/>
      <c r="JO57" s="178"/>
      <c r="JP57" s="178"/>
      <c r="JQ57" s="178"/>
      <c r="JR57" s="178"/>
      <c r="JS57" s="178"/>
      <c r="JT57" s="178"/>
      <c r="JU57" s="178"/>
      <c r="JV57" s="178"/>
      <c r="JW57" s="178"/>
      <c r="JX57" s="178"/>
      <c r="JY57" s="178"/>
      <c r="JZ57" s="178"/>
      <c r="KA57" s="178"/>
    </row>
    <row r="58" spans="1:287" s="360" customFormat="1" ht="87" hidden="1" customHeight="1">
      <c r="A58" s="1011">
        <v>2</v>
      </c>
      <c r="B58" s="1601"/>
      <c r="C58" s="1078" t="s">
        <v>843</v>
      </c>
      <c r="D58" s="1014" t="s">
        <v>1294</v>
      </c>
      <c r="E58" s="861">
        <f t="shared" si="50"/>
        <v>1</v>
      </c>
      <c r="F58" s="861">
        <v>0</v>
      </c>
      <c r="G58" s="861">
        <v>0</v>
      </c>
      <c r="H58" s="861">
        <v>0</v>
      </c>
      <c r="I58" s="861">
        <v>0</v>
      </c>
      <c r="J58" s="379">
        <v>0</v>
      </c>
      <c r="K58" s="379">
        <v>0</v>
      </c>
      <c r="L58" s="379">
        <f t="shared" si="53"/>
        <v>1</v>
      </c>
      <c r="M58" s="858">
        <f t="shared" si="54"/>
        <v>0</v>
      </c>
      <c r="N58" s="861">
        <f t="shared" si="55"/>
        <v>0</v>
      </c>
      <c r="O58" s="861">
        <f t="shared" si="56"/>
        <v>0</v>
      </c>
      <c r="P58" s="861">
        <f t="shared" si="57"/>
        <v>0</v>
      </c>
      <c r="Q58" s="861">
        <f t="shared" si="58"/>
        <v>0</v>
      </c>
      <c r="R58" s="861">
        <f t="shared" si="59"/>
        <v>0</v>
      </c>
      <c r="S58" s="861">
        <f t="shared" si="60"/>
        <v>0</v>
      </c>
      <c r="T58" s="861"/>
      <c r="U58" s="861"/>
      <c r="V58" s="738"/>
      <c r="W58" s="738"/>
      <c r="X58" s="738"/>
      <c r="Y58" s="738"/>
      <c r="Z58" s="738"/>
      <c r="AA58" s="738"/>
      <c r="AB58" s="738"/>
      <c r="AC58" s="738"/>
      <c r="AD58" s="738"/>
      <c r="AE58" s="738"/>
      <c r="AF58" s="738"/>
      <c r="AG58" s="738"/>
      <c r="AH58" s="738"/>
      <c r="AI58" s="738"/>
      <c r="AJ58" s="738"/>
      <c r="AK58" s="738"/>
      <c r="AL58" s="738"/>
      <c r="AM58" s="738"/>
      <c r="AN58" s="738"/>
      <c r="AO58" s="738"/>
      <c r="AP58" s="738"/>
      <c r="AQ58" s="738"/>
      <c r="AR58" s="738"/>
      <c r="AS58" s="738"/>
      <c r="AT58" s="738"/>
      <c r="AU58" s="738"/>
      <c r="AV58" s="738"/>
      <c r="AW58" s="738"/>
      <c r="AX58" s="738"/>
      <c r="AY58" s="738"/>
      <c r="AZ58" s="738"/>
      <c r="BA58" s="738"/>
      <c r="BB58" s="738"/>
      <c r="BC58" s="738"/>
      <c r="BD58" s="738"/>
      <c r="BE58" s="738"/>
      <c r="BF58" s="738"/>
      <c r="BG58" s="738"/>
      <c r="BH58" s="738"/>
      <c r="BI58" s="738"/>
      <c r="BJ58" s="738"/>
      <c r="BK58" s="738"/>
      <c r="BL58" s="738"/>
      <c r="BM58" s="738"/>
      <c r="BN58" s="738"/>
      <c r="BO58" s="738"/>
      <c r="BP58" s="738"/>
      <c r="BQ58" s="738"/>
      <c r="BR58" s="738"/>
      <c r="BS58" s="738"/>
      <c r="BT58" s="738"/>
      <c r="BU58" s="738"/>
      <c r="BV58" s="738"/>
      <c r="BW58" s="738"/>
      <c r="BX58" s="738"/>
      <c r="BY58" s="738"/>
      <c r="BZ58" s="738"/>
      <c r="CA58" s="738"/>
      <c r="CB58" s="738"/>
      <c r="CC58" s="1041"/>
      <c r="CD58" s="1041"/>
      <c r="CE58" s="1041"/>
      <c r="CF58" s="1041"/>
      <c r="CG58" s="1041"/>
      <c r="CH58" s="1041"/>
      <c r="CI58" s="1041"/>
      <c r="CJ58" s="738"/>
      <c r="CK58" s="1041"/>
      <c r="CL58" s="1041"/>
      <c r="CM58" s="1041"/>
      <c r="CN58" s="1041"/>
      <c r="CO58" s="1041"/>
      <c r="CP58" s="1041">
        <v>1</v>
      </c>
      <c r="CQ58" s="1041"/>
      <c r="CR58" s="1041"/>
      <c r="CS58" s="1041"/>
      <c r="CT58" s="1041"/>
      <c r="CU58" s="1041"/>
      <c r="CV58" s="1041"/>
      <c r="CW58" s="1041"/>
      <c r="CX58" s="1041"/>
      <c r="CY58" s="1041"/>
      <c r="CZ58" s="1041"/>
      <c r="DA58" s="1041"/>
      <c r="DB58" s="1041"/>
      <c r="DC58" s="1041"/>
      <c r="DD58" s="1041"/>
      <c r="DE58" s="1041"/>
      <c r="DF58" s="1041"/>
      <c r="DG58" s="1041"/>
      <c r="DH58" s="1041"/>
      <c r="DI58" s="1041"/>
      <c r="DJ58" s="1041"/>
      <c r="DK58" s="1041"/>
      <c r="DL58" s="1176"/>
      <c r="DM58" s="1176"/>
      <c r="DN58" s="1176"/>
      <c r="DO58" s="1176"/>
      <c r="DP58" s="1176"/>
      <c r="DQ58" s="1176"/>
      <c r="DR58" s="1176"/>
      <c r="DS58" s="1176"/>
      <c r="DT58" s="1176"/>
      <c r="DU58" s="1176"/>
      <c r="DV58" s="1176"/>
      <c r="DW58" s="1176"/>
      <c r="DX58" s="1176"/>
      <c r="DY58" s="1176"/>
      <c r="DZ58" s="1176"/>
      <c r="EA58" s="1176"/>
      <c r="EB58" s="1176"/>
      <c r="EC58" s="1176"/>
      <c r="ED58" s="1176"/>
      <c r="EE58" s="1176"/>
      <c r="EF58" s="1176"/>
      <c r="EG58" s="1176"/>
      <c r="EH58" s="1176"/>
      <c r="EI58" s="1176"/>
      <c r="EJ58" s="1176"/>
      <c r="EK58" s="1176"/>
      <c r="EL58" s="1176"/>
      <c r="EM58" s="1176"/>
      <c r="EN58" s="1176"/>
      <c r="EO58" s="1176"/>
      <c r="EP58" s="1176"/>
      <c r="EQ58" s="738"/>
      <c r="ER58" s="1176"/>
      <c r="ES58" s="1176"/>
      <c r="ET58" s="1176"/>
      <c r="EU58" s="1176"/>
      <c r="EV58" s="1176"/>
      <c r="EW58" s="1176"/>
      <c r="EX58" s="1176"/>
      <c r="EY58" s="1176"/>
      <c r="EZ58" s="1176"/>
      <c r="FA58" s="1176"/>
      <c r="FB58" s="1176"/>
      <c r="FC58" s="1176"/>
      <c r="FD58" s="1176"/>
      <c r="FE58" s="1176"/>
      <c r="FF58" s="1176"/>
      <c r="FG58" s="1176"/>
      <c r="FH58" s="1176"/>
      <c r="FI58" s="1176"/>
      <c r="FJ58" s="1176"/>
      <c r="FK58" s="1176"/>
      <c r="FL58" s="1176"/>
      <c r="FM58" s="1176"/>
      <c r="FN58" s="1176"/>
      <c r="FO58" s="1176"/>
      <c r="FP58" s="1176"/>
      <c r="FQ58" s="1176"/>
      <c r="FR58" s="1176"/>
      <c r="FS58" s="1176"/>
      <c r="FT58" s="1176"/>
      <c r="FU58" s="1176"/>
      <c r="FV58" s="1176"/>
      <c r="FW58" s="1176"/>
      <c r="FX58" s="1176"/>
      <c r="FY58" s="1176"/>
      <c r="FZ58" s="1176"/>
      <c r="GA58" s="1176"/>
      <c r="GB58" s="1176"/>
      <c r="GC58" s="1176"/>
      <c r="GD58" s="1176"/>
      <c r="GE58" s="1176"/>
      <c r="GF58" s="1176"/>
      <c r="GG58" s="1176"/>
      <c r="GH58" s="1176"/>
      <c r="GI58" s="1176"/>
      <c r="GJ58" s="1176"/>
      <c r="GK58" s="1176"/>
      <c r="GL58" s="1176"/>
      <c r="GM58" s="1176"/>
      <c r="GN58" s="1176"/>
      <c r="GO58" s="1176"/>
      <c r="GP58" s="1176"/>
      <c r="GQ58" s="1176"/>
      <c r="GR58" s="769"/>
      <c r="GS58" s="769"/>
      <c r="GT58" s="769"/>
      <c r="GU58" s="769"/>
      <c r="GV58" s="769"/>
      <c r="GW58" s="1088"/>
      <c r="GX58" s="1014"/>
      <c r="GY58" s="1089"/>
      <c r="GZ58" s="1174"/>
      <c r="HA58" s="1174"/>
      <c r="HB58" s="279" t="s">
        <v>1154</v>
      </c>
      <c r="HC58" s="178"/>
      <c r="HD58" s="178"/>
      <c r="HE58" s="178"/>
      <c r="HF58" s="178"/>
      <c r="HG58" s="178"/>
      <c r="HH58" s="178"/>
      <c r="HI58" s="178"/>
      <c r="HJ58" s="178"/>
      <c r="HK58" s="178"/>
      <c r="HL58" s="178"/>
      <c r="HM58" s="178"/>
      <c r="HN58" s="178"/>
      <c r="HO58" s="178"/>
      <c r="HP58" s="178"/>
      <c r="HQ58" s="178"/>
      <c r="HR58" s="178"/>
      <c r="HS58" s="178"/>
      <c r="HT58" s="178"/>
      <c r="HU58" s="178"/>
      <c r="HV58" s="178"/>
      <c r="HW58" s="178"/>
      <c r="HX58" s="178"/>
      <c r="HY58" s="178"/>
      <c r="HZ58" s="178"/>
      <c r="IA58" s="178"/>
      <c r="IB58" s="178"/>
      <c r="IC58" s="178"/>
      <c r="ID58" s="178"/>
      <c r="IE58" s="178"/>
      <c r="IF58" s="178"/>
      <c r="IG58" s="178"/>
      <c r="IH58" s="178"/>
      <c r="II58" s="178"/>
      <c r="IJ58" s="178"/>
      <c r="IK58" s="178"/>
      <c r="IL58" s="178"/>
      <c r="IM58" s="178"/>
      <c r="IN58" s="178"/>
      <c r="IO58" s="178"/>
      <c r="IP58" s="178"/>
      <c r="IQ58" s="178"/>
      <c r="IR58" s="178"/>
      <c r="IS58" s="178"/>
      <c r="IT58" s="178"/>
      <c r="IU58" s="178"/>
      <c r="IV58" s="178"/>
      <c r="IW58" s="178"/>
      <c r="IX58" s="178"/>
      <c r="IY58" s="178"/>
      <c r="IZ58" s="178"/>
      <c r="JA58" s="178"/>
      <c r="JB58" s="178"/>
      <c r="JC58" s="178"/>
      <c r="JD58" s="178"/>
      <c r="JE58" s="178"/>
      <c r="JF58" s="178"/>
      <c r="JG58" s="178"/>
      <c r="JH58" s="178"/>
      <c r="JI58" s="178"/>
      <c r="JJ58" s="178"/>
      <c r="JK58" s="178"/>
      <c r="JL58" s="178"/>
      <c r="JM58" s="178"/>
      <c r="JN58" s="178"/>
      <c r="JO58" s="178"/>
      <c r="JP58" s="178"/>
      <c r="JQ58" s="178"/>
      <c r="JR58" s="178"/>
      <c r="JS58" s="178"/>
      <c r="JT58" s="178"/>
      <c r="JU58" s="178"/>
      <c r="JV58" s="178"/>
      <c r="JW58" s="178"/>
      <c r="JX58" s="178"/>
      <c r="JY58" s="178"/>
      <c r="JZ58" s="178"/>
      <c r="KA58" s="178"/>
    </row>
    <row r="59" spans="1:287" s="360" customFormat="1" ht="87" hidden="1" customHeight="1">
      <c r="A59" s="754">
        <v>3</v>
      </c>
      <c r="B59" s="1601"/>
      <c r="C59" s="1131" t="s">
        <v>843</v>
      </c>
      <c r="D59" s="1138" t="s">
        <v>1308</v>
      </c>
      <c r="E59" s="861">
        <f t="shared" si="50"/>
        <v>2</v>
      </c>
      <c r="F59" s="861">
        <v>0</v>
      </c>
      <c r="G59" s="861">
        <v>0</v>
      </c>
      <c r="H59" s="861">
        <v>0</v>
      </c>
      <c r="I59" s="861">
        <v>0</v>
      </c>
      <c r="J59" s="861">
        <v>0</v>
      </c>
      <c r="K59" s="861">
        <v>0</v>
      </c>
      <c r="L59" s="861">
        <f t="shared" ref="L59" si="61">SUM(BL59:CP59)</f>
        <v>0</v>
      </c>
      <c r="M59" s="858">
        <f t="shared" si="54"/>
        <v>1</v>
      </c>
      <c r="N59" s="861">
        <f t="shared" si="55"/>
        <v>1</v>
      </c>
      <c r="O59" s="861">
        <f t="shared" si="56"/>
        <v>0</v>
      </c>
      <c r="P59" s="861">
        <f t="shared" si="57"/>
        <v>0</v>
      </c>
      <c r="Q59" s="861">
        <f t="shared" si="58"/>
        <v>0</v>
      </c>
      <c r="R59" s="861">
        <f t="shared" si="59"/>
        <v>0</v>
      </c>
      <c r="S59" s="861">
        <f t="shared" si="60"/>
        <v>0</v>
      </c>
      <c r="T59" s="861"/>
      <c r="U59" s="861"/>
      <c r="V59" s="738"/>
      <c r="W59" s="738"/>
      <c r="X59" s="738"/>
      <c r="Y59" s="738"/>
      <c r="Z59" s="738"/>
      <c r="AA59" s="738"/>
      <c r="AB59" s="738"/>
      <c r="AC59" s="738"/>
      <c r="AD59" s="738"/>
      <c r="AE59" s="738"/>
      <c r="AF59" s="738"/>
      <c r="AG59" s="738"/>
      <c r="AH59" s="738"/>
      <c r="AI59" s="738"/>
      <c r="AJ59" s="738"/>
      <c r="AK59" s="738"/>
      <c r="AL59" s="738"/>
      <c r="AM59" s="738"/>
      <c r="AN59" s="738"/>
      <c r="AO59" s="738"/>
      <c r="AP59" s="738"/>
      <c r="AQ59" s="738"/>
      <c r="AR59" s="738"/>
      <c r="AS59" s="738"/>
      <c r="AT59" s="738"/>
      <c r="AU59" s="738"/>
      <c r="AV59" s="738"/>
      <c r="AW59" s="738"/>
      <c r="AX59" s="738"/>
      <c r="AY59" s="738"/>
      <c r="AZ59" s="738"/>
      <c r="BA59" s="738"/>
      <c r="BB59" s="738"/>
      <c r="BC59" s="738"/>
      <c r="BD59" s="738"/>
      <c r="BE59" s="738"/>
      <c r="BF59" s="738"/>
      <c r="BG59" s="738"/>
      <c r="BH59" s="738"/>
      <c r="BI59" s="738"/>
      <c r="BJ59" s="738"/>
      <c r="BK59" s="738"/>
      <c r="BL59" s="738"/>
      <c r="BM59" s="738"/>
      <c r="BN59" s="738"/>
      <c r="BO59" s="738"/>
      <c r="BP59" s="738"/>
      <c r="BQ59" s="738"/>
      <c r="BR59" s="738"/>
      <c r="BS59" s="738"/>
      <c r="BT59" s="738"/>
      <c r="BU59" s="738"/>
      <c r="BV59" s="738"/>
      <c r="BW59" s="738"/>
      <c r="BX59" s="738"/>
      <c r="BY59" s="738"/>
      <c r="BZ59" s="738"/>
      <c r="CA59" s="738"/>
      <c r="CB59" s="738"/>
      <c r="CC59" s="1041"/>
      <c r="CD59" s="1041"/>
      <c r="CE59" s="1041"/>
      <c r="CF59" s="1041"/>
      <c r="CG59" s="1041"/>
      <c r="CH59" s="1041"/>
      <c r="CI59" s="1041"/>
      <c r="CJ59" s="738"/>
      <c r="CK59" s="1041"/>
      <c r="CL59" s="1041"/>
      <c r="CM59" s="1041"/>
      <c r="CN59" s="1041"/>
      <c r="CO59" s="1041"/>
      <c r="CP59" s="1041"/>
      <c r="CQ59" s="1041"/>
      <c r="CR59" s="1041"/>
      <c r="CS59" s="1041"/>
      <c r="CT59" s="1041"/>
      <c r="CU59" s="1041"/>
      <c r="CV59" s="1041"/>
      <c r="CW59" s="1041"/>
      <c r="CX59" s="1041"/>
      <c r="CY59" s="1041"/>
      <c r="CZ59" s="1041"/>
      <c r="DA59" s="1041"/>
      <c r="DB59" s="1041"/>
      <c r="DC59" s="1041"/>
      <c r="DD59" s="1041"/>
      <c r="DE59" s="1041"/>
      <c r="DF59" s="1041"/>
      <c r="DG59" s="1041"/>
      <c r="DH59" s="1041"/>
      <c r="DI59" s="1041"/>
      <c r="DJ59" s="1041"/>
      <c r="DK59" s="1041">
        <v>1</v>
      </c>
      <c r="DL59" s="1041"/>
      <c r="DM59" s="1041"/>
      <c r="DN59" s="1041"/>
      <c r="DO59" s="1041"/>
      <c r="DP59" s="1041"/>
      <c r="DQ59" s="1041"/>
      <c r="DR59" s="1041"/>
      <c r="DS59" s="1041"/>
      <c r="DT59" s="1041"/>
      <c r="DU59" s="1041"/>
      <c r="DV59" s="1041"/>
      <c r="DW59" s="1041"/>
      <c r="DX59" s="1041"/>
      <c r="DY59" s="1041"/>
      <c r="DZ59" s="1041"/>
      <c r="EA59" s="1041"/>
      <c r="EB59" s="1041"/>
      <c r="EC59" s="1041"/>
      <c r="ED59" s="1041"/>
      <c r="EE59" s="1041"/>
      <c r="EF59" s="1041"/>
      <c r="EG59" s="1041"/>
      <c r="EH59" s="1041"/>
      <c r="EI59" s="1041"/>
      <c r="EJ59" s="1041"/>
      <c r="EK59" s="1041"/>
      <c r="EL59" s="1041"/>
      <c r="EM59" s="1041"/>
      <c r="EN59" s="1041"/>
      <c r="EO59" s="1041"/>
      <c r="EP59" s="1041"/>
      <c r="EQ59" s="738"/>
      <c r="ER59" s="1041"/>
      <c r="ES59" s="1041"/>
      <c r="ET59" s="1041"/>
      <c r="EU59" s="1041"/>
      <c r="EV59" s="1041">
        <v>1</v>
      </c>
      <c r="EW59" s="1041"/>
      <c r="EX59" s="1041"/>
      <c r="EY59" s="1041"/>
      <c r="EZ59" s="1041"/>
      <c r="FA59" s="1041"/>
      <c r="FB59" s="1041"/>
      <c r="FC59" s="1041"/>
      <c r="FD59" s="1041"/>
      <c r="FE59" s="1041"/>
      <c r="FF59" s="1041"/>
      <c r="FG59" s="1041"/>
      <c r="FH59" s="1041"/>
      <c r="FI59" s="1041"/>
      <c r="FJ59" s="1041"/>
      <c r="FK59" s="1041"/>
      <c r="FL59" s="1041"/>
      <c r="FM59" s="1041"/>
      <c r="FN59" s="1041"/>
      <c r="FO59" s="1041"/>
      <c r="FP59" s="1041"/>
      <c r="FQ59" s="1041"/>
      <c r="FR59" s="1041"/>
      <c r="FS59" s="1041"/>
      <c r="FT59" s="1041"/>
      <c r="FU59" s="1041"/>
      <c r="FV59" s="1041"/>
      <c r="FW59" s="1041"/>
      <c r="FX59" s="1041"/>
      <c r="FY59" s="1041"/>
      <c r="FZ59" s="1041"/>
      <c r="GA59" s="1041"/>
      <c r="GB59" s="1041"/>
      <c r="GC59" s="1041"/>
      <c r="GD59" s="1041"/>
      <c r="GE59" s="1041"/>
      <c r="GF59" s="1041"/>
      <c r="GG59" s="1041"/>
      <c r="GH59" s="1041"/>
      <c r="GI59" s="1041"/>
      <c r="GJ59" s="1041"/>
      <c r="GK59" s="1041"/>
      <c r="GL59" s="1041"/>
      <c r="GM59" s="1041"/>
      <c r="GN59" s="1041"/>
      <c r="GO59" s="1041"/>
      <c r="GP59" s="1041"/>
      <c r="GQ59" s="1041"/>
      <c r="GR59" s="769"/>
      <c r="GS59" s="769"/>
      <c r="GT59" s="769"/>
      <c r="GU59" s="769"/>
      <c r="GV59" s="769"/>
      <c r="GW59" s="1088"/>
      <c r="GX59" s="1014"/>
      <c r="GY59" s="1089"/>
      <c r="GZ59" s="1134"/>
      <c r="HA59" s="1134"/>
      <c r="HB59" s="279"/>
      <c r="HC59" s="178"/>
      <c r="HD59" s="178"/>
      <c r="HE59" s="178"/>
      <c r="HF59" s="178"/>
      <c r="HG59" s="178"/>
      <c r="HH59" s="178"/>
      <c r="HI59" s="178"/>
      <c r="HJ59" s="178"/>
      <c r="HK59" s="178"/>
      <c r="HL59" s="178"/>
      <c r="HM59" s="178"/>
      <c r="HN59" s="178"/>
      <c r="HO59" s="178"/>
      <c r="HP59" s="178"/>
      <c r="HQ59" s="178"/>
      <c r="HR59" s="178"/>
      <c r="HS59" s="178"/>
      <c r="HT59" s="178"/>
      <c r="HU59" s="178"/>
      <c r="HV59" s="178"/>
      <c r="HW59" s="178"/>
      <c r="HX59" s="178"/>
      <c r="HY59" s="178"/>
      <c r="HZ59" s="178"/>
      <c r="IA59" s="178"/>
      <c r="IB59" s="178"/>
      <c r="IC59" s="178"/>
      <c r="ID59" s="178"/>
      <c r="IE59" s="178"/>
      <c r="IF59" s="178"/>
      <c r="IG59" s="178"/>
      <c r="IH59" s="178"/>
      <c r="II59" s="178"/>
      <c r="IJ59" s="178"/>
      <c r="IK59" s="178"/>
      <c r="IL59" s="178"/>
      <c r="IM59" s="178"/>
      <c r="IN59" s="178"/>
      <c r="IO59" s="178"/>
      <c r="IP59" s="178"/>
      <c r="IQ59" s="178"/>
      <c r="IR59" s="178"/>
      <c r="IS59" s="178"/>
      <c r="IT59" s="178"/>
      <c r="IU59" s="178"/>
      <c r="IV59" s="178"/>
      <c r="IW59" s="178"/>
      <c r="IX59" s="178"/>
      <c r="IY59" s="178"/>
      <c r="IZ59" s="178"/>
      <c r="JA59" s="178"/>
      <c r="JB59" s="178"/>
      <c r="JC59" s="178"/>
      <c r="JD59" s="178"/>
      <c r="JE59" s="178"/>
      <c r="JF59" s="178"/>
      <c r="JG59" s="178"/>
      <c r="JH59" s="178"/>
      <c r="JI59" s="178"/>
      <c r="JJ59" s="178"/>
      <c r="JK59" s="178"/>
      <c r="JL59" s="178"/>
      <c r="JM59" s="178"/>
      <c r="JN59" s="178"/>
      <c r="JO59" s="178"/>
      <c r="JP59" s="178"/>
      <c r="JQ59" s="178"/>
      <c r="JR59" s="178"/>
      <c r="JS59" s="178"/>
      <c r="JT59" s="178"/>
      <c r="JU59" s="178"/>
      <c r="JV59" s="178"/>
      <c r="JW59" s="178"/>
      <c r="JX59" s="178"/>
      <c r="JY59" s="178"/>
      <c r="JZ59" s="178"/>
      <c r="KA59" s="178"/>
    </row>
    <row r="60" spans="1:287" s="360" customFormat="1" ht="87" hidden="1" customHeight="1">
      <c r="A60" s="754"/>
      <c r="B60" s="1601"/>
      <c r="C60" s="1189" t="s">
        <v>843</v>
      </c>
      <c r="D60" s="1138" t="s">
        <v>1328</v>
      </c>
      <c r="E60" s="861">
        <f t="shared" si="50"/>
        <v>1</v>
      </c>
      <c r="F60" s="861"/>
      <c r="G60" s="861"/>
      <c r="H60" s="861"/>
      <c r="I60" s="861"/>
      <c r="J60" s="861">
        <v>0</v>
      </c>
      <c r="K60" s="861">
        <v>0</v>
      </c>
      <c r="L60" s="861">
        <v>0</v>
      </c>
      <c r="M60" s="858">
        <f t="shared" si="54"/>
        <v>0</v>
      </c>
      <c r="N60" s="861">
        <f t="shared" si="55"/>
        <v>1</v>
      </c>
      <c r="O60" s="861">
        <f t="shared" si="56"/>
        <v>0</v>
      </c>
      <c r="P60" s="861">
        <f t="shared" si="57"/>
        <v>0</v>
      </c>
      <c r="Q60" s="861">
        <f t="shared" si="58"/>
        <v>0</v>
      </c>
      <c r="R60" s="861">
        <f t="shared" si="59"/>
        <v>0</v>
      </c>
      <c r="S60" s="861">
        <f t="shared" si="60"/>
        <v>0</v>
      </c>
      <c r="T60" s="861"/>
      <c r="U60" s="861"/>
      <c r="V60" s="738"/>
      <c r="W60" s="738"/>
      <c r="X60" s="738"/>
      <c r="Y60" s="738"/>
      <c r="Z60" s="738"/>
      <c r="AA60" s="738"/>
      <c r="AB60" s="738"/>
      <c r="AC60" s="738"/>
      <c r="AD60" s="738"/>
      <c r="AE60" s="738"/>
      <c r="AF60" s="738"/>
      <c r="AG60" s="738"/>
      <c r="AH60" s="738"/>
      <c r="AI60" s="738"/>
      <c r="AJ60" s="738"/>
      <c r="AK60" s="738"/>
      <c r="AL60" s="738"/>
      <c r="AM60" s="738"/>
      <c r="AN60" s="738"/>
      <c r="AO60" s="738"/>
      <c r="AP60" s="738"/>
      <c r="AQ60" s="738"/>
      <c r="AR60" s="738"/>
      <c r="AS60" s="738"/>
      <c r="AT60" s="738"/>
      <c r="AU60" s="738"/>
      <c r="AV60" s="738"/>
      <c r="AW60" s="738"/>
      <c r="AX60" s="738"/>
      <c r="AY60" s="738"/>
      <c r="AZ60" s="738"/>
      <c r="BA60" s="738"/>
      <c r="BB60" s="738"/>
      <c r="BC60" s="738"/>
      <c r="BD60" s="738"/>
      <c r="BE60" s="738"/>
      <c r="BF60" s="738"/>
      <c r="BG60" s="738"/>
      <c r="BH60" s="738"/>
      <c r="BI60" s="738"/>
      <c r="BJ60" s="738"/>
      <c r="BK60" s="738"/>
      <c r="BL60" s="738"/>
      <c r="BM60" s="738"/>
      <c r="BN60" s="738"/>
      <c r="BO60" s="738"/>
      <c r="BP60" s="738"/>
      <c r="BQ60" s="738"/>
      <c r="BR60" s="738"/>
      <c r="BS60" s="738"/>
      <c r="BT60" s="738"/>
      <c r="BU60" s="738"/>
      <c r="BV60" s="738"/>
      <c r="BW60" s="738"/>
      <c r="BX60" s="738"/>
      <c r="BY60" s="738"/>
      <c r="BZ60" s="738"/>
      <c r="CA60" s="738"/>
      <c r="CB60" s="738"/>
      <c r="CC60" s="1041"/>
      <c r="CD60" s="1041"/>
      <c r="CE60" s="1041"/>
      <c r="CF60" s="1041"/>
      <c r="CG60" s="1041"/>
      <c r="CH60" s="1041"/>
      <c r="CI60" s="1041"/>
      <c r="CJ60" s="738"/>
      <c r="CK60" s="1041"/>
      <c r="CL60" s="1041"/>
      <c r="CM60" s="1041"/>
      <c r="CN60" s="1041"/>
      <c r="CO60" s="1041"/>
      <c r="CP60" s="1041"/>
      <c r="CQ60" s="1041"/>
      <c r="CR60" s="1041"/>
      <c r="CS60" s="1041"/>
      <c r="CT60" s="1041"/>
      <c r="CU60" s="1041"/>
      <c r="CV60" s="1041"/>
      <c r="CW60" s="1041"/>
      <c r="CX60" s="1041"/>
      <c r="CY60" s="1041"/>
      <c r="CZ60" s="1041"/>
      <c r="DA60" s="1041"/>
      <c r="DB60" s="1041"/>
      <c r="DC60" s="1041"/>
      <c r="DD60" s="1041"/>
      <c r="DE60" s="1041"/>
      <c r="DF60" s="1041"/>
      <c r="DG60" s="1041"/>
      <c r="DH60" s="1041"/>
      <c r="DI60" s="1041"/>
      <c r="DJ60" s="1041"/>
      <c r="DK60" s="1041"/>
      <c r="DL60" s="1041"/>
      <c r="DM60" s="1041"/>
      <c r="DN60" s="1041"/>
      <c r="DO60" s="1041"/>
      <c r="DP60" s="1041"/>
      <c r="DQ60" s="1041"/>
      <c r="DR60" s="1041"/>
      <c r="DS60" s="1041"/>
      <c r="DT60" s="1041"/>
      <c r="DU60" s="1041"/>
      <c r="DV60" s="1041"/>
      <c r="DW60" s="1041"/>
      <c r="DX60" s="1041">
        <v>1</v>
      </c>
      <c r="DY60" s="1041"/>
      <c r="DZ60" s="1041"/>
      <c r="EA60" s="1041"/>
      <c r="EB60" s="1041"/>
      <c r="EC60" s="1041"/>
      <c r="ED60" s="1041"/>
      <c r="EE60" s="1041"/>
      <c r="EF60" s="1041"/>
      <c r="EG60" s="1041"/>
      <c r="EH60" s="1041"/>
      <c r="EI60" s="1041"/>
      <c r="EJ60" s="1041"/>
      <c r="EK60" s="1041"/>
      <c r="EL60" s="1041"/>
      <c r="EM60" s="1041"/>
      <c r="EN60" s="1041"/>
      <c r="EO60" s="1041"/>
      <c r="EP60" s="1041"/>
      <c r="EQ60" s="738"/>
      <c r="ER60" s="1041"/>
      <c r="ES60" s="1041"/>
      <c r="ET60" s="1041"/>
      <c r="EU60" s="1041"/>
      <c r="EV60" s="1041"/>
      <c r="EW60" s="1041"/>
      <c r="EX60" s="1041"/>
      <c r="EY60" s="1041"/>
      <c r="EZ60" s="1041"/>
      <c r="FA60" s="1041"/>
      <c r="FB60" s="1041"/>
      <c r="FC60" s="1041"/>
      <c r="FD60" s="1041"/>
      <c r="FE60" s="1041"/>
      <c r="FF60" s="1041"/>
      <c r="FG60" s="1041"/>
      <c r="FH60" s="1041"/>
      <c r="FI60" s="1041"/>
      <c r="FJ60" s="1041"/>
      <c r="FK60" s="1041"/>
      <c r="FL60" s="1041"/>
      <c r="FM60" s="1041"/>
      <c r="FN60" s="1041"/>
      <c r="FO60" s="1041"/>
      <c r="FP60" s="1041"/>
      <c r="FQ60" s="1041"/>
      <c r="FR60" s="1041"/>
      <c r="FS60" s="1041"/>
      <c r="FT60" s="1041"/>
      <c r="FU60" s="1041"/>
      <c r="FV60" s="1041"/>
      <c r="FW60" s="1041"/>
      <c r="FX60" s="1041"/>
      <c r="FY60" s="1041"/>
      <c r="FZ60" s="1041"/>
      <c r="GA60" s="1041"/>
      <c r="GB60" s="1041"/>
      <c r="GC60" s="1041"/>
      <c r="GD60" s="1041"/>
      <c r="GE60" s="1041"/>
      <c r="GF60" s="1041"/>
      <c r="GG60" s="1041"/>
      <c r="GH60" s="1041"/>
      <c r="GI60" s="1041"/>
      <c r="GJ60" s="1041"/>
      <c r="GK60" s="1041"/>
      <c r="GL60" s="1041"/>
      <c r="GM60" s="1041"/>
      <c r="GN60" s="1041"/>
      <c r="GO60" s="1041"/>
      <c r="GP60" s="1041"/>
      <c r="GQ60" s="1041"/>
      <c r="GR60" s="769"/>
      <c r="GS60" s="769"/>
      <c r="GT60" s="769"/>
      <c r="GU60" s="769"/>
      <c r="GV60" s="769"/>
      <c r="GW60" s="1088"/>
      <c r="GX60" s="1014"/>
      <c r="GY60" s="1089"/>
      <c r="GZ60" s="1288"/>
      <c r="HA60" s="878" t="s">
        <v>872</v>
      </c>
      <c r="HB60" s="864" t="s">
        <v>1329</v>
      </c>
      <c r="HC60" s="178"/>
      <c r="HD60" s="178"/>
      <c r="HE60" s="178"/>
      <c r="HF60" s="178"/>
      <c r="HG60" s="178"/>
      <c r="HH60" s="178"/>
      <c r="HI60" s="178"/>
      <c r="HJ60" s="178"/>
      <c r="HK60" s="178"/>
      <c r="HL60" s="178"/>
      <c r="HM60" s="178"/>
      <c r="HN60" s="178"/>
      <c r="HO60" s="178"/>
      <c r="HP60" s="178"/>
      <c r="HQ60" s="178"/>
      <c r="HR60" s="178"/>
      <c r="HS60" s="178"/>
      <c r="HT60" s="178"/>
      <c r="HU60" s="178"/>
      <c r="HV60" s="178"/>
      <c r="HW60" s="178"/>
      <c r="HX60" s="178"/>
      <c r="HY60" s="178"/>
      <c r="HZ60" s="178"/>
      <c r="IA60" s="178"/>
      <c r="IB60" s="178"/>
      <c r="IC60" s="178"/>
      <c r="ID60" s="178"/>
      <c r="IE60" s="178"/>
      <c r="IF60" s="178"/>
      <c r="IG60" s="178"/>
      <c r="IH60" s="178"/>
      <c r="II60" s="178"/>
      <c r="IJ60" s="178"/>
      <c r="IK60" s="178"/>
      <c r="IL60" s="178"/>
      <c r="IM60" s="178"/>
      <c r="IN60" s="178"/>
      <c r="IO60" s="178"/>
      <c r="IP60" s="178"/>
      <c r="IQ60" s="178"/>
      <c r="IR60" s="178"/>
      <c r="IS60" s="178"/>
      <c r="IT60" s="178"/>
      <c r="IU60" s="178"/>
      <c r="IV60" s="178"/>
      <c r="IW60" s="178"/>
      <c r="IX60" s="178"/>
      <c r="IY60" s="178"/>
      <c r="IZ60" s="178"/>
      <c r="JA60" s="178"/>
      <c r="JB60" s="178"/>
      <c r="JC60" s="178"/>
      <c r="JD60" s="178"/>
      <c r="JE60" s="178"/>
      <c r="JF60" s="178"/>
      <c r="JG60" s="178"/>
      <c r="JH60" s="178"/>
      <c r="JI60" s="178"/>
      <c r="JJ60" s="178"/>
      <c r="JK60" s="178"/>
      <c r="JL60" s="178"/>
      <c r="JM60" s="178"/>
      <c r="JN60" s="178"/>
      <c r="JO60" s="178"/>
      <c r="JP60" s="178"/>
      <c r="JQ60" s="178"/>
      <c r="JR60" s="178"/>
      <c r="JS60" s="178"/>
      <c r="JT60" s="178"/>
      <c r="JU60" s="178"/>
      <c r="JV60" s="178"/>
      <c r="JW60" s="178"/>
      <c r="JX60" s="178"/>
      <c r="JY60" s="178"/>
      <c r="JZ60" s="178"/>
      <c r="KA60" s="178"/>
    </row>
    <row r="61" spans="1:287" s="360" customFormat="1" ht="87" hidden="1" customHeight="1">
      <c r="A61" s="754"/>
      <c r="B61" s="1601"/>
      <c r="C61" s="1375" t="s">
        <v>843</v>
      </c>
      <c r="D61" s="1138"/>
      <c r="E61" s="861">
        <f t="shared" si="50"/>
        <v>1</v>
      </c>
      <c r="F61" s="861"/>
      <c r="G61" s="861"/>
      <c r="H61" s="861"/>
      <c r="I61" s="861"/>
      <c r="J61" s="858">
        <v>0</v>
      </c>
      <c r="K61" s="858">
        <v>0</v>
      </c>
      <c r="L61" s="858">
        <v>0</v>
      </c>
      <c r="M61" s="858">
        <v>0</v>
      </c>
      <c r="N61" s="861">
        <f t="shared" si="55"/>
        <v>0</v>
      </c>
      <c r="O61" s="861">
        <f t="shared" si="56"/>
        <v>1</v>
      </c>
      <c r="P61" s="861">
        <f t="shared" si="57"/>
        <v>0</v>
      </c>
      <c r="Q61" s="861">
        <f t="shared" si="58"/>
        <v>0</v>
      </c>
      <c r="R61" s="861">
        <f t="shared" si="59"/>
        <v>0</v>
      </c>
      <c r="S61" s="861">
        <f t="shared" si="60"/>
        <v>0</v>
      </c>
      <c r="T61" s="861"/>
      <c r="U61" s="861"/>
      <c r="V61" s="769"/>
      <c r="W61" s="769"/>
      <c r="X61" s="769"/>
      <c r="Y61" s="769"/>
      <c r="Z61" s="769"/>
      <c r="AA61" s="769"/>
      <c r="AB61" s="769"/>
      <c r="AC61" s="769"/>
      <c r="AD61" s="769"/>
      <c r="AE61" s="769"/>
      <c r="AF61" s="769"/>
      <c r="AG61" s="769"/>
      <c r="AH61" s="769"/>
      <c r="AI61" s="769"/>
      <c r="AJ61" s="769"/>
      <c r="AK61" s="769"/>
      <c r="AL61" s="769"/>
      <c r="AM61" s="769"/>
      <c r="AN61" s="769"/>
      <c r="AO61" s="769"/>
      <c r="AP61" s="769"/>
      <c r="AQ61" s="769"/>
      <c r="AR61" s="769"/>
      <c r="AS61" s="769"/>
      <c r="AT61" s="769"/>
      <c r="AU61" s="769"/>
      <c r="AV61" s="769"/>
      <c r="AW61" s="769"/>
      <c r="AX61" s="769"/>
      <c r="AY61" s="769"/>
      <c r="AZ61" s="769"/>
      <c r="BA61" s="769"/>
      <c r="BB61" s="769"/>
      <c r="BC61" s="769"/>
      <c r="BD61" s="769"/>
      <c r="BE61" s="769"/>
      <c r="BF61" s="769"/>
      <c r="BG61" s="769"/>
      <c r="BH61" s="769"/>
      <c r="BI61" s="769"/>
      <c r="BJ61" s="769"/>
      <c r="BK61" s="769"/>
      <c r="BL61" s="769"/>
      <c r="BM61" s="769"/>
      <c r="BN61" s="769"/>
      <c r="BO61" s="769"/>
      <c r="BP61" s="769"/>
      <c r="BQ61" s="769"/>
      <c r="BR61" s="769"/>
      <c r="BS61" s="769"/>
      <c r="BT61" s="769"/>
      <c r="BU61" s="769"/>
      <c r="BV61" s="769"/>
      <c r="BW61" s="769"/>
      <c r="BX61" s="769"/>
      <c r="BY61" s="769"/>
      <c r="BZ61" s="769"/>
      <c r="CA61" s="769"/>
      <c r="CB61" s="769"/>
      <c r="CC61" s="1378"/>
      <c r="CD61" s="1378"/>
      <c r="CE61" s="1378"/>
      <c r="CF61" s="1378"/>
      <c r="CG61" s="1378"/>
      <c r="CH61" s="1378"/>
      <c r="CI61" s="1378"/>
      <c r="CJ61" s="958"/>
      <c r="CK61" s="1378"/>
      <c r="CL61" s="1378"/>
      <c r="CM61" s="1378"/>
      <c r="CN61" s="1378"/>
      <c r="CO61" s="1378"/>
      <c r="CP61" s="1378"/>
      <c r="CQ61" s="1378"/>
      <c r="CR61" s="1378"/>
      <c r="CS61" s="1378"/>
      <c r="CT61" s="1378"/>
      <c r="CU61" s="1378"/>
      <c r="CV61" s="1378"/>
      <c r="CW61" s="1378"/>
      <c r="CX61" s="1378"/>
      <c r="CY61" s="1378"/>
      <c r="CZ61" s="1378"/>
      <c r="DA61" s="1378"/>
      <c r="DB61" s="1378"/>
      <c r="DC61" s="1378"/>
      <c r="DD61" s="1378"/>
      <c r="DE61" s="1378"/>
      <c r="DF61" s="1378"/>
      <c r="DG61" s="1378"/>
      <c r="DH61" s="1378"/>
      <c r="DI61" s="1378"/>
      <c r="DJ61" s="1378"/>
      <c r="DK61" s="1378"/>
      <c r="DL61" s="1378"/>
      <c r="DM61" s="1378"/>
      <c r="DN61" s="1378"/>
      <c r="DO61" s="1378"/>
      <c r="DP61" s="1378"/>
      <c r="DQ61" s="1378"/>
      <c r="DR61" s="1378"/>
      <c r="DS61" s="1378"/>
      <c r="DT61" s="1378"/>
      <c r="DU61" s="1378"/>
      <c r="DV61" s="1378"/>
      <c r="DW61" s="1378"/>
      <c r="DX61" s="1378"/>
      <c r="DY61" s="1378"/>
      <c r="DZ61" s="1378"/>
      <c r="EA61" s="1378"/>
      <c r="EB61" s="1378"/>
      <c r="EC61" s="1378"/>
      <c r="ED61" s="1378"/>
      <c r="EE61" s="1378"/>
      <c r="EF61" s="1378"/>
      <c r="EG61" s="1378"/>
      <c r="EH61" s="1378"/>
      <c r="EI61" s="1378"/>
      <c r="EJ61" s="1378"/>
      <c r="EK61" s="1378"/>
      <c r="EL61" s="1378"/>
      <c r="EM61" s="1378"/>
      <c r="EN61" s="1378"/>
      <c r="EO61" s="1378"/>
      <c r="EP61" s="1378"/>
      <c r="EQ61" s="738"/>
      <c r="ER61" s="1378"/>
      <c r="ES61" s="1378"/>
      <c r="ET61" s="1378"/>
      <c r="EU61" s="1378"/>
      <c r="EV61" s="1378"/>
      <c r="EW61" s="1378"/>
      <c r="EX61" s="1378"/>
      <c r="EY61" s="1378"/>
      <c r="EZ61" s="1378"/>
      <c r="FA61" s="1378"/>
      <c r="FB61" s="1378"/>
      <c r="FC61" s="1378"/>
      <c r="FD61" s="1378"/>
      <c r="FE61" s="1378"/>
      <c r="FF61" s="1378"/>
      <c r="FG61" s="1378"/>
      <c r="FH61" s="1378">
        <v>1</v>
      </c>
      <c r="FI61" s="1378"/>
      <c r="FJ61" s="1378"/>
      <c r="FK61" s="1378"/>
      <c r="FL61" s="1378"/>
      <c r="FM61" s="1378"/>
      <c r="FN61" s="1378"/>
      <c r="FO61" s="1378"/>
      <c r="FP61" s="1378"/>
      <c r="FQ61" s="1378"/>
      <c r="FR61" s="1378"/>
      <c r="FS61" s="1378"/>
      <c r="FT61" s="1378"/>
      <c r="FU61" s="1378"/>
      <c r="FV61" s="1378"/>
      <c r="FW61" s="1378"/>
      <c r="FX61" s="1378"/>
      <c r="FY61" s="1378"/>
      <c r="FZ61" s="1378"/>
      <c r="GA61" s="1378"/>
      <c r="GB61" s="1378"/>
      <c r="GC61" s="1378"/>
      <c r="GD61" s="1378"/>
      <c r="GE61" s="1378"/>
      <c r="GF61" s="1378"/>
      <c r="GG61" s="1378"/>
      <c r="GH61" s="1378"/>
      <c r="GI61" s="1378"/>
      <c r="GJ61" s="1378"/>
      <c r="GK61" s="1378"/>
      <c r="GL61" s="1378"/>
      <c r="GM61" s="1378"/>
      <c r="GN61" s="1378"/>
      <c r="GO61" s="1378"/>
      <c r="GP61" s="1378"/>
      <c r="GQ61" s="1378"/>
      <c r="GR61" s="769"/>
      <c r="GS61" s="769"/>
      <c r="GT61" s="769"/>
      <c r="GU61" s="769"/>
      <c r="GV61" s="769"/>
      <c r="GW61" s="1088"/>
      <c r="GX61" s="1014"/>
      <c r="GY61" s="1089"/>
      <c r="GZ61" s="1377"/>
      <c r="HA61" s="1376"/>
      <c r="HB61" s="872"/>
      <c r="HC61" s="178"/>
      <c r="HD61" s="178"/>
      <c r="HE61" s="178"/>
      <c r="HF61" s="178"/>
      <c r="HG61" s="178"/>
      <c r="HH61" s="178"/>
      <c r="HI61" s="178"/>
      <c r="HJ61" s="178"/>
      <c r="HK61" s="178"/>
      <c r="HL61" s="178"/>
      <c r="HM61" s="178"/>
      <c r="HN61" s="178"/>
      <c r="HO61" s="178"/>
      <c r="HP61" s="178"/>
      <c r="HQ61" s="178"/>
      <c r="HR61" s="178"/>
      <c r="HS61" s="178"/>
      <c r="HT61" s="178"/>
      <c r="HU61" s="178"/>
      <c r="HV61" s="178"/>
      <c r="HW61" s="178"/>
      <c r="HX61" s="178"/>
      <c r="HY61" s="178"/>
      <c r="HZ61" s="178"/>
      <c r="IA61" s="178"/>
      <c r="IB61" s="178"/>
      <c r="IC61" s="178"/>
      <c r="ID61" s="178"/>
      <c r="IE61" s="178"/>
      <c r="IF61" s="178"/>
      <c r="IG61" s="178"/>
      <c r="IH61" s="178"/>
      <c r="II61" s="178"/>
      <c r="IJ61" s="178"/>
      <c r="IK61" s="178"/>
      <c r="IL61" s="178"/>
      <c r="IM61" s="178"/>
      <c r="IN61" s="178"/>
      <c r="IO61" s="178"/>
      <c r="IP61" s="178"/>
      <c r="IQ61" s="178"/>
      <c r="IR61" s="178"/>
      <c r="IS61" s="178"/>
      <c r="IT61" s="178"/>
      <c r="IU61" s="178"/>
      <c r="IV61" s="178"/>
      <c r="IW61" s="178"/>
      <c r="IX61" s="178"/>
      <c r="IY61" s="178"/>
      <c r="IZ61" s="178"/>
      <c r="JA61" s="178"/>
      <c r="JB61" s="178"/>
      <c r="JC61" s="178"/>
      <c r="JD61" s="178"/>
      <c r="JE61" s="178"/>
      <c r="JF61" s="178"/>
      <c r="JG61" s="178"/>
      <c r="JH61" s="178"/>
      <c r="JI61" s="178"/>
      <c r="JJ61" s="178"/>
      <c r="JK61" s="178"/>
      <c r="JL61" s="178"/>
      <c r="JM61" s="178"/>
      <c r="JN61" s="178"/>
      <c r="JO61" s="178"/>
      <c r="JP61" s="178"/>
      <c r="JQ61" s="178"/>
      <c r="JR61" s="178"/>
      <c r="JS61" s="178"/>
      <c r="JT61" s="178"/>
      <c r="JU61" s="178"/>
      <c r="JV61" s="178"/>
      <c r="JW61" s="178"/>
      <c r="JX61" s="178"/>
      <c r="JY61" s="178"/>
      <c r="JZ61" s="178"/>
      <c r="KA61" s="178"/>
    </row>
    <row r="62" spans="1:287" s="360" customFormat="1" ht="52.5" hidden="1" customHeight="1">
      <c r="A62" s="217"/>
      <c r="B62" s="1601"/>
      <c r="C62" s="212" t="s">
        <v>843</v>
      </c>
      <c r="D62" s="375" t="s">
        <v>857</v>
      </c>
      <c r="E62" s="861">
        <f t="shared" si="50"/>
        <v>0</v>
      </c>
      <c r="F62" s="377">
        <v>0</v>
      </c>
      <c r="G62" s="377">
        <v>0</v>
      </c>
      <c r="H62" s="377">
        <v>0</v>
      </c>
      <c r="I62" s="377">
        <v>0</v>
      </c>
      <c r="J62" s="858">
        <f t="shared" si="51"/>
        <v>0</v>
      </c>
      <c r="K62" s="861">
        <f t="shared" si="52"/>
        <v>0</v>
      </c>
      <c r="L62" s="861">
        <f t="shared" si="53"/>
        <v>0</v>
      </c>
      <c r="M62" s="858">
        <f t="shared" si="54"/>
        <v>0</v>
      </c>
      <c r="N62" s="861">
        <f t="shared" si="55"/>
        <v>0</v>
      </c>
      <c r="O62" s="861">
        <f t="shared" si="56"/>
        <v>0</v>
      </c>
      <c r="P62" s="861">
        <f t="shared" si="57"/>
        <v>0</v>
      </c>
      <c r="Q62" s="861">
        <f t="shared" si="58"/>
        <v>0</v>
      </c>
      <c r="R62" s="861">
        <f t="shared" si="59"/>
        <v>0</v>
      </c>
      <c r="S62" s="861">
        <f t="shared" si="60"/>
        <v>0</v>
      </c>
      <c r="T62" s="861"/>
      <c r="U62" s="861"/>
      <c r="V62" s="331"/>
      <c r="W62" s="331"/>
      <c r="X62" s="331"/>
      <c r="Y62" s="331"/>
      <c r="Z62" s="331"/>
      <c r="AA62" s="331"/>
      <c r="AB62" s="331"/>
      <c r="AC62" s="331"/>
      <c r="AD62" s="331"/>
      <c r="AE62" s="769"/>
      <c r="AF62" s="769"/>
      <c r="AG62" s="769"/>
      <c r="AH62" s="769"/>
      <c r="AI62" s="769"/>
      <c r="AJ62" s="769"/>
      <c r="AK62" s="769"/>
      <c r="AL62" s="769"/>
      <c r="AM62" s="769"/>
      <c r="AN62" s="769"/>
      <c r="AO62" s="769"/>
      <c r="AP62" s="769"/>
      <c r="AQ62" s="769"/>
      <c r="AR62" s="769"/>
      <c r="AS62" s="769"/>
      <c r="AT62" s="769"/>
      <c r="AU62" s="769"/>
      <c r="AV62" s="769"/>
      <c r="AW62" s="769"/>
      <c r="AX62" s="769"/>
      <c r="AY62" s="769"/>
      <c r="AZ62" s="769"/>
      <c r="BA62" s="769"/>
      <c r="BB62" s="769"/>
      <c r="BC62" s="769"/>
      <c r="BD62" s="331"/>
      <c r="BE62" s="331"/>
      <c r="BF62" s="769"/>
      <c r="BG62" s="331"/>
      <c r="BH62" s="331"/>
      <c r="BI62" s="769"/>
      <c r="BJ62" s="769"/>
      <c r="BK62" s="769"/>
      <c r="BL62" s="769"/>
      <c r="BM62" s="769"/>
      <c r="BN62" s="331"/>
      <c r="BO62" s="331"/>
      <c r="BP62" s="331"/>
      <c r="BQ62" s="331"/>
      <c r="BR62" s="769"/>
      <c r="BS62" s="769"/>
      <c r="BT62" s="769"/>
      <c r="BU62" s="769"/>
      <c r="BV62" s="769"/>
      <c r="BW62" s="769"/>
      <c r="BX62" s="769"/>
      <c r="BY62" s="769"/>
      <c r="BZ62" s="769"/>
      <c r="CA62" s="769"/>
      <c r="CB62" s="331"/>
      <c r="CC62" s="769"/>
      <c r="CD62" s="769"/>
      <c r="CE62" s="769"/>
      <c r="CF62" s="331"/>
      <c r="CG62" s="331"/>
      <c r="CH62" s="769"/>
      <c r="CI62" s="331"/>
      <c r="CJ62" s="958"/>
      <c r="CK62" s="769"/>
      <c r="CL62" s="331"/>
      <c r="CM62" s="331"/>
      <c r="CN62" s="331"/>
      <c r="CO62" s="769"/>
      <c r="CP62" s="331"/>
      <c r="CQ62" s="769"/>
      <c r="CR62" s="769"/>
      <c r="CS62" s="769"/>
      <c r="CT62" s="769"/>
      <c r="CU62" s="769"/>
      <c r="CV62" s="769"/>
      <c r="CW62" s="769"/>
      <c r="CX62" s="769"/>
      <c r="CY62" s="769"/>
      <c r="CZ62" s="769"/>
      <c r="DA62" s="769"/>
      <c r="DB62" s="331"/>
      <c r="DC62" s="331"/>
      <c r="DD62" s="331"/>
      <c r="DE62" s="769"/>
      <c r="DF62" s="769"/>
      <c r="DG62" s="331"/>
      <c r="DH62" s="769"/>
      <c r="DI62" s="769"/>
      <c r="DJ62" s="331"/>
      <c r="DK62" s="331"/>
      <c r="DL62" s="769"/>
      <c r="DM62" s="769"/>
      <c r="DN62" s="331"/>
      <c r="DO62" s="331"/>
      <c r="DP62" s="769"/>
      <c r="DQ62" s="769"/>
      <c r="DR62" s="331"/>
      <c r="DS62" s="769"/>
      <c r="DT62" s="769"/>
      <c r="DU62" s="769"/>
      <c r="DV62" s="331"/>
      <c r="DW62" s="331"/>
      <c r="DX62" s="331"/>
      <c r="DY62" s="331"/>
      <c r="DZ62" s="769"/>
      <c r="EA62" s="769"/>
      <c r="EB62" s="331"/>
      <c r="EC62" s="331"/>
      <c r="ED62" s="331"/>
      <c r="EE62" s="331"/>
      <c r="EF62" s="331"/>
      <c r="EG62" s="769"/>
      <c r="EH62" s="769"/>
      <c r="EI62" s="769"/>
      <c r="EJ62" s="331"/>
      <c r="EK62" s="331"/>
      <c r="EL62" s="769"/>
      <c r="EM62" s="769"/>
      <c r="EN62" s="769"/>
      <c r="EO62" s="769"/>
      <c r="EP62" s="769"/>
      <c r="EQ62" s="738"/>
      <c r="ER62" s="331"/>
      <c r="ES62" s="331"/>
      <c r="ET62" s="331"/>
      <c r="EU62" s="769"/>
      <c r="EV62" s="769"/>
      <c r="EW62" s="331"/>
      <c r="EX62" s="331"/>
      <c r="EY62" s="331"/>
      <c r="EZ62" s="331"/>
      <c r="FA62" s="769"/>
      <c r="FB62" s="769"/>
      <c r="FC62" s="769"/>
      <c r="FD62" s="331"/>
      <c r="FE62" s="331"/>
      <c r="FF62" s="331"/>
      <c r="FG62" s="331"/>
      <c r="FH62" s="331"/>
      <c r="FI62" s="769"/>
      <c r="FJ62" s="769"/>
      <c r="FK62" s="769"/>
      <c r="FL62" s="331"/>
      <c r="FM62" s="331"/>
      <c r="FN62" s="769"/>
      <c r="FO62" s="331"/>
      <c r="FP62" s="769"/>
      <c r="FQ62" s="769"/>
      <c r="FR62" s="769"/>
      <c r="FS62" s="331"/>
      <c r="FT62" s="331"/>
      <c r="FU62" s="769"/>
      <c r="FV62" s="331"/>
      <c r="FW62" s="769"/>
      <c r="FX62" s="331"/>
      <c r="FY62" s="769"/>
      <c r="FZ62" s="769"/>
      <c r="GA62" s="769"/>
      <c r="GB62" s="769"/>
      <c r="GC62" s="769"/>
      <c r="GD62" s="769"/>
      <c r="GE62" s="769"/>
      <c r="GF62" s="331"/>
      <c r="GG62" s="769"/>
      <c r="GH62" s="331"/>
      <c r="GI62" s="769"/>
      <c r="GJ62" s="331"/>
      <c r="GK62" s="769"/>
      <c r="GL62" s="769"/>
      <c r="GM62" s="769"/>
      <c r="GN62" s="769"/>
      <c r="GO62" s="331"/>
      <c r="GP62" s="331"/>
      <c r="GQ62" s="331"/>
      <c r="GR62" s="331"/>
      <c r="GS62" s="331"/>
      <c r="GT62" s="331"/>
      <c r="GU62" s="331"/>
      <c r="GV62" s="331"/>
      <c r="GW62" s="399" t="s">
        <v>858</v>
      </c>
      <c r="GX62" s="269"/>
      <c r="GY62" s="269"/>
      <c r="GZ62" s="224"/>
      <c r="HA62" s="224"/>
      <c r="HB62" s="408"/>
      <c r="HC62" s="178"/>
      <c r="HD62" s="178"/>
      <c r="HE62" s="178"/>
      <c r="HF62" s="178"/>
      <c r="HG62" s="178"/>
      <c r="HH62" s="178"/>
      <c r="HI62" s="178"/>
      <c r="HJ62" s="178"/>
      <c r="HK62" s="178"/>
      <c r="HL62" s="178"/>
      <c r="HM62" s="178"/>
      <c r="HN62" s="178"/>
      <c r="HO62" s="178"/>
      <c r="HP62" s="178"/>
      <c r="HQ62" s="178"/>
      <c r="HR62" s="178"/>
      <c r="HS62" s="178"/>
      <c r="HT62" s="178"/>
      <c r="HU62" s="178"/>
      <c r="HV62" s="178"/>
      <c r="HW62" s="178"/>
      <c r="HX62" s="178"/>
      <c r="HY62" s="178"/>
      <c r="HZ62" s="178"/>
      <c r="IA62" s="178"/>
      <c r="IB62" s="178"/>
      <c r="IC62" s="178"/>
      <c r="ID62" s="178"/>
      <c r="IE62" s="178"/>
      <c r="IF62" s="178"/>
      <c r="IG62" s="178"/>
      <c r="IH62" s="178"/>
      <c r="II62" s="178"/>
      <c r="IJ62" s="178"/>
      <c r="IK62" s="178"/>
      <c r="IL62" s="178"/>
      <c r="IM62" s="178"/>
      <c r="IN62" s="178"/>
      <c r="IO62" s="178"/>
      <c r="IP62" s="178"/>
      <c r="IQ62" s="178"/>
      <c r="IR62" s="178"/>
      <c r="IS62" s="178"/>
      <c r="IT62" s="178"/>
      <c r="IU62" s="178"/>
      <c r="IV62" s="178"/>
      <c r="IW62" s="178"/>
      <c r="IX62" s="178"/>
      <c r="IY62" s="178"/>
      <c r="IZ62" s="178"/>
      <c r="JA62" s="178"/>
      <c r="JB62" s="178"/>
      <c r="JC62" s="178"/>
      <c r="JD62" s="178"/>
      <c r="JE62" s="178"/>
      <c r="JF62" s="178"/>
      <c r="JG62" s="178"/>
      <c r="JH62" s="178"/>
      <c r="JI62" s="178"/>
      <c r="JJ62" s="178"/>
      <c r="JK62" s="178"/>
      <c r="JL62" s="178"/>
      <c r="JM62" s="178"/>
      <c r="JN62" s="178"/>
      <c r="JO62" s="178"/>
      <c r="JP62" s="178"/>
      <c r="JQ62" s="178"/>
      <c r="JR62" s="178"/>
      <c r="JS62" s="178"/>
      <c r="JT62" s="178"/>
      <c r="JU62" s="178"/>
      <c r="JV62" s="178"/>
      <c r="JW62" s="178"/>
      <c r="JX62" s="178"/>
      <c r="JY62" s="178"/>
      <c r="JZ62" s="178"/>
      <c r="KA62" s="178"/>
    </row>
    <row r="63" spans="1:287" s="360" customFormat="1" ht="52.5" hidden="1" customHeight="1">
      <c r="A63" s="217">
        <v>5</v>
      </c>
      <c r="B63" s="1601"/>
      <c r="C63" s="212" t="s">
        <v>843</v>
      </c>
      <c r="D63" s="375" t="s">
        <v>859</v>
      </c>
      <c r="E63" s="861">
        <f t="shared" si="50"/>
        <v>0</v>
      </c>
      <c r="F63" s="377">
        <v>0</v>
      </c>
      <c r="G63" s="377">
        <v>0</v>
      </c>
      <c r="H63" s="377">
        <v>0</v>
      </c>
      <c r="I63" s="377">
        <v>0</v>
      </c>
      <c r="J63" s="858">
        <f t="shared" si="51"/>
        <v>0</v>
      </c>
      <c r="K63" s="861">
        <f t="shared" si="52"/>
        <v>0</v>
      </c>
      <c r="L63" s="861">
        <f t="shared" si="53"/>
        <v>0</v>
      </c>
      <c r="M63" s="858">
        <f t="shared" si="54"/>
        <v>0</v>
      </c>
      <c r="N63" s="861">
        <f t="shared" si="55"/>
        <v>0</v>
      </c>
      <c r="O63" s="861">
        <f t="shared" si="56"/>
        <v>0</v>
      </c>
      <c r="P63" s="861">
        <f t="shared" si="57"/>
        <v>0</v>
      </c>
      <c r="Q63" s="861">
        <f t="shared" si="58"/>
        <v>0</v>
      </c>
      <c r="R63" s="861">
        <f t="shared" si="59"/>
        <v>0</v>
      </c>
      <c r="S63" s="861">
        <f t="shared" si="60"/>
        <v>0</v>
      </c>
      <c r="T63" s="861"/>
      <c r="U63" s="861"/>
      <c r="V63" s="331"/>
      <c r="W63" s="331"/>
      <c r="X63" s="331"/>
      <c r="Y63" s="331"/>
      <c r="Z63" s="331"/>
      <c r="AA63" s="331"/>
      <c r="AB63" s="331"/>
      <c r="AC63" s="331"/>
      <c r="AD63" s="331"/>
      <c r="AE63" s="769"/>
      <c r="AF63" s="769"/>
      <c r="AG63" s="769"/>
      <c r="AH63" s="769"/>
      <c r="AI63" s="769"/>
      <c r="AJ63" s="769"/>
      <c r="AK63" s="769"/>
      <c r="AL63" s="769"/>
      <c r="AM63" s="769"/>
      <c r="AN63" s="769"/>
      <c r="AO63" s="769"/>
      <c r="AP63" s="769"/>
      <c r="AQ63" s="769"/>
      <c r="AR63" s="769"/>
      <c r="AS63" s="769"/>
      <c r="AT63" s="769"/>
      <c r="AU63" s="769"/>
      <c r="AV63" s="769"/>
      <c r="AW63" s="769"/>
      <c r="AX63" s="769"/>
      <c r="AY63" s="769"/>
      <c r="AZ63" s="769"/>
      <c r="BA63" s="769"/>
      <c r="BB63" s="769"/>
      <c r="BC63" s="769"/>
      <c r="BD63" s="331"/>
      <c r="BE63" s="331"/>
      <c r="BF63" s="769"/>
      <c r="BG63" s="331"/>
      <c r="BH63" s="331"/>
      <c r="BI63" s="769"/>
      <c r="BJ63" s="769"/>
      <c r="BK63" s="769"/>
      <c r="BL63" s="769"/>
      <c r="BM63" s="769"/>
      <c r="BN63" s="331"/>
      <c r="BO63" s="331"/>
      <c r="BP63" s="331"/>
      <c r="BQ63" s="331"/>
      <c r="BR63" s="769"/>
      <c r="BS63" s="769"/>
      <c r="BT63" s="769"/>
      <c r="BU63" s="769"/>
      <c r="BV63" s="769"/>
      <c r="BW63" s="769"/>
      <c r="BX63" s="769"/>
      <c r="BY63" s="769"/>
      <c r="BZ63" s="769"/>
      <c r="CA63" s="769"/>
      <c r="CB63" s="331"/>
      <c r="CC63" s="769"/>
      <c r="CD63" s="769"/>
      <c r="CE63" s="769"/>
      <c r="CF63" s="331"/>
      <c r="CG63" s="331"/>
      <c r="CH63" s="769"/>
      <c r="CI63" s="331"/>
      <c r="CJ63" s="769"/>
      <c r="CK63" s="769"/>
      <c r="CL63" s="331"/>
      <c r="CM63" s="331"/>
      <c r="CN63" s="331"/>
      <c r="CO63" s="769"/>
      <c r="CP63" s="331"/>
      <c r="CQ63" s="769"/>
      <c r="CR63" s="769"/>
      <c r="CS63" s="769"/>
      <c r="CT63" s="769"/>
      <c r="CU63" s="769"/>
      <c r="CV63" s="769"/>
      <c r="CW63" s="769"/>
      <c r="CX63" s="769"/>
      <c r="CY63" s="769"/>
      <c r="CZ63" s="769"/>
      <c r="DA63" s="769"/>
      <c r="DB63" s="331"/>
      <c r="DC63" s="331"/>
      <c r="DD63" s="331"/>
      <c r="DE63" s="769"/>
      <c r="DF63" s="769"/>
      <c r="DG63" s="331"/>
      <c r="DH63" s="769"/>
      <c r="DI63" s="769"/>
      <c r="DJ63" s="331"/>
      <c r="DK63" s="331"/>
      <c r="DL63" s="769"/>
      <c r="DM63" s="769"/>
      <c r="DN63" s="331"/>
      <c r="DO63" s="331"/>
      <c r="DP63" s="769"/>
      <c r="DQ63" s="769"/>
      <c r="DR63" s="331"/>
      <c r="DS63" s="769"/>
      <c r="DT63" s="769"/>
      <c r="DU63" s="769"/>
      <c r="DV63" s="331"/>
      <c r="DW63" s="331"/>
      <c r="DX63" s="331"/>
      <c r="DY63" s="331"/>
      <c r="DZ63" s="769"/>
      <c r="EA63" s="769"/>
      <c r="EB63" s="331"/>
      <c r="EC63" s="331"/>
      <c r="ED63" s="331"/>
      <c r="EE63" s="331"/>
      <c r="EF63" s="331"/>
      <c r="EG63" s="769"/>
      <c r="EH63" s="769"/>
      <c r="EI63" s="769"/>
      <c r="EJ63" s="331"/>
      <c r="EK63" s="331"/>
      <c r="EL63" s="769"/>
      <c r="EM63" s="769"/>
      <c r="EN63" s="769"/>
      <c r="EO63" s="769"/>
      <c r="EP63" s="769"/>
      <c r="EQ63" s="331"/>
      <c r="ER63" s="331"/>
      <c r="ES63" s="331"/>
      <c r="ET63" s="331"/>
      <c r="EU63" s="769"/>
      <c r="EV63" s="769"/>
      <c r="EW63" s="331"/>
      <c r="EX63" s="331"/>
      <c r="EY63" s="331"/>
      <c r="EZ63" s="331"/>
      <c r="FA63" s="769"/>
      <c r="FB63" s="769"/>
      <c r="FC63" s="769"/>
      <c r="FD63" s="331"/>
      <c r="FE63" s="331"/>
      <c r="FF63" s="331"/>
      <c r="FG63" s="331"/>
      <c r="FH63" s="331"/>
      <c r="FI63" s="769"/>
      <c r="FJ63" s="769"/>
      <c r="FK63" s="769"/>
      <c r="FL63" s="331"/>
      <c r="FM63" s="331"/>
      <c r="FN63" s="769"/>
      <c r="FO63" s="331"/>
      <c r="FP63" s="769"/>
      <c r="FQ63" s="769"/>
      <c r="FR63" s="769"/>
      <c r="FS63" s="331"/>
      <c r="FT63" s="331"/>
      <c r="FU63" s="769"/>
      <c r="FV63" s="331"/>
      <c r="FW63" s="769"/>
      <c r="FX63" s="331"/>
      <c r="FY63" s="769"/>
      <c r="FZ63" s="769"/>
      <c r="GA63" s="769"/>
      <c r="GB63" s="769"/>
      <c r="GC63" s="769"/>
      <c r="GD63" s="769"/>
      <c r="GE63" s="769"/>
      <c r="GF63" s="331"/>
      <c r="GG63" s="769"/>
      <c r="GH63" s="331"/>
      <c r="GI63" s="769"/>
      <c r="GJ63" s="331"/>
      <c r="GK63" s="769"/>
      <c r="GL63" s="769"/>
      <c r="GM63" s="769"/>
      <c r="GN63" s="769"/>
      <c r="GO63" s="331"/>
      <c r="GP63" s="331"/>
      <c r="GQ63" s="331"/>
      <c r="GR63" s="331"/>
      <c r="GS63" s="331"/>
      <c r="GT63" s="331"/>
      <c r="GU63" s="331"/>
      <c r="GV63" s="331"/>
      <c r="GW63" s="399" t="s">
        <v>860</v>
      </c>
      <c r="GX63" s="269"/>
      <c r="GY63" s="269"/>
      <c r="GZ63" s="224"/>
      <c r="HA63" s="224"/>
      <c r="HB63" s="408" t="s">
        <v>861</v>
      </c>
      <c r="HC63" s="178"/>
      <c r="HD63" s="178"/>
      <c r="HE63" s="178"/>
      <c r="HF63" s="178"/>
      <c r="HG63" s="178"/>
      <c r="HH63" s="178"/>
      <c r="HI63" s="178"/>
      <c r="HJ63" s="178"/>
      <c r="HK63" s="178"/>
      <c r="HL63" s="178"/>
      <c r="HM63" s="178"/>
      <c r="HN63" s="178"/>
      <c r="HO63" s="178"/>
      <c r="HP63" s="178"/>
      <c r="HQ63" s="178"/>
      <c r="HR63" s="178"/>
      <c r="HS63" s="178"/>
      <c r="HT63" s="178"/>
      <c r="HU63" s="178"/>
      <c r="HV63" s="178"/>
      <c r="HW63" s="178"/>
      <c r="HX63" s="178"/>
      <c r="HY63" s="178"/>
      <c r="HZ63" s="178"/>
      <c r="IA63" s="178"/>
      <c r="IB63" s="178"/>
      <c r="IC63" s="178"/>
      <c r="ID63" s="178"/>
      <c r="IE63" s="178"/>
      <c r="IF63" s="178"/>
      <c r="IG63" s="178"/>
      <c r="IH63" s="178"/>
      <c r="II63" s="178"/>
      <c r="IJ63" s="178"/>
      <c r="IK63" s="178"/>
      <c r="IL63" s="178"/>
      <c r="IM63" s="178"/>
      <c r="IN63" s="178"/>
      <c r="IO63" s="178"/>
      <c r="IP63" s="178"/>
      <c r="IQ63" s="178"/>
      <c r="IR63" s="178"/>
      <c r="IS63" s="178"/>
      <c r="IT63" s="178"/>
      <c r="IU63" s="178"/>
      <c r="IV63" s="178"/>
      <c r="IW63" s="178"/>
      <c r="IX63" s="178"/>
      <c r="IY63" s="178"/>
      <c r="IZ63" s="178"/>
      <c r="JA63" s="178"/>
      <c r="JB63" s="178"/>
      <c r="JC63" s="178"/>
      <c r="JD63" s="178"/>
      <c r="JE63" s="178"/>
      <c r="JF63" s="178"/>
      <c r="JG63" s="178"/>
      <c r="JH63" s="178"/>
      <c r="JI63" s="178"/>
      <c r="JJ63" s="178"/>
      <c r="JK63" s="178"/>
      <c r="JL63" s="178"/>
      <c r="JM63" s="178"/>
      <c r="JN63" s="178"/>
      <c r="JO63" s="178"/>
      <c r="JP63" s="178"/>
      <c r="JQ63" s="178"/>
      <c r="JR63" s="178"/>
      <c r="JS63" s="178"/>
      <c r="JT63" s="178"/>
      <c r="JU63" s="178"/>
      <c r="JV63" s="178"/>
      <c r="JW63" s="178"/>
      <c r="JX63" s="178"/>
      <c r="JY63" s="178"/>
      <c r="JZ63" s="178"/>
      <c r="KA63" s="178"/>
    </row>
    <row r="64" spans="1:287" s="360" customFormat="1" ht="81.75" hidden="1" customHeight="1">
      <c r="A64" s="818">
        <v>6</v>
      </c>
      <c r="B64" s="1601"/>
      <c r="C64" s="818" t="s">
        <v>843</v>
      </c>
      <c r="D64" s="1045" t="s">
        <v>863</v>
      </c>
      <c r="E64" s="861">
        <f t="shared" si="50"/>
        <v>2</v>
      </c>
      <c r="F64" s="377">
        <v>0</v>
      </c>
      <c r="G64" s="377">
        <v>0</v>
      </c>
      <c r="H64" s="377">
        <v>0</v>
      </c>
      <c r="I64" s="377">
        <v>0</v>
      </c>
      <c r="J64" s="861">
        <f t="shared" si="51"/>
        <v>0</v>
      </c>
      <c r="K64" s="861">
        <f t="shared" si="52"/>
        <v>0</v>
      </c>
      <c r="L64" s="861">
        <f t="shared" si="53"/>
        <v>0</v>
      </c>
      <c r="M64" s="858">
        <f t="shared" si="54"/>
        <v>0</v>
      </c>
      <c r="N64" s="861">
        <f t="shared" si="55"/>
        <v>2</v>
      </c>
      <c r="O64" s="861">
        <f t="shared" si="56"/>
        <v>0</v>
      </c>
      <c r="P64" s="861">
        <f t="shared" si="57"/>
        <v>0</v>
      </c>
      <c r="Q64" s="861">
        <f t="shared" si="58"/>
        <v>0</v>
      </c>
      <c r="R64" s="861">
        <f t="shared" si="59"/>
        <v>0</v>
      </c>
      <c r="S64" s="861">
        <f t="shared" si="60"/>
        <v>0</v>
      </c>
      <c r="T64" s="861"/>
      <c r="U64" s="861"/>
      <c r="V64" s="331"/>
      <c r="W64" s="331"/>
      <c r="X64" s="331"/>
      <c r="Y64" s="331"/>
      <c r="Z64" s="331"/>
      <c r="AA64" s="331"/>
      <c r="AB64" s="331"/>
      <c r="AC64" s="331"/>
      <c r="AD64" s="331"/>
      <c r="AE64" s="769"/>
      <c r="AF64" s="769"/>
      <c r="AG64" s="769"/>
      <c r="AH64" s="769"/>
      <c r="AI64" s="769"/>
      <c r="AJ64" s="769"/>
      <c r="AK64" s="769"/>
      <c r="AL64" s="769"/>
      <c r="AM64" s="769"/>
      <c r="AN64" s="769"/>
      <c r="AO64" s="769"/>
      <c r="AP64" s="769"/>
      <c r="AQ64" s="769"/>
      <c r="AR64" s="769"/>
      <c r="AS64" s="769"/>
      <c r="AT64" s="769"/>
      <c r="AU64" s="769"/>
      <c r="AV64" s="769"/>
      <c r="AW64" s="769"/>
      <c r="AX64" s="769"/>
      <c r="AY64" s="769"/>
      <c r="AZ64" s="769"/>
      <c r="BA64" s="769"/>
      <c r="BB64" s="769"/>
      <c r="BC64" s="769"/>
      <c r="BD64" s="331"/>
      <c r="BE64" s="331"/>
      <c r="BF64" s="769"/>
      <c r="BG64" s="331"/>
      <c r="BH64" s="331"/>
      <c r="BI64" s="769"/>
      <c r="BJ64" s="769"/>
      <c r="BK64" s="769"/>
      <c r="BL64" s="769"/>
      <c r="BM64" s="769"/>
      <c r="BN64" s="331"/>
      <c r="BO64" s="331"/>
      <c r="BP64" s="331"/>
      <c r="BQ64" s="331"/>
      <c r="BR64" s="769"/>
      <c r="BS64" s="769"/>
      <c r="BT64" s="769"/>
      <c r="BU64" s="769"/>
      <c r="BV64" s="769"/>
      <c r="BW64" s="769"/>
      <c r="BX64" s="769"/>
      <c r="BY64" s="769"/>
      <c r="BZ64" s="769"/>
      <c r="CA64" s="769"/>
      <c r="CB64" s="331"/>
      <c r="CC64" s="769"/>
      <c r="CD64" s="769"/>
      <c r="CE64" s="769"/>
      <c r="CF64" s="331"/>
      <c r="CG64" s="331"/>
      <c r="CH64" s="769"/>
      <c r="CI64" s="331"/>
      <c r="CJ64" s="859"/>
      <c r="CK64" s="769"/>
      <c r="CL64" s="331"/>
      <c r="CM64" s="331"/>
      <c r="CN64" s="331"/>
      <c r="CO64" s="769"/>
      <c r="CP64" s="331"/>
      <c r="CQ64" s="769"/>
      <c r="CR64" s="769"/>
      <c r="CS64" s="769"/>
      <c r="CT64" s="769"/>
      <c r="CU64" s="769"/>
      <c r="CV64" s="769"/>
      <c r="CW64" s="769"/>
      <c r="CX64" s="769"/>
      <c r="CY64" s="769"/>
      <c r="CZ64" s="769"/>
      <c r="DA64" s="769"/>
      <c r="DB64" s="331"/>
      <c r="DC64" s="331"/>
      <c r="DD64" s="331"/>
      <c r="DE64" s="769"/>
      <c r="DF64" s="769"/>
      <c r="DG64" s="331"/>
      <c r="DH64" s="769"/>
      <c r="DI64" s="769"/>
      <c r="DJ64" s="331"/>
      <c r="DK64" s="331"/>
      <c r="DL64" s="769"/>
      <c r="DM64" s="769"/>
      <c r="DN64" s="769"/>
      <c r="DO64" s="769"/>
      <c r="DP64" s="769"/>
      <c r="DQ64" s="769"/>
      <c r="DR64" s="769"/>
      <c r="DS64" s="769"/>
      <c r="DT64" s="769"/>
      <c r="DU64" s="769"/>
      <c r="DV64" s="769"/>
      <c r="DW64" s="769"/>
      <c r="DX64" s="769"/>
      <c r="DY64" s="769"/>
      <c r="DZ64" s="769"/>
      <c r="EA64" s="769"/>
      <c r="EB64" s="769"/>
      <c r="EC64" s="769"/>
      <c r="ED64" s="769"/>
      <c r="EE64" s="769"/>
      <c r="EF64" s="769"/>
      <c r="EG64" s="769"/>
      <c r="EH64" s="769"/>
      <c r="EI64" s="769"/>
      <c r="EJ64" s="769"/>
      <c r="EK64" s="769"/>
      <c r="EL64" s="769"/>
      <c r="EM64" s="769"/>
      <c r="EN64" s="769"/>
      <c r="EO64" s="769"/>
      <c r="EP64" s="769"/>
      <c r="EQ64" s="390">
        <v>1</v>
      </c>
      <c r="ER64" s="769"/>
      <c r="ES64" s="769">
        <v>1</v>
      </c>
      <c r="ET64" s="769"/>
      <c r="EU64" s="769"/>
      <c r="EV64" s="769"/>
      <c r="EW64" s="769"/>
      <c r="EX64" s="769"/>
      <c r="EY64" s="769"/>
      <c r="EZ64" s="769"/>
      <c r="FA64" s="769"/>
      <c r="FB64" s="769"/>
      <c r="FC64" s="769"/>
      <c r="FD64" s="769"/>
      <c r="FE64" s="769"/>
      <c r="FF64" s="769"/>
      <c r="FG64" s="769"/>
      <c r="FH64" s="769"/>
      <c r="FI64" s="769"/>
      <c r="FJ64" s="769"/>
      <c r="FK64" s="769"/>
      <c r="FL64" s="769"/>
      <c r="FM64" s="769"/>
      <c r="FN64" s="769"/>
      <c r="FO64" s="769"/>
      <c r="FP64" s="769"/>
      <c r="FQ64" s="769"/>
      <c r="FR64" s="769"/>
      <c r="FS64" s="769"/>
      <c r="FT64" s="769"/>
      <c r="FU64" s="769"/>
      <c r="FV64" s="769"/>
      <c r="FW64" s="769"/>
      <c r="FX64" s="769"/>
      <c r="FY64" s="769"/>
      <c r="FZ64" s="769"/>
      <c r="GA64" s="769"/>
      <c r="GB64" s="769"/>
      <c r="GC64" s="769"/>
      <c r="GD64" s="769"/>
      <c r="GE64" s="769"/>
      <c r="GF64" s="769"/>
      <c r="GG64" s="769"/>
      <c r="GH64" s="769"/>
      <c r="GI64" s="769"/>
      <c r="GJ64" s="769"/>
      <c r="GK64" s="769"/>
      <c r="GL64" s="769"/>
      <c r="GM64" s="769"/>
      <c r="GN64" s="769"/>
      <c r="GO64" s="769"/>
      <c r="GP64" s="769"/>
      <c r="GQ64" s="769"/>
      <c r="GR64" s="331"/>
      <c r="GS64" s="331"/>
      <c r="GT64" s="331"/>
      <c r="GU64" s="331"/>
      <c r="GV64" s="331"/>
      <c r="GW64" s="397" t="s">
        <v>864</v>
      </c>
      <c r="GX64" s="870"/>
      <c r="GY64" s="870"/>
      <c r="GZ64" s="1171"/>
      <c r="HA64" s="1171"/>
      <c r="HB64" s="1175" t="s">
        <v>865</v>
      </c>
      <c r="HC64" s="178"/>
      <c r="HD64" s="178"/>
      <c r="HE64" s="178"/>
      <c r="HF64" s="178"/>
      <c r="HG64" s="178"/>
      <c r="HH64" s="178"/>
      <c r="HI64" s="178"/>
      <c r="HJ64" s="178"/>
      <c r="HK64" s="178"/>
      <c r="HL64" s="178"/>
      <c r="HM64" s="178"/>
      <c r="HN64" s="178"/>
      <c r="HO64" s="178"/>
      <c r="HP64" s="178"/>
      <c r="HQ64" s="178"/>
      <c r="HR64" s="178"/>
      <c r="HS64" s="178"/>
      <c r="HT64" s="178"/>
      <c r="HU64" s="178"/>
      <c r="HV64" s="178"/>
      <c r="HW64" s="178"/>
      <c r="HX64" s="178"/>
      <c r="HY64" s="178"/>
      <c r="HZ64" s="178"/>
      <c r="IA64" s="178"/>
      <c r="IB64" s="178"/>
      <c r="IC64" s="178"/>
      <c r="ID64" s="178"/>
      <c r="IE64" s="178"/>
      <c r="IF64" s="178"/>
      <c r="IG64" s="178"/>
      <c r="IH64" s="178"/>
      <c r="II64" s="178"/>
      <c r="IJ64" s="178"/>
      <c r="IK64" s="178"/>
      <c r="IL64" s="178"/>
      <c r="IM64" s="178"/>
      <c r="IN64" s="178"/>
      <c r="IO64" s="178"/>
      <c r="IP64" s="178"/>
      <c r="IQ64" s="178"/>
      <c r="IR64" s="178"/>
      <c r="IS64" s="178"/>
      <c r="IT64" s="178"/>
      <c r="IU64" s="178"/>
      <c r="IV64" s="178"/>
      <c r="IW64" s="178"/>
      <c r="IX64" s="178"/>
      <c r="IY64" s="178"/>
      <c r="IZ64" s="178"/>
      <c r="JA64" s="178"/>
      <c r="JB64" s="178"/>
      <c r="JC64" s="178"/>
      <c r="JD64" s="178"/>
      <c r="JE64" s="178"/>
      <c r="JF64" s="178"/>
      <c r="JG64" s="178"/>
      <c r="JH64" s="178"/>
      <c r="JI64" s="178"/>
      <c r="JJ64" s="178"/>
      <c r="JK64" s="178"/>
      <c r="JL64" s="178"/>
      <c r="JM64" s="178"/>
      <c r="JN64" s="178"/>
      <c r="JO64" s="178"/>
      <c r="JP64" s="178"/>
      <c r="JQ64" s="178"/>
      <c r="JR64" s="178"/>
      <c r="JS64" s="178"/>
      <c r="JT64" s="178"/>
      <c r="JU64" s="178"/>
      <c r="JV64" s="178"/>
      <c r="JW64" s="178"/>
      <c r="JX64" s="178"/>
      <c r="JY64" s="178"/>
      <c r="JZ64" s="178"/>
      <c r="KA64" s="178"/>
    </row>
    <row r="65" spans="1:287" s="360" customFormat="1" ht="52.5" hidden="1" customHeight="1">
      <c r="A65" s="754">
        <v>7</v>
      </c>
      <c r="B65" s="1600"/>
      <c r="C65" s="754" t="s">
        <v>843</v>
      </c>
      <c r="D65" s="755" t="s">
        <v>1403</v>
      </c>
      <c r="E65" s="861">
        <f t="shared" si="50"/>
        <v>3</v>
      </c>
      <c r="F65" s="377">
        <v>0</v>
      </c>
      <c r="G65" s="377">
        <v>0</v>
      </c>
      <c r="H65" s="377">
        <v>0</v>
      </c>
      <c r="I65" s="377">
        <v>0</v>
      </c>
      <c r="J65" s="858">
        <f t="shared" si="51"/>
        <v>0</v>
      </c>
      <c r="K65" s="858">
        <f t="shared" si="52"/>
        <v>0</v>
      </c>
      <c r="L65" s="858">
        <f t="shared" si="53"/>
        <v>0</v>
      </c>
      <c r="M65" s="858">
        <f t="shared" si="54"/>
        <v>0</v>
      </c>
      <c r="N65" s="858">
        <f t="shared" si="55"/>
        <v>2</v>
      </c>
      <c r="O65" s="861">
        <f t="shared" si="56"/>
        <v>1</v>
      </c>
      <c r="P65" s="861">
        <f t="shared" si="57"/>
        <v>0</v>
      </c>
      <c r="Q65" s="861">
        <f t="shared" si="58"/>
        <v>0</v>
      </c>
      <c r="R65" s="861">
        <f t="shared" si="59"/>
        <v>0</v>
      </c>
      <c r="S65" s="861">
        <f t="shared" si="60"/>
        <v>0</v>
      </c>
      <c r="T65" s="861"/>
      <c r="U65" s="858"/>
      <c r="V65" s="331"/>
      <c r="W65" s="331"/>
      <c r="X65" s="331"/>
      <c r="Y65" s="331"/>
      <c r="Z65" s="331"/>
      <c r="AA65" s="331"/>
      <c r="AB65" s="331"/>
      <c r="AC65" s="331"/>
      <c r="AD65" s="331"/>
      <c r="AE65" s="769"/>
      <c r="AF65" s="769"/>
      <c r="AG65" s="769"/>
      <c r="AH65" s="769"/>
      <c r="AI65" s="769"/>
      <c r="AJ65" s="769"/>
      <c r="AK65" s="769"/>
      <c r="AL65" s="769"/>
      <c r="AM65" s="769"/>
      <c r="AN65" s="769"/>
      <c r="AO65" s="769"/>
      <c r="AP65" s="769"/>
      <c r="AQ65" s="769"/>
      <c r="AR65" s="769"/>
      <c r="AS65" s="769"/>
      <c r="AT65" s="769"/>
      <c r="AU65" s="769"/>
      <c r="AV65" s="769"/>
      <c r="AW65" s="769"/>
      <c r="AX65" s="769"/>
      <c r="AY65" s="769"/>
      <c r="AZ65" s="769"/>
      <c r="BA65" s="769"/>
      <c r="BB65" s="769"/>
      <c r="BC65" s="769"/>
      <c r="BD65" s="331"/>
      <c r="BE65" s="331"/>
      <c r="BF65" s="769"/>
      <c r="BG65" s="331"/>
      <c r="BH65" s="331"/>
      <c r="BI65" s="769"/>
      <c r="BJ65" s="769"/>
      <c r="BK65" s="769"/>
      <c r="BL65" s="769"/>
      <c r="BM65" s="769"/>
      <c r="BN65" s="331"/>
      <c r="BO65" s="331"/>
      <c r="BP65" s="331"/>
      <c r="BQ65" s="331"/>
      <c r="BR65" s="769"/>
      <c r="BS65" s="769"/>
      <c r="BT65" s="769"/>
      <c r="BU65" s="769"/>
      <c r="BV65" s="769"/>
      <c r="BW65" s="769"/>
      <c r="BX65" s="769"/>
      <c r="BY65" s="769"/>
      <c r="BZ65" s="769"/>
      <c r="CA65" s="769"/>
      <c r="CB65" s="331"/>
      <c r="CC65" s="769"/>
      <c r="CD65" s="769"/>
      <c r="CE65" s="769"/>
      <c r="CF65" s="331"/>
      <c r="CG65" s="331"/>
      <c r="CH65" s="769"/>
      <c r="CI65" s="331"/>
      <c r="CJ65" s="859"/>
      <c r="CK65" s="769"/>
      <c r="CL65" s="331"/>
      <c r="CM65" s="331"/>
      <c r="CN65" s="331"/>
      <c r="CO65" s="769"/>
      <c r="CP65" s="331"/>
      <c r="CQ65" s="769"/>
      <c r="CR65" s="769"/>
      <c r="CS65" s="769"/>
      <c r="CT65" s="769"/>
      <c r="CU65" s="769"/>
      <c r="CV65" s="769"/>
      <c r="CW65" s="769"/>
      <c r="CX65" s="769"/>
      <c r="CY65" s="769"/>
      <c r="CZ65" s="769"/>
      <c r="DA65" s="769"/>
      <c r="DB65" s="331"/>
      <c r="DC65" s="331"/>
      <c r="DD65" s="331"/>
      <c r="DE65" s="769"/>
      <c r="DF65" s="769"/>
      <c r="DG65" s="331"/>
      <c r="DH65" s="769"/>
      <c r="DI65" s="769"/>
      <c r="DJ65" s="331"/>
      <c r="DK65" s="331"/>
      <c r="DL65" s="738"/>
      <c r="DM65" s="738"/>
      <c r="DN65" s="738"/>
      <c r="DO65" s="738"/>
      <c r="DP65" s="738"/>
      <c r="DQ65" s="738"/>
      <c r="DR65" s="738"/>
      <c r="DS65" s="738"/>
      <c r="DT65" s="738">
        <v>1</v>
      </c>
      <c r="DU65" s="738"/>
      <c r="DV65" s="738"/>
      <c r="DW65" s="738"/>
      <c r="DX65" s="738"/>
      <c r="DY65" s="738"/>
      <c r="DZ65" s="738"/>
      <c r="EA65" s="738"/>
      <c r="EB65" s="738"/>
      <c r="EC65" s="738"/>
      <c r="ED65" s="738"/>
      <c r="EE65" s="738"/>
      <c r="EF65" s="738"/>
      <c r="EG65" s="738"/>
      <c r="EH65" s="738"/>
      <c r="EI65" s="738"/>
      <c r="EJ65" s="738"/>
      <c r="EK65" s="738"/>
      <c r="EL65" s="738"/>
      <c r="EM65" s="738"/>
      <c r="EN65" s="738"/>
      <c r="EO65" s="738"/>
      <c r="EP65" s="738"/>
      <c r="EQ65" s="738"/>
      <c r="ER65" s="738"/>
      <c r="ES65" s="738"/>
      <c r="ET65" s="738"/>
      <c r="EU65" s="738"/>
      <c r="EV65" s="738"/>
      <c r="EW65" s="738">
        <v>1</v>
      </c>
      <c r="EX65" s="738"/>
      <c r="EY65" s="738"/>
      <c r="EZ65" s="738"/>
      <c r="FA65" s="738"/>
      <c r="FB65" s="738"/>
      <c r="FC65" s="738"/>
      <c r="FD65" s="738"/>
      <c r="FE65" s="738"/>
      <c r="FF65" s="738"/>
      <c r="FG65" s="738"/>
      <c r="FH65" s="738">
        <v>1</v>
      </c>
      <c r="FI65" s="738"/>
      <c r="FJ65" s="738"/>
      <c r="FK65" s="738"/>
      <c r="FL65" s="738"/>
      <c r="FM65" s="738"/>
      <c r="FN65" s="738"/>
      <c r="FO65" s="738"/>
      <c r="FP65" s="738"/>
      <c r="FQ65" s="738"/>
      <c r="FR65" s="738"/>
      <c r="FS65" s="738"/>
      <c r="FT65" s="738"/>
      <c r="FU65" s="738"/>
      <c r="FV65" s="738"/>
      <c r="FW65" s="738"/>
      <c r="FX65" s="738"/>
      <c r="FY65" s="738"/>
      <c r="FZ65" s="738"/>
      <c r="GA65" s="738"/>
      <c r="GB65" s="738"/>
      <c r="GC65" s="738"/>
      <c r="GD65" s="738"/>
      <c r="GE65" s="738"/>
      <c r="GF65" s="738"/>
      <c r="GG65" s="738"/>
      <c r="GH65" s="738"/>
      <c r="GI65" s="738"/>
      <c r="GJ65" s="738"/>
      <c r="GK65" s="738"/>
      <c r="GL65" s="738"/>
      <c r="GM65" s="738"/>
      <c r="GN65" s="738"/>
      <c r="GO65" s="738"/>
      <c r="GP65" s="738"/>
      <c r="GQ65" s="738"/>
      <c r="GR65" s="331"/>
      <c r="GS65" s="331"/>
      <c r="GT65" s="331"/>
      <c r="GU65" s="331"/>
      <c r="GV65" s="331"/>
      <c r="GW65" s="863"/>
      <c r="GX65" s="863"/>
      <c r="GY65" s="863"/>
      <c r="GZ65" s="1172"/>
      <c r="HA65" s="1172"/>
      <c r="HB65" s="864" t="s">
        <v>1321</v>
      </c>
      <c r="HC65" s="178"/>
      <c r="HD65" s="178"/>
      <c r="HE65" s="178"/>
      <c r="HF65" s="178"/>
      <c r="HG65" s="178"/>
      <c r="HH65" s="178"/>
      <c r="HI65" s="178"/>
      <c r="HJ65" s="178"/>
      <c r="HK65" s="178"/>
      <c r="HL65" s="178"/>
      <c r="HM65" s="178"/>
      <c r="HN65" s="178"/>
      <c r="HO65" s="178"/>
      <c r="HP65" s="178"/>
      <c r="HQ65" s="178"/>
      <c r="HR65" s="178"/>
      <c r="HS65" s="178"/>
      <c r="HT65" s="178"/>
      <c r="HU65" s="178"/>
      <c r="HV65" s="178"/>
      <c r="HW65" s="178"/>
      <c r="HX65" s="178"/>
      <c r="HY65" s="178"/>
      <c r="HZ65" s="178"/>
      <c r="IA65" s="178"/>
      <c r="IB65" s="178"/>
      <c r="IC65" s="178"/>
      <c r="ID65" s="178"/>
      <c r="IE65" s="178"/>
      <c r="IF65" s="178"/>
      <c r="IG65" s="178"/>
      <c r="IH65" s="178"/>
      <c r="II65" s="178"/>
      <c r="IJ65" s="178"/>
      <c r="IK65" s="178"/>
      <c r="IL65" s="178"/>
      <c r="IM65" s="178"/>
      <c r="IN65" s="178"/>
      <c r="IO65" s="178"/>
      <c r="IP65" s="178"/>
      <c r="IQ65" s="178"/>
      <c r="IR65" s="178"/>
      <c r="IS65" s="178"/>
      <c r="IT65" s="178"/>
      <c r="IU65" s="178"/>
      <c r="IV65" s="178"/>
      <c r="IW65" s="178"/>
      <c r="IX65" s="178"/>
      <c r="IY65" s="178"/>
      <c r="IZ65" s="178"/>
      <c r="JA65" s="178"/>
      <c r="JB65" s="178"/>
      <c r="JC65" s="178"/>
      <c r="JD65" s="178"/>
      <c r="JE65" s="178"/>
      <c r="JF65" s="178"/>
      <c r="JG65" s="178"/>
      <c r="JH65" s="178"/>
      <c r="JI65" s="178"/>
      <c r="JJ65" s="178"/>
      <c r="JK65" s="178"/>
      <c r="JL65" s="178"/>
      <c r="JM65" s="178"/>
      <c r="JN65" s="178"/>
      <c r="JO65" s="178"/>
      <c r="JP65" s="178"/>
      <c r="JQ65" s="178"/>
      <c r="JR65" s="178"/>
      <c r="JS65" s="178"/>
      <c r="JT65" s="178"/>
      <c r="JU65" s="178"/>
      <c r="JV65" s="178"/>
      <c r="JW65" s="178"/>
      <c r="JX65" s="178"/>
      <c r="JY65" s="178"/>
      <c r="JZ65" s="178"/>
      <c r="KA65" s="178"/>
    </row>
    <row r="66" spans="1:287" s="360" customFormat="1" ht="52.5" hidden="1" customHeight="1">
      <c r="A66" s="1486">
        <v>8</v>
      </c>
      <c r="B66" s="1601"/>
      <c r="C66" s="1170" t="s">
        <v>843</v>
      </c>
      <c r="D66" s="409" t="s">
        <v>866</v>
      </c>
      <c r="E66" s="861">
        <f t="shared" si="50"/>
        <v>0</v>
      </c>
      <c r="F66" s="377">
        <v>0</v>
      </c>
      <c r="G66" s="377">
        <v>0</v>
      </c>
      <c r="H66" s="377">
        <v>0</v>
      </c>
      <c r="I66" s="377">
        <v>0</v>
      </c>
      <c r="J66" s="1012">
        <f t="shared" si="51"/>
        <v>0</v>
      </c>
      <c r="K66" s="379">
        <f t="shared" si="52"/>
        <v>0</v>
      </c>
      <c r="L66" s="379">
        <f t="shared" si="53"/>
        <v>0</v>
      </c>
      <c r="M66" s="861">
        <f t="shared" si="54"/>
        <v>0</v>
      </c>
      <c r="N66" s="861">
        <f t="shared" si="55"/>
        <v>0</v>
      </c>
      <c r="O66" s="861">
        <f t="shared" si="56"/>
        <v>0</v>
      </c>
      <c r="P66" s="861">
        <f t="shared" si="57"/>
        <v>0</v>
      </c>
      <c r="Q66" s="861">
        <f t="shared" si="58"/>
        <v>0</v>
      </c>
      <c r="R66" s="861">
        <f t="shared" si="59"/>
        <v>0</v>
      </c>
      <c r="S66" s="861">
        <f t="shared" si="60"/>
        <v>0</v>
      </c>
      <c r="T66" s="861"/>
      <c r="U66" s="861"/>
      <c r="V66" s="331"/>
      <c r="W66" s="331"/>
      <c r="X66" s="331"/>
      <c r="Y66" s="331"/>
      <c r="Z66" s="331"/>
      <c r="AA66" s="331"/>
      <c r="AB66" s="331"/>
      <c r="AC66" s="331"/>
      <c r="AD66" s="331"/>
      <c r="AE66" s="769"/>
      <c r="AF66" s="769"/>
      <c r="AG66" s="769"/>
      <c r="AH66" s="769"/>
      <c r="AI66" s="769"/>
      <c r="AJ66" s="769"/>
      <c r="AK66" s="769"/>
      <c r="AL66" s="769"/>
      <c r="AM66" s="769"/>
      <c r="AN66" s="769"/>
      <c r="AO66" s="769"/>
      <c r="AP66" s="769"/>
      <c r="AQ66" s="769"/>
      <c r="AR66" s="769"/>
      <c r="AS66" s="769"/>
      <c r="AT66" s="769"/>
      <c r="AU66" s="769"/>
      <c r="AV66" s="769"/>
      <c r="AW66" s="769"/>
      <c r="AX66" s="769"/>
      <c r="AY66" s="769"/>
      <c r="AZ66" s="769"/>
      <c r="BA66" s="769"/>
      <c r="BB66" s="769"/>
      <c r="BC66" s="769"/>
      <c r="BD66" s="331"/>
      <c r="BE66" s="331"/>
      <c r="BF66" s="769"/>
      <c r="BG66" s="331"/>
      <c r="BH66" s="331"/>
      <c r="BI66" s="769"/>
      <c r="BJ66" s="769"/>
      <c r="BK66" s="769"/>
      <c r="BL66" s="769"/>
      <c r="BM66" s="769"/>
      <c r="BN66" s="331"/>
      <c r="BO66" s="331"/>
      <c r="BP66" s="331"/>
      <c r="BQ66" s="331"/>
      <c r="BR66" s="769"/>
      <c r="BS66" s="769"/>
      <c r="BT66" s="769"/>
      <c r="BU66" s="769"/>
      <c r="BV66" s="769"/>
      <c r="BW66" s="769"/>
      <c r="BX66" s="769"/>
      <c r="BY66" s="769"/>
      <c r="BZ66" s="769"/>
      <c r="CA66" s="769"/>
      <c r="CB66" s="331"/>
      <c r="CC66" s="769"/>
      <c r="CD66" s="769"/>
      <c r="CE66" s="769"/>
      <c r="CF66" s="331"/>
      <c r="CG66" s="331"/>
      <c r="CH66" s="769"/>
      <c r="CI66" s="331"/>
      <c r="CJ66" s="738"/>
      <c r="CK66" s="769"/>
      <c r="CL66" s="331"/>
      <c r="CM66" s="331"/>
      <c r="CN66" s="331"/>
      <c r="CO66" s="769"/>
      <c r="CP66" s="331"/>
      <c r="CQ66" s="769"/>
      <c r="CR66" s="769"/>
      <c r="CS66" s="769"/>
      <c r="CT66" s="769"/>
      <c r="CU66" s="769"/>
      <c r="CV66" s="769"/>
      <c r="CW66" s="769"/>
      <c r="CX66" s="769"/>
      <c r="CY66" s="769"/>
      <c r="CZ66" s="769"/>
      <c r="DA66" s="769"/>
      <c r="DB66" s="331"/>
      <c r="DC66" s="331"/>
      <c r="DD66" s="331"/>
      <c r="DE66" s="769"/>
      <c r="DF66" s="769"/>
      <c r="DG66" s="331"/>
      <c r="DH66" s="769"/>
      <c r="DI66" s="769"/>
      <c r="DJ66" s="331"/>
      <c r="DK66" s="331"/>
      <c r="DL66" s="390"/>
      <c r="DM66" s="390"/>
      <c r="DN66" s="390"/>
      <c r="DO66" s="390"/>
      <c r="DP66" s="390"/>
      <c r="DQ66" s="390"/>
      <c r="DR66" s="390"/>
      <c r="DS66" s="390"/>
      <c r="DT66" s="390"/>
      <c r="DU66" s="390"/>
      <c r="DV66" s="390"/>
      <c r="DW66" s="390"/>
      <c r="DX66" s="390"/>
      <c r="DY66" s="390"/>
      <c r="DZ66" s="390"/>
      <c r="EA66" s="390"/>
      <c r="EB66" s="390"/>
      <c r="EC66" s="390"/>
      <c r="ED66" s="390"/>
      <c r="EE66" s="390"/>
      <c r="EF66" s="390"/>
      <c r="EG66" s="390"/>
      <c r="EH66" s="390"/>
      <c r="EI66" s="390"/>
      <c r="EJ66" s="390"/>
      <c r="EK66" s="390"/>
      <c r="EL66" s="390"/>
      <c r="EM66" s="390"/>
      <c r="EN66" s="390"/>
      <c r="EO66" s="390"/>
      <c r="EP66" s="390"/>
      <c r="EQ66" s="884"/>
      <c r="ER66" s="390"/>
      <c r="ES66" s="390"/>
      <c r="ET66" s="390"/>
      <c r="EU66" s="390"/>
      <c r="EV66" s="390"/>
      <c r="EW66" s="390"/>
      <c r="EX66" s="390"/>
      <c r="EY66" s="390"/>
      <c r="EZ66" s="390"/>
      <c r="FA66" s="390"/>
      <c r="FB66" s="390"/>
      <c r="FC66" s="390"/>
      <c r="FD66" s="390"/>
      <c r="FE66" s="390"/>
      <c r="FF66" s="390"/>
      <c r="FG66" s="390"/>
      <c r="FH66" s="390"/>
      <c r="FI66" s="390"/>
      <c r="FJ66" s="390"/>
      <c r="FK66" s="390"/>
      <c r="FL66" s="390"/>
      <c r="FM66" s="390"/>
      <c r="FN66" s="390"/>
      <c r="FO66" s="390"/>
      <c r="FP66" s="390"/>
      <c r="FQ66" s="390"/>
      <c r="FR66" s="390"/>
      <c r="FS66" s="390"/>
      <c r="FT66" s="390"/>
      <c r="FU66" s="390"/>
      <c r="FV66" s="390"/>
      <c r="FW66" s="390"/>
      <c r="FX66" s="390"/>
      <c r="FY66" s="390"/>
      <c r="FZ66" s="390"/>
      <c r="GA66" s="390"/>
      <c r="GB66" s="390"/>
      <c r="GC66" s="390"/>
      <c r="GD66" s="390"/>
      <c r="GE66" s="390"/>
      <c r="GF66" s="390"/>
      <c r="GG66" s="390"/>
      <c r="GH66" s="390"/>
      <c r="GI66" s="390"/>
      <c r="GJ66" s="390"/>
      <c r="GK66" s="390"/>
      <c r="GL66" s="390"/>
      <c r="GM66" s="390"/>
      <c r="GN66" s="390"/>
      <c r="GO66" s="390"/>
      <c r="GP66" s="390"/>
      <c r="GQ66" s="390"/>
      <c r="GR66" s="331"/>
      <c r="GS66" s="331"/>
      <c r="GT66" s="331"/>
      <c r="GU66" s="331"/>
      <c r="GV66" s="331"/>
      <c r="GW66" s="876" t="s">
        <v>867</v>
      </c>
      <c r="GX66" s="877"/>
      <c r="GY66" s="877"/>
      <c r="GZ66" s="1173"/>
      <c r="HA66" s="1173"/>
      <c r="HB66" s="279" t="s">
        <v>868</v>
      </c>
      <c r="HC66" s="178"/>
      <c r="HD66" s="178"/>
      <c r="HE66" s="178"/>
      <c r="HF66" s="178"/>
      <c r="HG66" s="178"/>
      <c r="HH66" s="178"/>
      <c r="HI66" s="178"/>
      <c r="HJ66" s="178"/>
      <c r="HK66" s="178"/>
      <c r="HL66" s="178"/>
      <c r="HM66" s="178"/>
      <c r="HN66" s="178"/>
      <c r="HO66" s="178"/>
      <c r="HP66" s="178"/>
      <c r="HQ66" s="178"/>
      <c r="HR66" s="178"/>
      <c r="HS66" s="178"/>
      <c r="HT66" s="178"/>
      <c r="HU66" s="178"/>
      <c r="HV66" s="178"/>
      <c r="HW66" s="178"/>
      <c r="HX66" s="178"/>
      <c r="HY66" s="178"/>
      <c r="HZ66" s="178"/>
      <c r="IA66" s="178"/>
      <c r="IB66" s="178"/>
      <c r="IC66" s="178"/>
      <c r="ID66" s="178"/>
      <c r="IE66" s="178"/>
      <c r="IF66" s="178"/>
      <c r="IG66" s="178"/>
      <c r="IH66" s="178"/>
      <c r="II66" s="178"/>
      <c r="IJ66" s="178"/>
      <c r="IK66" s="178"/>
      <c r="IL66" s="178"/>
      <c r="IM66" s="178"/>
      <c r="IN66" s="178"/>
      <c r="IO66" s="178"/>
      <c r="IP66" s="178"/>
      <c r="IQ66" s="178"/>
      <c r="IR66" s="178"/>
      <c r="IS66" s="178"/>
      <c r="IT66" s="178"/>
      <c r="IU66" s="178"/>
      <c r="IV66" s="178"/>
      <c r="IW66" s="178"/>
      <c r="IX66" s="178"/>
      <c r="IY66" s="178"/>
      <c r="IZ66" s="178"/>
      <c r="JA66" s="178"/>
      <c r="JB66" s="178"/>
      <c r="JC66" s="178"/>
      <c r="JD66" s="178"/>
      <c r="JE66" s="178"/>
      <c r="JF66" s="178"/>
      <c r="JG66" s="178"/>
      <c r="JH66" s="178"/>
      <c r="JI66" s="178"/>
      <c r="JJ66" s="178"/>
      <c r="JK66" s="178"/>
      <c r="JL66" s="178"/>
      <c r="JM66" s="178"/>
      <c r="JN66" s="178"/>
      <c r="JO66" s="178"/>
      <c r="JP66" s="178"/>
      <c r="JQ66" s="178"/>
      <c r="JR66" s="178"/>
      <c r="JS66" s="178"/>
      <c r="JT66" s="178"/>
      <c r="JU66" s="178"/>
      <c r="JV66" s="178"/>
      <c r="JW66" s="178"/>
      <c r="JX66" s="178"/>
      <c r="JY66" s="178"/>
      <c r="JZ66" s="178"/>
      <c r="KA66" s="178"/>
    </row>
    <row r="67" spans="1:287" s="360" customFormat="1" ht="52.5" hidden="1" customHeight="1">
      <c r="A67" s="754">
        <v>9</v>
      </c>
      <c r="B67" s="1600"/>
      <c r="C67" s="754" t="s">
        <v>1300</v>
      </c>
      <c r="D67" s="755" t="s">
        <v>1301</v>
      </c>
      <c r="E67" s="858">
        <f t="shared" si="50"/>
        <v>5</v>
      </c>
      <c r="F67" s="861"/>
      <c r="G67" s="861"/>
      <c r="H67" s="861"/>
      <c r="I67" s="861"/>
      <c r="J67" s="858">
        <f t="shared" si="51"/>
        <v>0</v>
      </c>
      <c r="K67" s="861">
        <f t="shared" si="52"/>
        <v>0</v>
      </c>
      <c r="L67" s="858">
        <f t="shared" si="53"/>
        <v>0</v>
      </c>
      <c r="M67" s="858">
        <f t="shared" si="54"/>
        <v>2</v>
      </c>
      <c r="N67" s="858">
        <f t="shared" si="55"/>
        <v>1</v>
      </c>
      <c r="O67" s="858">
        <f t="shared" si="56"/>
        <v>1</v>
      </c>
      <c r="P67" s="858">
        <f t="shared" si="57"/>
        <v>1</v>
      </c>
      <c r="Q67" s="858">
        <f t="shared" si="58"/>
        <v>0</v>
      </c>
      <c r="R67" s="858">
        <f t="shared" si="59"/>
        <v>0</v>
      </c>
      <c r="S67" s="858">
        <f t="shared" si="60"/>
        <v>1</v>
      </c>
      <c r="T67" s="858"/>
      <c r="U67" s="858"/>
      <c r="V67" s="769"/>
      <c r="W67" s="769"/>
      <c r="X67" s="769"/>
      <c r="Y67" s="769"/>
      <c r="Z67" s="769"/>
      <c r="AA67" s="769"/>
      <c r="AB67" s="769"/>
      <c r="AC67" s="769"/>
      <c r="AD67" s="769"/>
      <c r="AE67" s="769"/>
      <c r="AF67" s="769"/>
      <c r="AG67" s="769"/>
      <c r="AH67" s="769"/>
      <c r="AI67" s="769"/>
      <c r="AJ67" s="769"/>
      <c r="AK67" s="769"/>
      <c r="AL67" s="769"/>
      <c r="AM67" s="769"/>
      <c r="AN67" s="769"/>
      <c r="AO67" s="769"/>
      <c r="AP67" s="769"/>
      <c r="AQ67" s="769"/>
      <c r="AR67" s="769"/>
      <c r="AS67" s="769"/>
      <c r="AT67" s="769"/>
      <c r="AU67" s="769"/>
      <c r="AV67" s="769"/>
      <c r="AW67" s="769"/>
      <c r="AX67" s="769"/>
      <c r="AY67" s="769"/>
      <c r="AZ67" s="769"/>
      <c r="BA67" s="769"/>
      <c r="BB67" s="769"/>
      <c r="BC67" s="769"/>
      <c r="BD67" s="769"/>
      <c r="BE67" s="769"/>
      <c r="BF67" s="769"/>
      <c r="BG67" s="769"/>
      <c r="BH67" s="769"/>
      <c r="BI67" s="769"/>
      <c r="BJ67" s="769"/>
      <c r="BK67" s="769"/>
      <c r="BL67" s="769"/>
      <c r="BM67" s="769"/>
      <c r="BN67" s="769"/>
      <c r="BO67" s="769"/>
      <c r="BP67" s="769"/>
      <c r="BQ67" s="769"/>
      <c r="BR67" s="769"/>
      <c r="BS67" s="769"/>
      <c r="BT67" s="769"/>
      <c r="BU67" s="769"/>
      <c r="BV67" s="769"/>
      <c r="BW67" s="769"/>
      <c r="BX67" s="769"/>
      <c r="BY67" s="769"/>
      <c r="BZ67" s="769"/>
      <c r="CA67" s="769"/>
      <c r="CB67" s="769"/>
      <c r="CC67" s="769"/>
      <c r="CD67" s="769"/>
      <c r="CE67" s="769"/>
      <c r="CF67" s="769"/>
      <c r="CG67" s="769"/>
      <c r="CH67" s="769"/>
      <c r="CI67" s="769"/>
      <c r="CJ67" s="738"/>
      <c r="CK67" s="769"/>
      <c r="CL67" s="769"/>
      <c r="CM67" s="769"/>
      <c r="CN67" s="769"/>
      <c r="CO67" s="769"/>
      <c r="CP67" s="769"/>
      <c r="CQ67" s="769"/>
      <c r="CR67" s="769"/>
      <c r="CS67" s="769"/>
      <c r="CT67" s="769"/>
      <c r="CU67" s="769"/>
      <c r="CV67" s="769"/>
      <c r="CW67" s="769"/>
      <c r="CX67" s="769"/>
      <c r="CY67" s="769"/>
      <c r="CZ67" s="769"/>
      <c r="DA67" s="769"/>
      <c r="DB67" s="769"/>
      <c r="DC67" s="769"/>
      <c r="DD67" s="769">
        <v>2</v>
      </c>
      <c r="DE67" s="769"/>
      <c r="DF67" s="769"/>
      <c r="DG67" s="769"/>
      <c r="DH67" s="769"/>
      <c r="DI67" s="769"/>
      <c r="DJ67" s="769"/>
      <c r="DK67" s="769"/>
      <c r="DL67" s="769"/>
      <c r="DM67" s="769"/>
      <c r="DN67" s="769"/>
      <c r="DO67" s="769"/>
      <c r="DP67" s="769"/>
      <c r="DQ67" s="769"/>
      <c r="DR67" s="769"/>
      <c r="DS67" s="769"/>
      <c r="DT67" s="769"/>
      <c r="DU67" s="769"/>
      <c r="DV67" s="769"/>
      <c r="DW67" s="769">
        <v>1</v>
      </c>
      <c r="DX67" s="769"/>
      <c r="DY67" s="769"/>
      <c r="DZ67" s="769"/>
      <c r="EA67" s="769"/>
      <c r="EB67" s="769"/>
      <c r="EC67" s="769"/>
      <c r="ED67" s="769"/>
      <c r="EE67" s="769"/>
      <c r="EF67" s="769"/>
      <c r="EG67" s="769"/>
      <c r="EH67" s="769"/>
      <c r="EI67" s="769"/>
      <c r="EJ67" s="769"/>
      <c r="EK67" s="769"/>
      <c r="EL67" s="769"/>
      <c r="EM67" s="769"/>
      <c r="EN67" s="769"/>
      <c r="EO67" s="769"/>
      <c r="EP67" s="769"/>
      <c r="EQ67" s="859"/>
      <c r="ER67" s="769"/>
      <c r="ES67" s="769"/>
      <c r="ET67" s="769"/>
      <c r="EU67" s="769"/>
      <c r="EV67" s="769"/>
      <c r="EW67" s="769"/>
      <c r="EX67" s="769"/>
      <c r="EY67" s="769"/>
      <c r="EZ67" s="769"/>
      <c r="FA67" s="769"/>
      <c r="FB67" s="769"/>
      <c r="FC67" s="769"/>
      <c r="FD67" s="769"/>
      <c r="FE67" s="769"/>
      <c r="FF67" s="769"/>
      <c r="FG67" s="769"/>
      <c r="FH67" s="769"/>
      <c r="FI67" s="769"/>
      <c r="FJ67" s="769"/>
      <c r="FK67" s="769"/>
      <c r="FL67" s="769"/>
      <c r="FM67" s="769"/>
      <c r="FN67" s="769"/>
      <c r="FO67" s="769"/>
      <c r="FP67" s="769"/>
      <c r="FQ67" s="769"/>
      <c r="FR67" s="769"/>
      <c r="FS67" s="769"/>
      <c r="FT67" s="769"/>
      <c r="FU67" s="769">
        <v>1</v>
      </c>
      <c r="FV67" s="769"/>
      <c r="FW67" s="769"/>
      <c r="FX67" s="769"/>
      <c r="FY67" s="769"/>
      <c r="FZ67" s="769"/>
      <c r="GA67" s="769"/>
      <c r="GB67" s="769"/>
      <c r="GC67" s="769"/>
      <c r="GD67" s="769"/>
      <c r="GE67" s="769"/>
      <c r="GF67" s="769"/>
      <c r="GG67" s="769"/>
      <c r="GH67" s="769"/>
      <c r="GI67" s="769"/>
      <c r="GJ67" s="769"/>
      <c r="GK67" s="738">
        <v>1</v>
      </c>
      <c r="GL67" s="738"/>
      <c r="GM67" s="738"/>
      <c r="GN67" s="738"/>
      <c r="GO67" s="738"/>
      <c r="GP67" s="738"/>
      <c r="GQ67" s="738"/>
      <c r="GR67" s="769"/>
      <c r="GS67" s="769"/>
      <c r="GT67" s="769"/>
      <c r="GU67" s="769"/>
      <c r="GV67" s="769"/>
      <c r="GW67" s="863"/>
      <c r="GX67" s="863"/>
      <c r="GY67" s="863"/>
      <c r="GZ67" s="1487"/>
      <c r="HA67" s="1487"/>
      <c r="HB67" s="864" t="s">
        <v>1326</v>
      </c>
      <c r="HC67" s="178"/>
      <c r="HD67" s="178"/>
      <c r="HE67" s="178"/>
      <c r="HF67" s="178"/>
      <c r="HG67" s="178"/>
      <c r="HH67" s="178"/>
      <c r="HI67" s="178"/>
      <c r="HJ67" s="178"/>
      <c r="HK67" s="178"/>
      <c r="HL67" s="178"/>
      <c r="HM67" s="178"/>
      <c r="HN67" s="178"/>
      <c r="HO67" s="178"/>
      <c r="HP67" s="178"/>
      <c r="HQ67" s="178"/>
      <c r="HR67" s="178"/>
      <c r="HS67" s="178"/>
      <c r="HT67" s="178"/>
      <c r="HU67" s="178"/>
      <c r="HV67" s="178"/>
      <c r="HW67" s="178"/>
      <c r="HX67" s="178"/>
      <c r="HY67" s="178"/>
      <c r="HZ67" s="178"/>
      <c r="IA67" s="178"/>
      <c r="IB67" s="178"/>
      <c r="IC67" s="178"/>
      <c r="ID67" s="178"/>
      <c r="IE67" s="178"/>
      <c r="IF67" s="178"/>
      <c r="IG67" s="178"/>
      <c r="IH67" s="178"/>
      <c r="II67" s="178"/>
      <c r="IJ67" s="178"/>
      <c r="IK67" s="178"/>
      <c r="IL67" s="178"/>
      <c r="IM67" s="178"/>
      <c r="IN67" s="178"/>
      <c r="IO67" s="178"/>
      <c r="IP67" s="178"/>
      <c r="IQ67" s="178"/>
      <c r="IR67" s="178"/>
      <c r="IS67" s="178"/>
      <c r="IT67" s="178"/>
      <c r="IU67" s="178"/>
      <c r="IV67" s="178"/>
      <c r="IW67" s="178"/>
      <c r="IX67" s="178"/>
      <c r="IY67" s="178"/>
      <c r="IZ67" s="178"/>
      <c r="JA67" s="178"/>
      <c r="JB67" s="178"/>
      <c r="JC67" s="178"/>
      <c r="JD67" s="178"/>
      <c r="JE67" s="178"/>
      <c r="JF67" s="178"/>
      <c r="JG67" s="178"/>
      <c r="JH67" s="178"/>
      <c r="JI67" s="178"/>
      <c r="JJ67" s="178"/>
      <c r="JK67" s="178"/>
      <c r="JL67" s="178"/>
      <c r="JM67" s="178"/>
      <c r="JN67" s="178"/>
      <c r="JO67" s="178"/>
      <c r="JP67" s="178"/>
      <c r="JQ67" s="178"/>
      <c r="JR67" s="178"/>
      <c r="JS67" s="178"/>
      <c r="JT67" s="178"/>
      <c r="JU67" s="178"/>
      <c r="JV67" s="178"/>
      <c r="JW67" s="178"/>
      <c r="JX67" s="178"/>
      <c r="JY67" s="178"/>
      <c r="JZ67" s="178"/>
      <c r="KA67" s="178"/>
    </row>
    <row r="68" spans="1:287" s="360" customFormat="1" ht="52.5" hidden="1" customHeight="1">
      <c r="A68" s="1011">
        <v>10</v>
      </c>
      <c r="B68" s="1601"/>
      <c r="C68" s="1486" t="s">
        <v>843</v>
      </c>
      <c r="D68" s="378" t="s">
        <v>1367</v>
      </c>
      <c r="E68" s="379">
        <f t="shared" si="50"/>
        <v>1</v>
      </c>
      <c r="F68" s="377">
        <v>0</v>
      </c>
      <c r="G68" s="377">
        <v>0</v>
      </c>
      <c r="H68" s="377">
        <v>0</v>
      </c>
      <c r="I68" s="377">
        <v>0</v>
      </c>
      <c r="J68" s="858">
        <f t="shared" si="51"/>
        <v>0</v>
      </c>
      <c r="K68" s="861">
        <f t="shared" si="52"/>
        <v>0</v>
      </c>
      <c r="L68" s="379">
        <f t="shared" si="53"/>
        <v>0</v>
      </c>
      <c r="M68" s="1012">
        <f t="shared" si="54"/>
        <v>0</v>
      </c>
      <c r="N68" s="379">
        <f t="shared" si="55"/>
        <v>1</v>
      </c>
      <c r="O68" s="379">
        <f t="shared" si="56"/>
        <v>0</v>
      </c>
      <c r="P68" s="379">
        <f t="shared" si="57"/>
        <v>0</v>
      </c>
      <c r="Q68" s="379">
        <f t="shared" si="58"/>
        <v>0</v>
      </c>
      <c r="R68" s="379">
        <f t="shared" si="59"/>
        <v>0</v>
      </c>
      <c r="S68" s="379">
        <f t="shared" si="60"/>
        <v>0</v>
      </c>
      <c r="T68" s="379"/>
      <c r="U68" s="379"/>
      <c r="V68" s="331"/>
      <c r="W68" s="331"/>
      <c r="X68" s="331"/>
      <c r="Y68" s="331"/>
      <c r="Z68" s="331"/>
      <c r="AA68" s="331"/>
      <c r="AB68" s="331"/>
      <c r="AC68" s="331"/>
      <c r="AD68" s="331"/>
      <c r="AE68" s="769"/>
      <c r="AF68" s="769"/>
      <c r="AG68" s="769"/>
      <c r="AH68" s="769"/>
      <c r="AI68" s="769"/>
      <c r="AJ68" s="769"/>
      <c r="AK68" s="769"/>
      <c r="AL68" s="769"/>
      <c r="AM68" s="769"/>
      <c r="AN68" s="769"/>
      <c r="AO68" s="769"/>
      <c r="AP68" s="769"/>
      <c r="AQ68" s="769"/>
      <c r="AR68" s="769"/>
      <c r="AS68" s="769"/>
      <c r="AT68" s="769"/>
      <c r="AU68" s="769"/>
      <c r="AV68" s="769"/>
      <c r="AW68" s="769"/>
      <c r="AX68" s="769"/>
      <c r="AY68" s="769"/>
      <c r="AZ68" s="769"/>
      <c r="BA68" s="769"/>
      <c r="BB68" s="769"/>
      <c r="BC68" s="769"/>
      <c r="BD68" s="331"/>
      <c r="BE68" s="331"/>
      <c r="BF68" s="769"/>
      <c r="BG68" s="331"/>
      <c r="BH68" s="331"/>
      <c r="BI68" s="769"/>
      <c r="BJ68" s="769"/>
      <c r="BK68" s="769"/>
      <c r="BL68" s="769"/>
      <c r="BM68" s="769"/>
      <c r="BN68" s="331"/>
      <c r="BO68" s="331"/>
      <c r="BP68" s="331"/>
      <c r="BQ68" s="331"/>
      <c r="BR68" s="769"/>
      <c r="BS68" s="769"/>
      <c r="BT68" s="769"/>
      <c r="BU68" s="769"/>
      <c r="BV68" s="769"/>
      <c r="BW68" s="769"/>
      <c r="BX68" s="769"/>
      <c r="BY68" s="769"/>
      <c r="BZ68" s="769"/>
      <c r="CA68" s="769"/>
      <c r="CB68" s="331"/>
      <c r="CC68" s="769"/>
      <c r="CD68" s="769"/>
      <c r="CE68" s="769"/>
      <c r="CF68" s="331"/>
      <c r="CG68" s="331"/>
      <c r="CH68" s="769"/>
      <c r="CI68" s="331"/>
      <c r="CJ68" s="271"/>
      <c r="CK68" s="769"/>
      <c r="CL68" s="331"/>
      <c r="CM68" s="331"/>
      <c r="CN68" s="331"/>
      <c r="CO68" s="769"/>
      <c r="CP68" s="331"/>
      <c r="CQ68" s="769"/>
      <c r="CR68" s="769"/>
      <c r="CS68" s="769"/>
      <c r="CT68" s="769"/>
      <c r="CU68" s="769"/>
      <c r="CV68" s="769"/>
      <c r="CW68" s="769"/>
      <c r="CX68" s="769"/>
      <c r="CY68" s="769"/>
      <c r="CZ68" s="769"/>
      <c r="DA68" s="769"/>
      <c r="DB68" s="331"/>
      <c r="DC68" s="331"/>
      <c r="DD68" s="331"/>
      <c r="DE68" s="769"/>
      <c r="DF68" s="769"/>
      <c r="DG68" s="331"/>
      <c r="DH68" s="769"/>
      <c r="DI68" s="769"/>
      <c r="DJ68" s="331"/>
      <c r="DK68" s="331"/>
      <c r="DL68" s="769"/>
      <c r="DM68" s="769"/>
      <c r="DN68" s="331"/>
      <c r="DO68" s="331"/>
      <c r="DP68" s="769"/>
      <c r="DQ68" s="769"/>
      <c r="DR68" s="331"/>
      <c r="DS68" s="769"/>
      <c r="DT68" s="769"/>
      <c r="DU68" s="769"/>
      <c r="DV68" s="331"/>
      <c r="DW68" s="331"/>
      <c r="DX68" s="331"/>
      <c r="DY68" s="331"/>
      <c r="DZ68" s="769"/>
      <c r="EA68" s="769"/>
      <c r="EB68" s="331"/>
      <c r="EC68" s="331"/>
      <c r="ED68" s="331"/>
      <c r="EE68" s="331"/>
      <c r="EF68" s="331"/>
      <c r="EG68" s="769"/>
      <c r="EH68" s="769"/>
      <c r="EI68" s="769"/>
      <c r="EJ68" s="331"/>
      <c r="EK68" s="331"/>
      <c r="EL68" s="769"/>
      <c r="EM68" s="769"/>
      <c r="EN68" s="769"/>
      <c r="EO68" s="769">
        <v>1</v>
      </c>
      <c r="EP68" s="769"/>
      <c r="EQ68" s="859"/>
      <c r="ER68" s="331"/>
      <c r="ES68" s="331"/>
      <c r="ET68" s="331"/>
      <c r="EU68" s="769"/>
      <c r="EV68" s="769"/>
      <c r="EW68" s="331"/>
      <c r="EX68" s="331"/>
      <c r="EY68" s="331"/>
      <c r="EZ68" s="331"/>
      <c r="FA68" s="769"/>
      <c r="FB68" s="769"/>
      <c r="FC68" s="769"/>
      <c r="FD68" s="331"/>
      <c r="FE68" s="331"/>
      <c r="FF68" s="331"/>
      <c r="FG68" s="331"/>
      <c r="FH68" s="331"/>
      <c r="FI68" s="769"/>
      <c r="FJ68" s="769"/>
      <c r="FK68" s="769"/>
      <c r="FL68" s="331"/>
      <c r="FM68" s="331"/>
      <c r="FN68" s="769"/>
      <c r="FO68" s="331"/>
      <c r="FP68" s="769"/>
      <c r="FQ68" s="769"/>
      <c r="FR68" s="769"/>
      <c r="FS68" s="331"/>
      <c r="FT68" s="331"/>
      <c r="FU68" s="769"/>
      <c r="FV68" s="331"/>
      <c r="FW68" s="769"/>
      <c r="FX68" s="331"/>
      <c r="FY68" s="769"/>
      <c r="FZ68" s="769"/>
      <c r="GA68" s="769"/>
      <c r="GB68" s="769"/>
      <c r="GC68" s="769"/>
      <c r="GD68" s="769"/>
      <c r="GE68" s="769"/>
      <c r="GF68" s="331"/>
      <c r="GG68" s="769"/>
      <c r="GH68" s="331"/>
      <c r="GI68" s="769"/>
      <c r="GJ68" s="331"/>
      <c r="GK68" s="390"/>
      <c r="GL68" s="390"/>
      <c r="GM68" s="390"/>
      <c r="GN68" s="390"/>
      <c r="GO68" s="390"/>
      <c r="GP68" s="390"/>
      <c r="GQ68" s="390"/>
      <c r="GR68" s="331"/>
      <c r="GS68" s="331"/>
      <c r="GT68" s="331"/>
      <c r="GU68" s="331"/>
      <c r="GV68" s="331"/>
      <c r="GW68" s="876" t="s">
        <v>869</v>
      </c>
      <c r="GX68" s="877"/>
      <c r="GY68" s="877"/>
      <c r="GZ68" s="1488"/>
      <c r="HA68" s="1488"/>
      <c r="HB68" s="1499" t="s">
        <v>1366</v>
      </c>
      <c r="HC68" s="178"/>
      <c r="HD68" s="178"/>
      <c r="HE68" s="178"/>
      <c r="HF68" s="178"/>
      <c r="HG68" s="178"/>
      <c r="HH68" s="178"/>
      <c r="HI68" s="178"/>
      <c r="HJ68" s="178"/>
      <c r="HK68" s="178"/>
      <c r="HL68" s="178"/>
      <c r="HM68" s="178"/>
      <c r="HN68" s="178"/>
      <c r="HO68" s="178"/>
      <c r="HP68" s="178"/>
      <c r="HQ68" s="178"/>
      <c r="HR68" s="178"/>
      <c r="HS68" s="178"/>
      <c r="HT68" s="178"/>
      <c r="HU68" s="178"/>
      <c r="HV68" s="178"/>
      <c r="HW68" s="178"/>
      <c r="HX68" s="178"/>
      <c r="HY68" s="178"/>
      <c r="HZ68" s="178"/>
      <c r="IA68" s="178"/>
      <c r="IB68" s="178"/>
      <c r="IC68" s="178"/>
      <c r="ID68" s="178"/>
      <c r="IE68" s="178"/>
      <c r="IF68" s="178"/>
      <c r="IG68" s="178"/>
      <c r="IH68" s="178"/>
      <c r="II68" s="178"/>
      <c r="IJ68" s="178"/>
      <c r="IK68" s="178"/>
      <c r="IL68" s="178"/>
      <c r="IM68" s="178"/>
      <c r="IN68" s="178"/>
      <c r="IO68" s="178"/>
      <c r="IP68" s="178"/>
      <c r="IQ68" s="178"/>
      <c r="IR68" s="178"/>
      <c r="IS68" s="178"/>
      <c r="IT68" s="178"/>
      <c r="IU68" s="178"/>
      <c r="IV68" s="178"/>
      <c r="IW68" s="178"/>
      <c r="IX68" s="178"/>
      <c r="IY68" s="178"/>
      <c r="IZ68" s="178"/>
      <c r="JA68" s="178"/>
      <c r="JB68" s="178"/>
      <c r="JC68" s="178"/>
      <c r="JD68" s="178"/>
      <c r="JE68" s="178"/>
      <c r="JF68" s="178"/>
      <c r="JG68" s="178"/>
      <c r="JH68" s="178"/>
      <c r="JI68" s="178"/>
      <c r="JJ68" s="178"/>
      <c r="JK68" s="178"/>
      <c r="JL68" s="178"/>
      <c r="JM68" s="178"/>
      <c r="JN68" s="178"/>
      <c r="JO68" s="178"/>
      <c r="JP68" s="178"/>
      <c r="JQ68" s="178"/>
      <c r="JR68" s="178"/>
      <c r="JS68" s="178"/>
      <c r="JT68" s="178"/>
      <c r="JU68" s="178"/>
      <c r="JV68" s="178"/>
      <c r="JW68" s="178"/>
      <c r="JX68" s="178"/>
      <c r="JY68" s="178"/>
      <c r="JZ68" s="178"/>
      <c r="KA68" s="178"/>
    </row>
    <row r="69" spans="1:287" s="360" customFormat="1" ht="52.5" hidden="1" customHeight="1">
      <c r="A69" s="217">
        <v>11</v>
      </c>
      <c r="B69" s="1601"/>
      <c r="C69" s="939" t="s">
        <v>1250</v>
      </c>
      <c r="D69" s="380" t="s">
        <v>1251</v>
      </c>
      <c r="E69" s="861">
        <f t="shared" si="50"/>
        <v>0</v>
      </c>
      <c r="F69" s="376">
        <v>0</v>
      </c>
      <c r="G69" s="376">
        <v>0</v>
      </c>
      <c r="H69" s="376">
        <v>0</v>
      </c>
      <c r="I69" s="376">
        <v>0</v>
      </c>
      <c r="J69" s="376">
        <v>0</v>
      </c>
      <c r="K69" s="861">
        <f t="shared" si="52"/>
        <v>2</v>
      </c>
      <c r="L69" s="861">
        <f t="shared" si="53"/>
        <v>0</v>
      </c>
      <c r="M69" s="858">
        <f t="shared" si="54"/>
        <v>0</v>
      </c>
      <c r="N69" s="861">
        <f t="shared" si="55"/>
        <v>0</v>
      </c>
      <c r="O69" s="861">
        <f t="shared" si="56"/>
        <v>0</v>
      </c>
      <c r="P69" s="861">
        <f t="shared" si="57"/>
        <v>0</v>
      </c>
      <c r="Q69" s="861">
        <f t="shared" si="58"/>
        <v>0</v>
      </c>
      <c r="R69" s="861">
        <f t="shared" si="59"/>
        <v>0</v>
      </c>
      <c r="S69" s="861">
        <f t="shared" si="60"/>
        <v>0</v>
      </c>
      <c r="T69" s="861"/>
      <c r="U69" s="861"/>
      <c r="V69" s="331"/>
      <c r="W69" s="331"/>
      <c r="X69" s="331"/>
      <c r="Y69" s="331"/>
      <c r="Z69" s="331"/>
      <c r="AA69" s="331"/>
      <c r="AB69" s="331"/>
      <c r="AC69" s="331"/>
      <c r="AD69" s="331"/>
      <c r="AE69" s="331"/>
      <c r="AF69" s="331"/>
      <c r="AG69" s="331"/>
      <c r="AH69" s="331"/>
      <c r="AI69" s="331"/>
      <c r="AJ69" s="331"/>
      <c r="AK69" s="331"/>
      <c r="AL69" s="331"/>
      <c r="AM69" s="331"/>
      <c r="AN69" s="331"/>
      <c r="AO69" s="331"/>
      <c r="AP69" s="331"/>
      <c r="AQ69" s="331"/>
      <c r="AR69" s="331"/>
      <c r="AS69" s="331"/>
      <c r="AT69" s="331"/>
      <c r="AU69" s="331"/>
      <c r="AV69" s="331"/>
      <c r="AW69" s="331"/>
      <c r="AX69" s="331"/>
      <c r="AY69" s="331"/>
      <c r="AZ69" s="331"/>
      <c r="BA69" s="331"/>
      <c r="BB69" s="331"/>
      <c r="BC69" s="331"/>
      <c r="BD69" s="331"/>
      <c r="BE69" s="331"/>
      <c r="BF69" s="331"/>
      <c r="BG69" s="331"/>
      <c r="BH69" s="331"/>
      <c r="BI69" s="331">
        <v>1</v>
      </c>
      <c r="BJ69" s="331">
        <v>1</v>
      </c>
      <c r="BK69" s="331"/>
      <c r="BL69" s="331"/>
      <c r="BM69" s="331"/>
      <c r="BN69" s="331"/>
      <c r="BO69" s="331"/>
      <c r="BP69" s="331"/>
      <c r="BQ69" s="331"/>
      <c r="BR69" s="769"/>
      <c r="BS69" s="769"/>
      <c r="BT69" s="769"/>
      <c r="BU69" s="769"/>
      <c r="BV69" s="769"/>
      <c r="BW69" s="769"/>
      <c r="BX69" s="769"/>
      <c r="BY69" s="769"/>
      <c r="BZ69" s="769"/>
      <c r="CA69" s="769"/>
      <c r="CB69" s="331"/>
      <c r="CC69" s="769"/>
      <c r="CD69" s="769"/>
      <c r="CE69" s="769"/>
      <c r="CF69" s="331"/>
      <c r="CG69" s="331"/>
      <c r="CH69" s="769"/>
      <c r="CI69" s="331"/>
      <c r="CJ69" s="734"/>
      <c r="CK69" s="769"/>
      <c r="CL69" s="331"/>
      <c r="CM69" s="331"/>
      <c r="CN69" s="331"/>
      <c r="CO69" s="769"/>
      <c r="CP69" s="331"/>
      <c r="CQ69" s="769"/>
      <c r="CR69" s="769"/>
      <c r="CS69" s="769"/>
      <c r="CT69" s="769"/>
      <c r="CU69" s="769"/>
      <c r="CV69" s="769"/>
      <c r="CW69" s="769"/>
      <c r="CX69" s="769"/>
      <c r="CY69" s="769"/>
      <c r="CZ69" s="769"/>
      <c r="DA69" s="769"/>
      <c r="DB69" s="331"/>
      <c r="DC69" s="331"/>
      <c r="DD69" s="331"/>
      <c r="DE69" s="769"/>
      <c r="DF69" s="769"/>
      <c r="DG69" s="331"/>
      <c r="DH69" s="769"/>
      <c r="DI69" s="769"/>
      <c r="DJ69" s="331"/>
      <c r="DK69" s="331"/>
      <c r="DL69" s="769"/>
      <c r="DM69" s="769"/>
      <c r="DN69" s="331"/>
      <c r="DO69" s="331"/>
      <c r="DP69" s="769"/>
      <c r="DQ69" s="769"/>
      <c r="DR69" s="331"/>
      <c r="DS69" s="769"/>
      <c r="DT69" s="769"/>
      <c r="DU69" s="769"/>
      <c r="DV69" s="331"/>
      <c r="DW69" s="331"/>
      <c r="DX69" s="331"/>
      <c r="DY69" s="331"/>
      <c r="DZ69" s="769"/>
      <c r="EA69" s="769"/>
      <c r="EB69" s="331"/>
      <c r="EC69" s="331"/>
      <c r="ED69" s="331"/>
      <c r="EE69" s="331"/>
      <c r="EF69" s="331"/>
      <c r="EG69" s="769"/>
      <c r="EH69" s="769"/>
      <c r="EI69" s="769"/>
      <c r="EJ69" s="331"/>
      <c r="EK69" s="331"/>
      <c r="EL69" s="769"/>
      <c r="EM69" s="769"/>
      <c r="EN69" s="769"/>
      <c r="EO69" s="769"/>
      <c r="EP69" s="769"/>
      <c r="EQ69" s="859"/>
      <c r="ER69" s="331"/>
      <c r="ES69" s="331"/>
      <c r="ET69" s="331"/>
      <c r="EU69" s="769"/>
      <c r="EV69" s="769"/>
      <c r="EW69" s="331"/>
      <c r="EX69" s="331"/>
      <c r="EY69" s="331"/>
      <c r="EZ69" s="331"/>
      <c r="FA69" s="769"/>
      <c r="FB69" s="769"/>
      <c r="FC69" s="769"/>
      <c r="FD69" s="331"/>
      <c r="FE69" s="331"/>
      <c r="FF69" s="331"/>
      <c r="FG69" s="331"/>
      <c r="FH69" s="331"/>
      <c r="FI69" s="769"/>
      <c r="FJ69" s="769"/>
      <c r="FK69" s="769"/>
      <c r="FL69" s="331"/>
      <c r="FM69" s="331"/>
      <c r="FN69" s="769"/>
      <c r="FO69" s="331"/>
      <c r="FP69" s="769"/>
      <c r="FQ69" s="769"/>
      <c r="FR69" s="769"/>
      <c r="FS69" s="331"/>
      <c r="FT69" s="331"/>
      <c r="FU69" s="769"/>
      <c r="FV69" s="331"/>
      <c r="FW69" s="769"/>
      <c r="FX69" s="331"/>
      <c r="FY69" s="769"/>
      <c r="FZ69" s="769"/>
      <c r="GA69" s="769"/>
      <c r="GB69" s="769"/>
      <c r="GC69" s="769"/>
      <c r="GD69" s="769"/>
      <c r="GE69" s="769"/>
      <c r="GF69" s="331"/>
      <c r="GG69" s="769"/>
      <c r="GH69" s="331"/>
      <c r="GI69" s="769"/>
      <c r="GJ69" s="331"/>
      <c r="GK69" s="769"/>
      <c r="GL69" s="769"/>
      <c r="GM69" s="769"/>
      <c r="GN69" s="769"/>
      <c r="GO69" s="331"/>
      <c r="GP69" s="331"/>
      <c r="GQ69" s="331"/>
      <c r="GR69" s="331"/>
      <c r="GS69" s="331"/>
      <c r="GT69" s="331"/>
      <c r="GU69" s="331"/>
      <c r="GV69" s="331"/>
      <c r="GW69" s="397"/>
      <c r="GX69" s="272"/>
      <c r="GY69" s="272"/>
      <c r="GZ69" s="940"/>
      <c r="HA69" s="940"/>
      <c r="HB69" s="864" t="s">
        <v>1252</v>
      </c>
      <c r="HC69" s="178"/>
      <c r="HD69" s="178"/>
      <c r="HE69" s="178"/>
      <c r="HF69" s="178"/>
      <c r="HG69" s="178"/>
      <c r="HH69" s="178"/>
      <c r="HI69" s="178"/>
      <c r="HJ69" s="178"/>
      <c r="HK69" s="178"/>
      <c r="HL69" s="178"/>
      <c r="HM69" s="178"/>
      <c r="HN69" s="178"/>
      <c r="HO69" s="178"/>
      <c r="HP69" s="178"/>
      <c r="HQ69" s="178"/>
      <c r="HR69" s="178"/>
      <c r="HS69" s="178"/>
      <c r="HT69" s="178"/>
      <c r="HU69" s="178"/>
      <c r="HV69" s="178"/>
      <c r="HW69" s="178"/>
      <c r="HX69" s="178"/>
      <c r="HY69" s="178"/>
      <c r="HZ69" s="178"/>
      <c r="IA69" s="178"/>
      <c r="IB69" s="178"/>
      <c r="IC69" s="178"/>
      <c r="ID69" s="178"/>
      <c r="IE69" s="178"/>
      <c r="IF69" s="178"/>
      <c r="IG69" s="178"/>
      <c r="IH69" s="178"/>
      <c r="II69" s="178"/>
      <c r="IJ69" s="178"/>
      <c r="IK69" s="178"/>
      <c r="IL69" s="178"/>
      <c r="IM69" s="178"/>
      <c r="IN69" s="178"/>
      <c r="IO69" s="178"/>
      <c r="IP69" s="178"/>
      <c r="IQ69" s="178"/>
      <c r="IR69" s="178"/>
      <c r="IS69" s="178"/>
      <c r="IT69" s="178"/>
      <c r="IU69" s="178"/>
      <c r="IV69" s="178"/>
      <c r="IW69" s="178"/>
      <c r="IX69" s="178"/>
      <c r="IY69" s="178"/>
      <c r="IZ69" s="178"/>
      <c r="JA69" s="178"/>
      <c r="JB69" s="178"/>
      <c r="JC69" s="178"/>
      <c r="JD69" s="178"/>
      <c r="JE69" s="178"/>
      <c r="JF69" s="178"/>
      <c r="JG69" s="178"/>
      <c r="JH69" s="178"/>
      <c r="JI69" s="178"/>
      <c r="JJ69" s="178"/>
      <c r="JK69" s="178"/>
      <c r="JL69" s="178"/>
      <c r="JM69" s="178"/>
      <c r="JN69" s="178"/>
      <c r="JO69" s="178"/>
      <c r="JP69" s="178"/>
      <c r="JQ69" s="178"/>
      <c r="JR69" s="178"/>
      <c r="JS69" s="178"/>
      <c r="JT69" s="178"/>
      <c r="JU69" s="178"/>
      <c r="JV69" s="178"/>
      <c r="JW69" s="178"/>
      <c r="JX69" s="178"/>
      <c r="JY69" s="178"/>
      <c r="JZ69" s="178"/>
      <c r="KA69" s="178"/>
    </row>
    <row r="70" spans="1:287" s="360" customFormat="1" ht="52.5" hidden="1" customHeight="1">
      <c r="A70" s="217">
        <v>12</v>
      </c>
      <c r="B70" s="1601"/>
      <c r="C70" s="212" t="s">
        <v>843</v>
      </c>
      <c r="D70" s="380" t="s">
        <v>870</v>
      </c>
      <c r="E70" s="861">
        <f t="shared" si="50"/>
        <v>0</v>
      </c>
      <c r="F70" s="377">
        <v>0</v>
      </c>
      <c r="G70" s="377">
        <v>0</v>
      </c>
      <c r="H70" s="377">
        <v>0</v>
      </c>
      <c r="I70" s="377">
        <v>0</v>
      </c>
      <c r="J70" s="858">
        <f t="shared" si="51"/>
        <v>0</v>
      </c>
      <c r="K70" s="861">
        <f t="shared" si="52"/>
        <v>0</v>
      </c>
      <c r="L70" s="861">
        <f t="shared" si="53"/>
        <v>0</v>
      </c>
      <c r="M70" s="858">
        <f t="shared" si="54"/>
        <v>0</v>
      </c>
      <c r="N70" s="861">
        <f t="shared" si="55"/>
        <v>0</v>
      </c>
      <c r="O70" s="861">
        <f t="shared" si="56"/>
        <v>0</v>
      </c>
      <c r="P70" s="861">
        <f t="shared" si="57"/>
        <v>0</v>
      </c>
      <c r="Q70" s="861">
        <f t="shared" si="58"/>
        <v>0</v>
      </c>
      <c r="R70" s="861">
        <f t="shared" si="59"/>
        <v>0</v>
      </c>
      <c r="S70" s="861">
        <f t="shared" si="60"/>
        <v>0</v>
      </c>
      <c r="T70" s="861"/>
      <c r="U70" s="861"/>
      <c r="V70" s="331"/>
      <c r="W70" s="331"/>
      <c r="X70" s="331"/>
      <c r="Y70" s="331"/>
      <c r="Z70" s="331"/>
      <c r="AA70" s="331"/>
      <c r="AB70" s="331"/>
      <c r="AC70" s="331"/>
      <c r="AD70" s="331"/>
      <c r="AE70" s="769"/>
      <c r="AF70" s="769"/>
      <c r="AG70" s="769"/>
      <c r="AH70" s="769"/>
      <c r="AI70" s="769"/>
      <c r="AJ70" s="769"/>
      <c r="AK70" s="769"/>
      <c r="AL70" s="769"/>
      <c r="AM70" s="769"/>
      <c r="AN70" s="769"/>
      <c r="AO70" s="769"/>
      <c r="AP70" s="769"/>
      <c r="AQ70" s="769"/>
      <c r="AR70" s="769"/>
      <c r="AS70" s="769"/>
      <c r="AT70" s="769"/>
      <c r="AU70" s="769"/>
      <c r="AV70" s="769"/>
      <c r="AW70" s="769"/>
      <c r="AX70" s="769"/>
      <c r="AY70" s="769"/>
      <c r="AZ70" s="769"/>
      <c r="BA70" s="769"/>
      <c r="BB70" s="769"/>
      <c r="BC70" s="769"/>
      <c r="BD70" s="331"/>
      <c r="BE70" s="331"/>
      <c r="BF70" s="769"/>
      <c r="BG70" s="331"/>
      <c r="BH70" s="331"/>
      <c r="BI70" s="769"/>
      <c r="BJ70" s="769"/>
      <c r="BK70" s="769"/>
      <c r="BL70" s="769"/>
      <c r="BM70" s="769"/>
      <c r="BN70" s="331"/>
      <c r="BO70" s="331"/>
      <c r="BP70" s="331"/>
      <c r="BQ70" s="331"/>
      <c r="BR70" s="769"/>
      <c r="BS70" s="769"/>
      <c r="BT70" s="769"/>
      <c r="BU70" s="769"/>
      <c r="BV70" s="769"/>
      <c r="BW70" s="769"/>
      <c r="BX70" s="769"/>
      <c r="BY70" s="769"/>
      <c r="BZ70" s="769"/>
      <c r="CA70" s="769"/>
      <c r="CB70" s="331"/>
      <c r="CC70" s="769"/>
      <c r="CD70" s="769"/>
      <c r="CE70" s="769"/>
      <c r="CF70" s="331"/>
      <c r="CG70" s="331"/>
      <c r="CH70" s="769"/>
      <c r="CI70" s="331"/>
      <c r="CJ70" s="769"/>
      <c r="CK70" s="769"/>
      <c r="CL70" s="331"/>
      <c r="CM70" s="331"/>
      <c r="CN70" s="331"/>
      <c r="CO70" s="769"/>
      <c r="CP70" s="331"/>
      <c r="CQ70" s="769"/>
      <c r="CR70" s="769"/>
      <c r="CS70" s="769"/>
      <c r="CT70" s="769"/>
      <c r="CU70" s="769"/>
      <c r="CV70" s="769"/>
      <c r="CW70" s="769"/>
      <c r="CX70" s="769"/>
      <c r="CY70" s="769"/>
      <c r="CZ70" s="769"/>
      <c r="DA70" s="769"/>
      <c r="DB70" s="331"/>
      <c r="DC70" s="331"/>
      <c r="DD70" s="331"/>
      <c r="DE70" s="769"/>
      <c r="DF70" s="769"/>
      <c r="DG70" s="331"/>
      <c r="DH70" s="769"/>
      <c r="DI70" s="769"/>
      <c r="DJ70" s="331"/>
      <c r="DK70" s="331"/>
      <c r="DL70" s="769"/>
      <c r="DM70" s="769"/>
      <c r="DN70" s="331"/>
      <c r="DO70" s="331"/>
      <c r="DP70" s="769"/>
      <c r="DQ70" s="769"/>
      <c r="DR70" s="331"/>
      <c r="DS70" s="769"/>
      <c r="DT70" s="769"/>
      <c r="DU70" s="769"/>
      <c r="DV70" s="331"/>
      <c r="DW70" s="331"/>
      <c r="DX70" s="331"/>
      <c r="DY70" s="331"/>
      <c r="DZ70" s="769"/>
      <c r="EA70" s="769"/>
      <c r="EB70" s="331"/>
      <c r="EC70" s="331"/>
      <c r="ED70" s="331"/>
      <c r="EE70" s="331"/>
      <c r="EF70" s="331"/>
      <c r="EG70" s="769"/>
      <c r="EH70" s="769"/>
      <c r="EI70" s="769"/>
      <c r="EJ70" s="331"/>
      <c r="EK70" s="331"/>
      <c r="EL70" s="769"/>
      <c r="EM70" s="769"/>
      <c r="EN70" s="769"/>
      <c r="EO70" s="769"/>
      <c r="EP70" s="769"/>
      <c r="EQ70" s="738"/>
      <c r="ER70" s="331"/>
      <c r="ES70" s="331"/>
      <c r="ET70" s="331"/>
      <c r="EU70" s="769"/>
      <c r="EV70" s="769"/>
      <c r="EW70" s="331"/>
      <c r="EX70" s="331"/>
      <c r="EY70" s="331"/>
      <c r="EZ70" s="331"/>
      <c r="FA70" s="769"/>
      <c r="FB70" s="769"/>
      <c r="FC70" s="769"/>
      <c r="FD70" s="331"/>
      <c r="FE70" s="331"/>
      <c r="FF70" s="331"/>
      <c r="FG70" s="331"/>
      <c r="FH70" s="331"/>
      <c r="FI70" s="769"/>
      <c r="FJ70" s="769"/>
      <c r="FK70" s="769"/>
      <c r="FL70" s="331"/>
      <c r="FM70" s="331"/>
      <c r="FN70" s="769"/>
      <c r="FO70" s="331"/>
      <c r="FP70" s="769"/>
      <c r="FQ70" s="769"/>
      <c r="FR70" s="769"/>
      <c r="FS70" s="331"/>
      <c r="FT70" s="331"/>
      <c r="FU70" s="769"/>
      <c r="FV70" s="331"/>
      <c r="FW70" s="769"/>
      <c r="FX70" s="331"/>
      <c r="FY70" s="769"/>
      <c r="FZ70" s="769"/>
      <c r="GA70" s="769"/>
      <c r="GB70" s="769"/>
      <c r="GC70" s="769"/>
      <c r="GD70" s="769"/>
      <c r="GE70" s="769"/>
      <c r="GF70" s="331"/>
      <c r="GG70" s="769"/>
      <c r="GH70" s="331"/>
      <c r="GI70" s="769"/>
      <c r="GJ70" s="331"/>
      <c r="GK70" s="769"/>
      <c r="GL70" s="769"/>
      <c r="GM70" s="769"/>
      <c r="GN70" s="769"/>
      <c r="GO70" s="331"/>
      <c r="GP70" s="331"/>
      <c r="GQ70" s="331"/>
      <c r="GR70" s="331"/>
      <c r="GS70" s="331"/>
      <c r="GT70" s="331"/>
      <c r="GU70" s="331"/>
      <c r="GV70" s="331"/>
      <c r="GW70" s="397" t="s">
        <v>858</v>
      </c>
      <c r="GX70" s="272"/>
      <c r="GY70" s="272"/>
      <c r="GZ70" s="224"/>
      <c r="HA70" s="224"/>
      <c r="HB70" s="275" t="s">
        <v>847</v>
      </c>
      <c r="HC70" s="178"/>
      <c r="HD70" s="178"/>
      <c r="HE70" s="178"/>
      <c r="HF70" s="178"/>
      <c r="HG70" s="178"/>
      <c r="HH70" s="178"/>
      <c r="HI70" s="178"/>
      <c r="HJ70" s="178"/>
      <c r="HK70" s="178"/>
      <c r="HL70" s="178"/>
      <c r="HM70" s="178"/>
      <c r="HN70" s="178"/>
      <c r="HO70" s="178"/>
      <c r="HP70" s="178"/>
      <c r="HQ70" s="178"/>
      <c r="HR70" s="178"/>
      <c r="HS70" s="178"/>
      <c r="HT70" s="178"/>
      <c r="HU70" s="178"/>
      <c r="HV70" s="178"/>
      <c r="HW70" s="178"/>
      <c r="HX70" s="178"/>
      <c r="HY70" s="178"/>
      <c r="HZ70" s="178"/>
      <c r="IA70" s="178"/>
      <c r="IB70" s="178"/>
      <c r="IC70" s="178"/>
      <c r="ID70" s="178"/>
      <c r="IE70" s="178"/>
      <c r="IF70" s="178"/>
      <c r="IG70" s="178"/>
      <c r="IH70" s="178"/>
      <c r="II70" s="178"/>
      <c r="IJ70" s="178"/>
      <c r="IK70" s="178"/>
      <c r="IL70" s="178"/>
      <c r="IM70" s="178"/>
      <c r="IN70" s="178"/>
      <c r="IO70" s="178"/>
      <c r="IP70" s="178"/>
      <c r="IQ70" s="178"/>
      <c r="IR70" s="178"/>
      <c r="IS70" s="178"/>
      <c r="IT70" s="178"/>
      <c r="IU70" s="178"/>
      <c r="IV70" s="178"/>
      <c r="IW70" s="178"/>
      <c r="IX70" s="178"/>
      <c r="IY70" s="178"/>
      <c r="IZ70" s="178"/>
      <c r="JA70" s="178"/>
      <c r="JB70" s="178"/>
      <c r="JC70" s="178"/>
      <c r="JD70" s="178"/>
      <c r="JE70" s="178"/>
      <c r="JF70" s="178"/>
      <c r="JG70" s="178"/>
      <c r="JH70" s="178"/>
      <c r="JI70" s="178"/>
      <c r="JJ70" s="178"/>
      <c r="JK70" s="178"/>
      <c r="JL70" s="178"/>
      <c r="JM70" s="178"/>
      <c r="JN70" s="178"/>
      <c r="JO70" s="178"/>
      <c r="JP70" s="178"/>
      <c r="JQ70" s="178"/>
      <c r="JR70" s="178"/>
      <c r="JS70" s="178"/>
      <c r="JT70" s="178"/>
      <c r="JU70" s="178"/>
      <c r="JV70" s="178"/>
      <c r="JW70" s="178"/>
      <c r="JX70" s="178"/>
      <c r="JY70" s="178"/>
      <c r="JZ70" s="178"/>
      <c r="KA70" s="178"/>
    </row>
    <row r="71" spans="1:287" s="360" customFormat="1" ht="176.25" hidden="1" customHeight="1">
      <c r="A71" s="754">
        <v>13</v>
      </c>
      <c r="B71" s="1600" t="s">
        <v>842</v>
      </c>
      <c r="C71" s="754" t="s">
        <v>843</v>
      </c>
      <c r="D71" s="755" t="s">
        <v>1360</v>
      </c>
      <c r="E71" s="861">
        <f t="shared" si="50"/>
        <v>20</v>
      </c>
      <c r="F71" s="858">
        <v>0</v>
      </c>
      <c r="G71" s="858">
        <v>0</v>
      </c>
      <c r="H71" s="858">
        <v>0</v>
      </c>
      <c r="I71" s="858">
        <v>0</v>
      </c>
      <c r="J71" s="858">
        <f t="shared" si="51"/>
        <v>4</v>
      </c>
      <c r="K71" s="858">
        <f t="shared" si="52"/>
        <v>5</v>
      </c>
      <c r="L71" s="858">
        <f t="shared" si="53"/>
        <v>3</v>
      </c>
      <c r="M71" s="858">
        <f t="shared" si="54"/>
        <v>1</v>
      </c>
      <c r="N71" s="861">
        <f t="shared" si="55"/>
        <v>8</v>
      </c>
      <c r="O71" s="861">
        <f t="shared" si="56"/>
        <v>8</v>
      </c>
      <c r="P71" s="861">
        <f t="shared" si="57"/>
        <v>0</v>
      </c>
      <c r="Q71" s="861">
        <f t="shared" si="58"/>
        <v>0</v>
      </c>
      <c r="R71" s="861">
        <f t="shared" si="59"/>
        <v>0</v>
      </c>
      <c r="S71" s="861">
        <f t="shared" si="60"/>
        <v>0</v>
      </c>
      <c r="T71" s="861"/>
      <c r="U71" s="861"/>
      <c r="V71" s="271"/>
      <c r="W71" s="271">
        <v>1</v>
      </c>
      <c r="X71" s="271"/>
      <c r="Y71" s="738"/>
      <c r="Z71" s="738">
        <v>1</v>
      </c>
      <c r="AA71" s="738"/>
      <c r="AB71" s="738">
        <v>1</v>
      </c>
      <c r="AC71" s="738"/>
      <c r="AD71" s="738"/>
      <c r="AE71" s="738"/>
      <c r="AF71" s="738">
        <v>1</v>
      </c>
      <c r="AG71" s="738"/>
      <c r="AH71" s="738"/>
      <c r="AI71" s="738"/>
      <c r="AJ71" s="738"/>
      <c r="AK71" s="738"/>
      <c r="AL71" s="738"/>
      <c r="AM71" s="738"/>
      <c r="AN71" s="738"/>
      <c r="AO71" s="738"/>
      <c r="AP71" s="738"/>
      <c r="AQ71" s="738"/>
      <c r="AR71" s="738"/>
      <c r="AS71" s="738"/>
      <c r="AT71" s="738"/>
      <c r="AU71" s="738"/>
      <c r="AV71" s="738"/>
      <c r="AW71" s="738"/>
      <c r="AX71" s="738"/>
      <c r="AY71" s="738"/>
      <c r="AZ71" s="738"/>
      <c r="BA71" s="738"/>
      <c r="BB71" s="738">
        <v>3</v>
      </c>
      <c r="BC71" s="738"/>
      <c r="BD71" s="738"/>
      <c r="BE71" s="738"/>
      <c r="BF71" s="738"/>
      <c r="BG71" s="738"/>
      <c r="BH71" s="738"/>
      <c r="BI71" s="738">
        <v>2</v>
      </c>
      <c r="BJ71" s="738"/>
      <c r="BK71" s="738"/>
      <c r="BL71" s="738"/>
      <c r="BM71" s="738"/>
      <c r="BN71" s="271"/>
      <c r="BO71" s="271"/>
      <c r="BP71" s="271"/>
      <c r="BQ71" s="271"/>
      <c r="BR71" s="738"/>
      <c r="BS71" s="738"/>
      <c r="BT71" s="738"/>
      <c r="BU71" s="738"/>
      <c r="BV71" s="738"/>
      <c r="BW71" s="738"/>
      <c r="BX71" s="738"/>
      <c r="BY71" s="738"/>
      <c r="BZ71" s="738"/>
      <c r="CA71" s="738"/>
      <c r="CB71" s="738">
        <v>1</v>
      </c>
      <c r="CC71" s="738">
        <v>2</v>
      </c>
      <c r="CD71" s="738"/>
      <c r="CE71" s="738"/>
      <c r="CF71" s="738"/>
      <c r="CG71" s="738"/>
      <c r="CH71" s="738"/>
      <c r="CI71" s="738"/>
      <c r="CJ71" s="738"/>
      <c r="CK71" s="738"/>
      <c r="CL71" s="738"/>
      <c r="CM71" s="738"/>
      <c r="CN71" s="738"/>
      <c r="CO71" s="738"/>
      <c r="CP71" s="738"/>
      <c r="CQ71" s="738"/>
      <c r="CR71" s="738"/>
      <c r="CS71" s="738"/>
      <c r="CT71" s="738"/>
      <c r="CU71" s="738"/>
      <c r="CV71" s="738"/>
      <c r="CW71" s="738"/>
      <c r="CX71" s="738"/>
      <c r="CY71" s="738"/>
      <c r="CZ71" s="738"/>
      <c r="DA71" s="738"/>
      <c r="DB71" s="738"/>
      <c r="DC71" s="738"/>
      <c r="DD71" s="738"/>
      <c r="DE71" s="738"/>
      <c r="DF71" s="738"/>
      <c r="DG71" s="738"/>
      <c r="DH71" s="738"/>
      <c r="DI71" s="738"/>
      <c r="DJ71" s="738"/>
      <c r="DK71" s="738"/>
      <c r="DL71" s="738"/>
      <c r="DM71" s="738"/>
      <c r="DN71" s="738"/>
      <c r="DO71" s="738">
        <v>1</v>
      </c>
      <c r="DP71" s="738"/>
      <c r="DQ71" s="738"/>
      <c r="DR71" s="738"/>
      <c r="DS71" s="738"/>
      <c r="DT71" s="738"/>
      <c r="DU71" s="738"/>
      <c r="DV71" s="738"/>
      <c r="DW71" s="738"/>
      <c r="DX71" s="738"/>
      <c r="DY71" s="738"/>
      <c r="DZ71" s="738"/>
      <c r="EA71" s="738"/>
      <c r="EB71" s="738"/>
      <c r="EC71" s="738"/>
      <c r="ED71" s="738"/>
      <c r="EE71" s="738">
        <v>1</v>
      </c>
      <c r="EF71" s="738"/>
      <c r="EG71" s="738"/>
      <c r="EH71" s="738">
        <v>1</v>
      </c>
      <c r="EI71" s="738"/>
      <c r="EJ71" s="738"/>
      <c r="EK71" s="738">
        <v>1</v>
      </c>
      <c r="EL71" s="738"/>
      <c r="EM71" s="738"/>
      <c r="EN71" s="738"/>
      <c r="EO71" s="738"/>
      <c r="EP71" s="738"/>
      <c r="EQ71" s="738">
        <v>1</v>
      </c>
      <c r="ER71" s="738">
        <v>1</v>
      </c>
      <c r="ES71" s="738">
        <v>0</v>
      </c>
      <c r="ET71" s="738">
        <v>2</v>
      </c>
      <c r="EU71" s="738">
        <v>1</v>
      </c>
      <c r="EV71" s="738"/>
      <c r="EW71" s="738"/>
      <c r="EX71" s="738">
        <v>3</v>
      </c>
      <c r="EY71" s="738">
        <v>2</v>
      </c>
      <c r="EZ71" s="738">
        <v>1</v>
      </c>
      <c r="FA71" s="738"/>
      <c r="FB71" s="738"/>
      <c r="FC71" s="738"/>
      <c r="FD71" s="738"/>
      <c r="FE71" s="738"/>
      <c r="FF71" s="738"/>
      <c r="FG71" s="738"/>
      <c r="FH71" s="738"/>
      <c r="FI71" s="738"/>
      <c r="FJ71" s="738"/>
      <c r="FK71" s="738"/>
      <c r="FL71" s="738"/>
      <c r="FM71" s="738"/>
      <c r="FN71" s="738"/>
      <c r="FO71" s="738"/>
      <c r="FP71" s="738"/>
      <c r="FQ71" s="738"/>
      <c r="FR71" s="738"/>
      <c r="FS71" s="738"/>
      <c r="FT71" s="738">
        <v>1</v>
      </c>
      <c r="FU71" s="738"/>
      <c r="FV71" s="738">
        <v>1</v>
      </c>
      <c r="FW71" s="738"/>
      <c r="FX71" s="738"/>
      <c r="FY71" s="738"/>
      <c r="FZ71" s="738"/>
      <c r="GA71" s="738"/>
      <c r="GB71" s="738"/>
      <c r="GC71" s="738"/>
      <c r="GD71" s="738"/>
      <c r="GE71" s="738"/>
      <c r="GF71" s="738"/>
      <c r="GG71" s="738"/>
      <c r="GH71" s="738"/>
      <c r="GI71" s="738"/>
      <c r="GJ71" s="738"/>
      <c r="GK71" s="738"/>
      <c r="GL71" s="738"/>
      <c r="GM71" s="738"/>
      <c r="GN71" s="738"/>
      <c r="GO71" s="738"/>
      <c r="GP71" s="738"/>
      <c r="GQ71" s="738"/>
      <c r="GR71" s="271"/>
      <c r="GS71" s="271"/>
      <c r="GT71" s="271"/>
      <c r="GU71" s="271"/>
      <c r="GV71" s="271"/>
      <c r="GW71" s="863" t="s">
        <v>1327</v>
      </c>
      <c r="GX71" s="863" t="s">
        <v>1260</v>
      </c>
      <c r="GY71" s="863" t="s">
        <v>1261</v>
      </c>
      <c r="GZ71" s="1039"/>
      <c r="HA71" s="878" t="s">
        <v>1381</v>
      </c>
      <c r="HB71" s="864" t="s">
        <v>873</v>
      </c>
      <c r="HC71" s="178"/>
      <c r="HD71" s="178"/>
      <c r="HE71" s="178"/>
      <c r="HF71" s="178"/>
      <c r="HG71" s="178"/>
      <c r="HH71" s="178"/>
      <c r="HI71" s="178"/>
      <c r="HJ71" s="178"/>
      <c r="HK71" s="178"/>
      <c r="HL71" s="178"/>
      <c r="HM71" s="178"/>
      <c r="HN71" s="178"/>
      <c r="HO71" s="178"/>
      <c r="HP71" s="178"/>
      <c r="HQ71" s="178"/>
      <c r="HR71" s="178"/>
      <c r="HS71" s="178"/>
      <c r="HT71" s="178"/>
      <c r="HU71" s="178"/>
      <c r="HV71" s="178"/>
      <c r="HW71" s="178"/>
      <c r="HX71" s="178"/>
      <c r="HY71" s="178"/>
      <c r="HZ71" s="178"/>
      <c r="IA71" s="178"/>
      <c r="IB71" s="178"/>
      <c r="IC71" s="178"/>
      <c r="ID71" s="178"/>
      <c r="IE71" s="178"/>
      <c r="IF71" s="178"/>
      <c r="IG71" s="178"/>
      <c r="IH71" s="178"/>
      <c r="II71" s="178"/>
      <c r="IJ71" s="178"/>
      <c r="IK71" s="178"/>
      <c r="IL71" s="178"/>
      <c r="IM71" s="178"/>
      <c r="IN71" s="178"/>
      <c r="IO71" s="178"/>
      <c r="IP71" s="178"/>
      <c r="IQ71" s="178"/>
      <c r="IR71" s="178"/>
      <c r="IS71" s="178"/>
      <c r="IT71" s="178"/>
      <c r="IU71" s="178"/>
      <c r="IV71" s="178"/>
      <c r="IW71" s="178"/>
      <c r="IX71" s="178"/>
      <c r="IY71" s="178"/>
      <c r="IZ71" s="178"/>
      <c r="JA71" s="178"/>
      <c r="JB71" s="178"/>
      <c r="JC71" s="178"/>
      <c r="JD71" s="178"/>
      <c r="JE71" s="178"/>
      <c r="JF71" s="178"/>
      <c r="JG71" s="178"/>
      <c r="JH71" s="178"/>
      <c r="JI71" s="178"/>
      <c r="JJ71" s="178"/>
      <c r="JK71" s="178"/>
      <c r="JL71" s="178"/>
      <c r="JM71" s="178"/>
      <c r="JN71" s="178"/>
      <c r="JO71" s="178"/>
      <c r="JP71" s="178"/>
      <c r="JQ71" s="178"/>
      <c r="JR71" s="178"/>
      <c r="JS71" s="178"/>
      <c r="JT71" s="178"/>
      <c r="JU71" s="178"/>
      <c r="JV71" s="178"/>
      <c r="JW71" s="178"/>
      <c r="JX71" s="178"/>
      <c r="JY71" s="178"/>
      <c r="JZ71" s="178"/>
      <c r="KA71" s="178"/>
    </row>
    <row r="72" spans="1:287" s="360" customFormat="1" ht="52.5" hidden="1" customHeight="1">
      <c r="A72" s="217">
        <v>14</v>
      </c>
      <c r="B72" s="1601"/>
      <c r="C72" s="873" t="s">
        <v>843</v>
      </c>
      <c r="D72" s="378" t="s">
        <v>874</v>
      </c>
      <c r="E72" s="861">
        <f t="shared" si="50"/>
        <v>2</v>
      </c>
      <c r="F72" s="379">
        <v>0</v>
      </c>
      <c r="G72" s="379">
        <v>0</v>
      </c>
      <c r="H72" s="379">
        <v>0</v>
      </c>
      <c r="I72" s="379">
        <v>0</v>
      </c>
      <c r="J72" s="867">
        <f t="shared" si="51"/>
        <v>0</v>
      </c>
      <c r="K72" s="861">
        <f t="shared" si="52"/>
        <v>0</v>
      </c>
      <c r="L72" s="861">
        <f t="shared" si="53"/>
        <v>0</v>
      </c>
      <c r="M72" s="858">
        <f t="shared" si="54"/>
        <v>2</v>
      </c>
      <c r="N72" s="861">
        <f t="shared" si="55"/>
        <v>0</v>
      </c>
      <c r="O72" s="861">
        <f t="shared" si="56"/>
        <v>0</v>
      </c>
      <c r="P72" s="861">
        <f t="shared" si="57"/>
        <v>0</v>
      </c>
      <c r="Q72" s="861">
        <f t="shared" si="58"/>
        <v>0</v>
      </c>
      <c r="R72" s="861">
        <f t="shared" si="59"/>
        <v>0</v>
      </c>
      <c r="S72" s="861">
        <f t="shared" si="60"/>
        <v>0</v>
      </c>
      <c r="T72" s="861"/>
      <c r="U72" s="861"/>
      <c r="V72" s="331"/>
      <c r="W72" s="331"/>
      <c r="X72" s="331"/>
      <c r="Y72" s="390"/>
      <c r="Z72" s="390"/>
      <c r="AA72" s="390"/>
      <c r="AB72" s="390"/>
      <c r="AC72" s="390"/>
      <c r="AD72" s="390"/>
      <c r="AE72" s="390"/>
      <c r="AF72" s="390"/>
      <c r="AG72" s="390"/>
      <c r="AH72" s="390"/>
      <c r="AI72" s="390"/>
      <c r="AJ72" s="390"/>
      <c r="AK72" s="390"/>
      <c r="AL72" s="390"/>
      <c r="AM72" s="390"/>
      <c r="AN72" s="390"/>
      <c r="AO72" s="390"/>
      <c r="AP72" s="390"/>
      <c r="AQ72" s="390"/>
      <c r="AR72" s="390"/>
      <c r="AS72" s="390"/>
      <c r="AT72" s="390"/>
      <c r="AU72" s="390"/>
      <c r="AV72" s="390"/>
      <c r="AW72" s="390"/>
      <c r="AX72" s="390"/>
      <c r="AY72" s="390"/>
      <c r="AZ72" s="390"/>
      <c r="BA72" s="390"/>
      <c r="BB72" s="390"/>
      <c r="BC72" s="390"/>
      <c r="BD72" s="390"/>
      <c r="BE72" s="390"/>
      <c r="BF72" s="390"/>
      <c r="BG72" s="390"/>
      <c r="BH72" s="390"/>
      <c r="BI72" s="390"/>
      <c r="BJ72" s="390"/>
      <c r="BK72" s="390"/>
      <c r="BL72" s="390"/>
      <c r="BM72" s="390"/>
      <c r="BN72" s="390"/>
      <c r="BO72" s="390"/>
      <c r="BP72" s="390"/>
      <c r="BQ72" s="390"/>
      <c r="BR72" s="390"/>
      <c r="BS72" s="390"/>
      <c r="BT72" s="390"/>
      <c r="BU72" s="390"/>
      <c r="BV72" s="390"/>
      <c r="BW72" s="390"/>
      <c r="BX72" s="390"/>
      <c r="BY72" s="390"/>
      <c r="BZ72" s="390"/>
      <c r="CA72" s="390"/>
      <c r="CB72" s="390"/>
      <c r="CC72" s="390"/>
      <c r="CD72" s="390"/>
      <c r="CE72" s="390"/>
      <c r="CF72" s="390"/>
      <c r="CG72" s="390"/>
      <c r="CH72" s="390"/>
      <c r="CI72" s="390"/>
      <c r="CJ72" s="390"/>
      <c r="CK72" s="390"/>
      <c r="CL72" s="390"/>
      <c r="CM72" s="390"/>
      <c r="CN72" s="390"/>
      <c r="CO72" s="390"/>
      <c r="CP72" s="390"/>
      <c r="CQ72" s="390"/>
      <c r="CR72" s="390"/>
      <c r="CS72" s="390"/>
      <c r="CT72" s="390"/>
      <c r="CU72" s="390"/>
      <c r="CV72" s="390"/>
      <c r="CW72" s="390"/>
      <c r="CX72" s="390"/>
      <c r="CY72" s="390"/>
      <c r="CZ72" s="390"/>
      <c r="DA72" s="390"/>
      <c r="DB72" s="390"/>
      <c r="DC72" s="390"/>
      <c r="DD72" s="390"/>
      <c r="DE72" s="390"/>
      <c r="DF72" s="390"/>
      <c r="DG72" s="390"/>
      <c r="DH72" s="390"/>
      <c r="DI72" s="390"/>
      <c r="DJ72" s="390"/>
      <c r="DK72" s="390"/>
      <c r="DL72" s="390"/>
      <c r="DM72" s="390"/>
      <c r="DN72" s="390">
        <v>1</v>
      </c>
      <c r="DO72" s="390"/>
      <c r="DP72" s="390"/>
      <c r="DQ72" s="390"/>
      <c r="DR72" s="390">
        <v>1</v>
      </c>
      <c r="DS72" s="390"/>
      <c r="DT72" s="390"/>
      <c r="DU72" s="390"/>
      <c r="DV72" s="390"/>
      <c r="DW72" s="390"/>
      <c r="DX72" s="390"/>
      <c r="DY72" s="390"/>
      <c r="DZ72" s="390"/>
      <c r="EA72" s="390"/>
      <c r="EB72" s="390"/>
      <c r="EC72" s="390"/>
      <c r="ED72" s="390"/>
      <c r="EE72" s="390"/>
      <c r="EF72" s="390"/>
      <c r="EG72" s="390"/>
      <c r="EH72" s="390"/>
      <c r="EI72" s="390"/>
      <c r="EJ72" s="390"/>
      <c r="EK72" s="390"/>
      <c r="EL72" s="390"/>
      <c r="EM72" s="390"/>
      <c r="EN72" s="390"/>
      <c r="EO72" s="390"/>
      <c r="EP72" s="390"/>
      <c r="EQ72" s="738"/>
      <c r="ER72" s="390"/>
      <c r="ES72" s="390"/>
      <c r="ET72" s="390"/>
      <c r="EU72" s="390"/>
      <c r="EV72" s="390"/>
      <c r="EW72" s="390"/>
      <c r="EX72" s="390"/>
      <c r="EY72" s="390"/>
      <c r="EZ72" s="390"/>
      <c r="FA72" s="390"/>
      <c r="FB72" s="390"/>
      <c r="FC72" s="390"/>
      <c r="FD72" s="390"/>
      <c r="FE72" s="390"/>
      <c r="FF72" s="390"/>
      <c r="FG72" s="390"/>
      <c r="FH72" s="390"/>
      <c r="FI72" s="390"/>
      <c r="FJ72" s="390"/>
      <c r="FK72" s="390"/>
      <c r="FL72" s="390"/>
      <c r="FM72" s="390"/>
      <c r="FN72" s="390"/>
      <c r="FO72" s="390"/>
      <c r="FP72" s="390"/>
      <c r="FQ72" s="390"/>
      <c r="FR72" s="390"/>
      <c r="FS72" s="390"/>
      <c r="FT72" s="390"/>
      <c r="FU72" s="390"/>
      <c r="FV72" s="390"/>
      <c r="FW72" s="390"/>
      <c r="FX72" s="390"/>
      <c r="FY72" s="390"/>
      <c r="FZ72" s="390"/>
      <c r="GA72" s="390"/>
      <c r="GB72" s="390"/>
      <c r="GC72" s="390"/>
      <c r="GD72" s="390"/>
      <c r="GE72" s="390"/>
      <c r="GF72" s="390"/>
      <c r="GG72" s="390"/>
      <c r="GH72" s="390"/>
      <c r="GI72" s="390"/>
      <c r="GJ72" s="390"/>
      <c r="GK72" s="390"/>
      <c r="GL72" s="390"/>
      <c r="GM72" s="390"/>
      <c r="GN72" s="390"/>
      <c r="GO72" s="390"/>
      <c r="GP72" s="390"/>
      <c r="GQ72" s="390"/>
      <c r="GR72" s="331"/>
      <c r="GS72" s="331"/>
      <c r="GT72" s="331"/>
      <c r="GU72" s="331"/>
      <c r="GV72" s="331"/>
      <c r="GW72" s="876" t="s">
        <v>1316</v>
      </c>
      <c r="GX72" s="877"/>
      <c r="GY72" s="877"/>
      <c r="GZ72" s="874"/>
      <c r="HA72" s="874"/>
      <c r="HB72" s="279" t="s">
        <v>873</v>
      </c>
      <c r="HC72" s="178"/>
      <c r="HD72" s="178"/>
      <c r="HE72" s="178"/>
      <c r="HF72" s="178"/>
      <c r="HG72" s="178"/>
      <c r="HH72" s="178"/>
      <c r="HI72" s="178"/>
      <c r="HJ72" s="178"/>
      <c r="HK72" s="178"/>
      <c r="HL72" s="178"/>
      <c r="HM72" s="178"/>
      <c r="HN72" s="178"/>
      <c r="HO72" s="178"/>
      <c r="HP72" s="178"/>
      <c r="HQ72" s="178"/>
      <c r="HR72" s="178"/>
      <c r="HS72" s="178"/>
      <c r="HT72" s="178"/>
      <c r="HU72" s="178"/>
      <c r="HV72" s="178"/>
      <c r="HW72" s="178"/>
      <c r="HX72" s="178"/>
      <c r="HY72" s="178"/>
      <c r="HZ72" s="178"/>
      <c r="IA72" s="178"/>
      <c r="IB72" s="178"/>
      <c r="IC72" s="178"/>
      <c r="ID72" s="178"/>
      <c r="IE72" s="178"/>
      <c r="IF72" s="178"/>
      <c r="IG72" s="178"/>
      <c r="IH72" s="178"/>
      <c r="II72" s="178"/>
      <c r="IJ72" s="178"/>
      <c r="IK72" s="178"/>
      <c r="IL72" s="178"/>
      <c r="IM72" s="178"/>
      <c r="IN72" s="178"/>
      <c r="IO72" s="178"/>
      <c r="IP72" s="178"/>
      <c r="IQ72" s="178"/>
      <c r="IR72" s="178"/>
      <c r="IS72" s="178"/>
      <c r="IT72" s="178"/>
      <c r="IU72" s="178"/>
      <c r="IV72" s="178"/>
      <c r="IW72" s="178"/>
      <c r="IX72" s="178"/>
      <c r="IY72" s="178"/>
      <c r="IZ72" s="178"/>
      <c r="JA72" s="178"/>
      <c r="JB72" s="178"/>
      <c r="JC72" s="178"/>
      <c r="JD72" s="178"/>
      <c r="JE72" s="178"/>
      <c r="JF72" s="178"/>
      <c r="JG72" s="178"/>
      <c r="JH72" s="178"/>
      <c r="JI72" s="178"/>
      <c r="JJ72" s="178"/>
      <c r="JK72" s="178"/>
      <c r="JL72" s="178"/>
      <c r="JM72" s="178"/>
      <c r="JN72" s="178"/>
      <c r="JO72" s="178"/>
      <c r="JP72" s="178"/>
      <c r="JQ72" s="178"/>
      <c r="JR72" s="178"/>
      <c r="JS72" s="178"/>
      <c r="JT72" s="178"/>
      <c r="JU72" s="178"/>
      <c r="JV72" s="178"/>
      <c r="JW72" s="178"/>
      <c r="JX72" s="178"/>
      <c r="JY72" s="178"/>
      <c r="JZ72" s="178"/>
      <c r="KA72" s="178"/>
    </row>
    <row r="73" spans="1:287" s="360" customFormat="1" ht="52.5" hidden="1" customHeight="1">
      <c r="A73" s="217">
        <v>15</v>
      </c>
      <c r="B73" s="1601"/>
      <c r="C73" s="818" t="s">
        <v>843</v>
      </c>
      <c r="D73" s="380" t="s">
        <v>875</v>
      </c>
      <c r="E73" s="861">
        <f t="shared" si="50"/>
        <v>0</v>
      </c>
      <c r="F73" s="861">
        <v>0</v>
      </c>
      <c r="G73" s="377">
        <v>0</v>
      </c>
      <c r="H73" s="377">
        <v>0</v>
      </c>
      <c r="I73" s="377">
        <v>0</v>
      </c>
      <c r="J73" s="858">
        <f t="shared" si="51"/>
        <v>0</v>
      </c>
      <c r="K73" s="861">
        <f t="shared" si="52"/>
        <v>0</v>
      </c>
      <c r="L73" s="861">
        <f t="shared" si="53"/>
        <v>0</v>
      </c>
      <c r="M73" s="858">
        <f t="shared" si="54"/>
        <v>0</v>
      </c>
      <c r="N73" s="861">
        <f t="shared" si="55"/>
        <v>0</v>
      </c>
      <c r="O73" s="861">
        <f t="shared" si="56"/>
        <v>0</v>
      </c>
      <c r="P73" s="861">
        <f t="shared" si="57"/>
        <v>0</v>
      </c>
      <c r="Q73" s="861">
        <f t="shared" si="58"/>
        <v>0</v>
      </c>
      <c r="R73" s="861">
        <f t="shared" si="59"/>
        <v>0</v>
      </c>
      <c r="S73" s="861">
        <f t="shared" si="60"/>
        <v>0</v>
      </c>
      <c r="T73" s="861"/>
      <c r="U73" s="861"/>
      <c r="V73" s="331"/>
      <c r="W73" s="331"/>
      <c r="X73" s="331"/>
      <c r="Y73" s="331"/>
      <c r="Z73" s="331"/>
      <c r="AA73" s="331"/>
      <c r="AB73" s="331"/>
      <c r="AC73" s="331"/>
      <c r="AD73" s="331"/>
      <c r="AE73" s="769"/>
      <c r="AF73" s="769"/>
      <c r="AG73" s="769"/>
      <c r="AH73" s="769"/>
      <c r="AI73" s="769"/>
      <c r="AJ73" s="769"/>
      <c r="AK73" s="769"/>
      <c r="AL73" s="769"/>
      <c r="AM73" s="769"/>
      <c r="AN73" s="769"/>
      <c r="AO73" s="769"/>
      <c r="AP73" s="769"/>
      <c r="AQ73" s="769"/>
      <c r="AR73" s="769"/>
      <c r="AS73" s="769"/>
      <c r="AT73" s="769"/>
      <c r="AU73" s="769"/>
      <c r="AV73" s="769"/>
      <c r="AW73" s="769"/>
      <c r="AX73" s="769"/>
      <c r="AY73" s="769"/>
      <c r="AZ73" s="769"/>
      <c r="BA73" s="769"/>
      <c r="BB73" s="769"/>
      <c r="BC73" s="769"/>
      <c r="BD73" s="331"/>
      <c r="BE73" s="331"/>
      <c r="BF73" s="769"/>
      <c r="BG73" s="331"/>
      <c r="BH73" s="331"/>
      <c r="BI73" s="769"/>
      <c r="BJ73" s="769"/>
      <c r="BK73" s="769"/>
      <c r="BL73" s="769"/>
      <c r="BM73" s="769"/>
      <c r="BN73" s="331"/>
      <c r="BO73" s="331"/>
      <c r="BP73" s="331"/>
      <c r="BQ73" s="331"/>
      <c r="BR73" s="769"/>
      <c r="BS73" s="769"/>
      <c r="BT73" s="769"/>
      <c r="BU73" s="769"/>
      <c r="BV73" s="769"/>
      <c r="BW73" s="769"/>
      <c r="BX73" s="769"/>
      <c r="BY73" s="769"/>
      <c r="BZ73" s="769"/>
      <c r="CA73" s="769"/>
      <c r="CB73" s="331"/>
      <c r="CC73" s="769"/>
      <c r="CD73" s="769"/>
      <c r="CE73" s="769"/>
      <c r="CF73" s="331"/>
      <c r="CG73" s="331"/>
      <c r="CH73" s="769"/>
      <c r="CI73" s="331"/>
      <c r="CJ73" s="769"/>
      <c r="CK73" s="769"/>
      <c r="CL73" s="331"/>
      <c r="CM73" s="331"/>
      <c r="CN73" s="331"/>
      <c r="CO73" s="769"/>
      <c r="CP73" s="331"/>
      <c r="CQ73" s="769"/>
      <c r="CR73" s="769"/>
      <c r="CS73" s="769"/>
      <c r="CT73" s="769"/>
      <c r="CU73" s="769"/>
      <c r="CV73" s="769"/>
      <c r="CW73" s="769"/>
      <c r="CX73" s="769"/>
      <c r="CY73" s="769"/>
      <c r="CZ73" s="769"/>
      <c r="DA73" s="769"/>
      <c r="DB73" s="331"/>
      <c r="DC73" s="331"/>
      <c r="DD73" s="331"/>
      <c r="DE73" s="769"/>
      <c r="DF73" s="769"/>
      <c r="DG73" s="331"/>
      <c r="DH73" s="769"/>
      <c r="DI73" s="769"/>
      <c r="DJ73" s="331"/>
      <c r="DK73" s="331"/>
      <c r="DL73" s="769"/>
      <c r="DM73" s="769"/>
      <c r="DN73" s="331"/>
      <c r="DO73" s="331"/>
      <c r="DP73" s="769"/>
      <c r="DQ73" s="769"/>
      <c r="DR73" s="331"/>
      <c r="DS73" s="769"/>
      <c r="DT73" s="769"/>
      <c r="DU73" s="769"/>
      <c r="DV73" s="331"/>
      <c r="DW73" s="331"/>
      <c r="DX73" s="331"/>
      <c r="DY73" s="331"/>
      <c r="DZ73" s="769"/>
      <c r="EA73" s="769"/>
      <c r="EB73" s="331"/>
      <c r="EC73" s="331"/>
      <c r="ED73" s="331"/>
      <c r="EE73" s="331"/>
      <c r="EF73" s="331"/>
      <c r="EG73" s="769"/>
      <c r="EH73" s="769"/>
      <c r="EI73" s="769"/>
      <c r="EJ73" s="331"/>
      <c r="EK73" s="331"/>
      <c r="EL73" s="769"/>
      <c r="EM73" s="769"/>
      <c r="EN73" s="769"/>
      <c r="EO73" s="769"/>
      <c r="EP73" s="769"/>
      <c r="EQ73" s="738"/>
      <c r="ER73" s="331"/>
      <c r="ES73" s="331"/>
      <c r="ET73" s="331"/>
      <c r="EU73" s="769"/>
      <c r="EV73" s="769"/>
      <c r="EW73" s="331"/>
      <c r="EX73" s="331"/>
      <c r="EY73" s="331"/>
      <c r="EZ73" s="331"/>
      <c r="FA73" s="769"/>
      <c r="FB73" s="769"/>
      <c r="FC73" s="769"/>
      <c r="FD73" s="331"/>
      <c r="FE73" s="331"/>
      <c r="FF73" s="331"/>
      <c r="FG73" s="331"/>
      <c r="FH73" s="331"/>
      <c r="FI73" s="769"/>
      <c r="FJ73" s="769"/>
      <c r="FK73" s="769"/>
      <c r="FL73" s="331"/>
      <c r="FM73" s="331"/>
      <c r="FN73" s="769"/>
      <c r="FO73" s="331"/>
      <c r="FP73" s="769"/>
      <c r="FQ73" s="769"/>
      <c r="FR73" s="769"/>
      <c r="FS73" s="331"/>
      <c r="FT73" s="331"/>
      <c r="FU73" s="769"/>
      <c r="FV73" s="331"/>
      <c r="FW73" s="769"/>
      <c r="FX73" s="331"/>
      <c r="FY73" s="769"/>
      <c r="FZ73" s="769"/>
      <c r="GA73" s="769"/>
      <c r="GB73" s="769"/>
      <c r="GC73" s="769"/>
      <c r="GD73" s="769"/>
      <c r="GE73" s="769"/>
      <c r="GF73" s="331"/>
      <c r="GG73" s="769"/>
      <c r="GH73" s="331"/>
      <c r="GI73" s="769"/>
      <c r="GJ73" s="331"/>
      <c r="GK73" s="769"/>
      <c r="GL73" s="769"/>
      <c r="GM73" s="769"/>
      <c r="GN73" s="769"/>
      <c r="GO73" s="331"/>
      <c r="GP73" s="331"/>
      <c r="GQ73" s="331"/>
      <c r="GR73" s="331"/>
      <c r="GS73" s="331"/>
      <c r="GT73" s="331"/>
      <c r="GU73" s="331"/>
      <c r="GV73" s="331"/>
      <c r="GW73" s="399" t="s">
        <v>876</v>
      </c>
      <c r="GX73" s="269"/>
      <c r="GY73" s="269"/>
      <c r="GZ73" s="220"/>
      <c r="HA73" s="220"/>
      <c r="HB73" s="243" t="s">
        <v>861</v>
      </c>
      <c r="HC73" s="178"/>
      <c r="HD73" s="178"/>
      <c r="HE73" s="178"/>
      <c r="HF73" s="178"/>
      <c r="HG73" s="178"/>
      <c r="HH73" s="178"/>
      <c r="HI73" s="178"/>
      <c r="HJ73" s="178"/>
      <c r="HK73" s="178"/>
      <c r="HL73" s="178"/>
      <c r="HM73" s="178"/>
      <c r="HN73" s="178"/>
      <c r="HO73" s="178"/>
      <c r="HP73" s="178"/>
      <c r="HQ73" s="178"/>
      <c r="HR73" s="178"/>
      <c r="HS73" s="178"/>
      <c r="HT73" s="178"/>
      <c r="HU73" s="178"/>
      <c r="HV73" s="178"/>
      <c r="HW73" s="178"/>
      <c r="HX73" s="178"/>
      <c r="HY73" s="178"/>
      <c r="HZ73" s="178"/>
      <c r="IA73" s="178"/>
      <c r="IB73" s="178"/>
      <c r="IC73" s="178"/>
      <c r="ID73" s="178"/>
      <c r="IE73" s="178"/>
      <c r="IF73" s="178"/>
      <c r="IG73" s="178"/>
      <c r="IH73" s="178"/>
      <c r="II73" s="178"/>
      <c r="IJ73" s="178"/>
      <c r="IK73" s="178"/>
      <c r="IL73" s="178"/>
      <c r="IM73" s="178"/>
      <c r="IN73" s="178"/>
      <c r="IO73" s="178"/>
      <c r="IP73" s="178"/>
      <c r="IQ73" s="178"/>
      <c r="IR73" s="178"/>
      <c r="IS73" s="178"/>
      <c r="IT73" s="178"/>
      <c r="IU73" s="178"/>
      <c r="IV73" s="178"/>
      <c r="IW73" s="178"/>
      <c r="IX73" s="178"/>
      <c r="IY73" s="178"/>
      <c r="IZ73" s="178"/>
      <c r="JA73" s="178"/>
      <c r="JB73" s="178"/>
      <c r="JC73" s="178"/>
      <c r="JD73" s="178"/>
      <c r="JE73" s="178"/>
      <c r="JF73" s="178"/>
      <c r="JG73" s="178"/>
      <c r="JH73" s="178"/>
      <c r="JI73" s="178"/>
      <c r="JJ73" s="178"/>
      <c r="JK73" s="178"/>
      <c r="JL73" s="178"/>
      <c r="JM73" s="178"/>
      <c r="JN73" s="178"/>
      <c r="JO73" s="178"/>
      <c r="JP73" s="178"/>
      <c r="JQ73" s="178"/>
      <c r="JR73" s="178"/>
      <c r="JS73" s="178"/>
      <c r="JT73" s="178"/>
      <c r="JU73" s="178"/>
      <c r="JV73" s="178"/>
      <c r="JW73" s="178"/>
      <c r="JX73" s="178"/>
      <c r="JY73" s="178"/>
      <c r="JZ73" s="178"/>
      <c r="KA73" s="178"/>
    </row>
    <row r="74" spans="1:287" s="360" customFormat="1" ht="52.5" hidden="1" customHeight="1">
      <c r="A74" s="754"/>
      <c r="B74" s="1601"/>
      <c r="C74" s="818"/>
      <c r="D74" s="755" t="s">
        <v>1407</v>
      </c>
      <c r="E74" s="861">
        <f t="shared" si="50"/>
        <v>2</v>
      </c>
      <c r="F74" s="861"/>
      <c r="G74" s="861"/>
      <c r="H74" s="861"/>
      <c r="I74" s="861"/>
      <c r="J74" s="858">
        <v>0</v>
      </c>
      <c r="K74" s="858">
        <v>0</v>
      </c>
      <c r="L74" s="858">
        <v>0</v>
      </c>
      <c r="M74" s="858">
        <v>0</v>
      </c>
      <c r="N74" s="858">
        <f t="shared" si="55"/>
        <v>0</v>
      </c>
      <c r="O74" s="861">
        <f t="shared" si="56"/>
        <v>2</v>
      </c>
      <c r="P74" s="861">
        <f t="shared" si="57"/>
        <v>0</v>
      </c>
      <c r="Q74" s="861">
        <f t="shared" si="58"/>
        <v>0</v>
      </c>
      <c r="R74" s="861">
        <f t="shared" si="59"/>
        <v>0</v>
      </c>
      <c r="S74" s="861">
        <f t="shared" si="60"/>
        <v>0</v>
      </c>
      <c r="T74" s="861"/>
      <c r="U74" s="858"/>
      <c r="V74" s="769"/>
      <c r="W74" s="769"/>
      <c r="X74" s="769"/>
      <c r="Y74" s="769"/>
      <c r="Z74" s="769"/>
      <c r="AA74" s="769"/>
      <c r="AB74" s="769"/>
      <c r="AC74" s="769"/>
      <c r="AD74" s="769"/>
      <c r="AE74" s="769"/>
      <c r="AF74" s="769"/>
      <c r="AG74" s="769"/>
      <c r="AH74" s="769"/>
      <c r="AI74" s="769"/>
      <c r="AJ74" s="769"/>
      <c r="AK74" s="769"/>
      <c r="AL74" s="769"/>
      <c r="AM74" s="769"/>
      <c r="AN74" s="769"/>
      <c r="AO74" s="769"/>
      <c r="AP74" s="769"/>
      <c r="AQ74" s="769"/>
      <c r="AR74" s="769"/>
      <c r="AS74" s="769"/>
      <c r="AT74" s="769"/>
      <c r="AU74" s="769"/>
      <c r="AV74" s="769"/>
      <c r="AW74" s="769"/>
      <c r="AX74" s="769"/>
      <c r="AY74" s="769"/>
      <c r="AZ74" s="769"/>
      <c r="BA74" s="769"/>
      <c r="BB74" s="769"/>
      <c r="BC74" s="769"/>
      <c r="BD74" s="769"/>
      <c r="BE74" s="769"/>
      <c r="BF74" s="769"/>
      <c r="BG74" s="769"/>
      <c r="BH74" s="769"/>
      <c r="BI74" s="769"/>
      <c r="BJ74" s="769"/>
      <c r="BK74" s="769"/>
      <c r="BL74" s="769"/>
      <c r="BM74" s="769"/>
      <c r="BN74" s="769"/>
      <c r="BO74" s="769"/>
      <c r="BP74" s="769"/>
      <c r="BQ74" s="769"/>
      <c r="BR74" s="769"/>
      <c r="BS74" s="769"/>
      <c r="BT74" s="769"/>
      <c r="BU74" s="769"/>
      <c r="BV74" s="769"/>
      <c r="BW74" s="769"/>
      <c r="BX74" s="769"/>
      <c r="BY74" s="769"/>
      <c r="BZ74" s="769"/>
      <c r="CA74" s="769"/>
      <c r="CB74" s="769"/>
      <c r="CC74" s="769"/>
      <c r="CD74" s="769"/>
      <c r="CE74" s="769"/>
      <c r="CF74" s="769"/>
      <c r="CG74" s="769"/>
      <c r="CH74" s="769"/>
      <c r="CI74" s="769"/>
      <c r="CJ74" s="769"/>
      <c r="CK74" s="769"/>
      <c r="CL74" s="769"/>
      <c r="CM74" s="769"/>
      <c r="CN74" s="769"/>
      <c r="CO74" s="769"/>
      <c r="CP74" s="769"/>
      <c r="CQ74" s="769"/>
      <c r="CR74" s="769"/>
      <c r="CS74" s="769"/>
      <c r="CT74" s="769"/>
      <c r="CU74" s="769"/>
      <c r="CV74" s="769"/>
      <c r="CW74" s="769"/>
      <c r="CX74" s="769"/>
      <c r="CY74" s="769"/>
      <c r="CZ74" s="769"/>
      <c r="DA74" s="769"/>
      <c r="DB74" s="769"/>
      <c r="DC74" s="769"/>
      <c r="DD74" s="769"/>
      <c r="DE74" s="769"/>
      <c r="DF74" s="769"/>
      <c r="DG74" s="769"/>
      <c r="DH74" s="769"/>
      <c r="DI74" s="769"/>
      <c r="DJ74" s="769"/>
      <c r="DK74" s="769"/>
      <c r="DL74" s="769"/>
      <c r="DM74" s="769"/>
      <c r="DN74" s="769"/>
      <c r="DO74" s="769"/>
      <c r="DP74" s="769"/>
      <c r="DQ74" s="769"/>
      <c r="DR74" s="769"/>
      <c r="DS74" s="769"/>
      <c r="DT74" s="769"/>
      <c r="DU74" s="769"/>
      <c r="DV74" s="769"/>
      <c r="DW74" s="769"/>
      <c r="DX74" s="769"/>
      <c r="DY74" s="769"/>
      <c r="DZ74" s="769"/>
      <c r="EA74" s="769"/>
      <c r="EB74" s="769"/>
      <c r="EC74" s="769"/>
      <c r="ED74" s="769"/>
      <c r="EE74" s="769"/>
      <c r="EF74" s="769"/>
      <c r="EG74" s="769"/>
      <c r="EH74" s="769"/>
      <c r="EI74" s="769"/>
      <c r="EJ74" s="769"/>
      <c r="EK74" s="769"/>
      <c r="EL74" s="769"/>
      <c r="EM74" s="769"/>
      <c r="EN74" s="769"/>
      <c r="EO74" s="769"/>
      <c r="EP74" s="769"/>
      <c r="EQ74" s="738"/>
      <c r="ER74" s="769"/>
      <c r="ES74" s="769"/>
      <c r="ET74" s="769"/>
      <c r="EU74" s="769"/>
      <c r="EV74" s="769"/>
      <c r="EW74" s="769"/>
      <c r="EX74" s="769"/>
      <c r="EY74" s="769"/>
      <c r="EZ74" s="769"/>
      <c r="FA74" s="769"/>
      <c r="FB74" s="769"/>
      <c r="FC74" s="769"/>
      <c r="FD74" s="769"/>
      <c r="FE74" s="769"/>
      <c r="FF74" s="769"/>
      <c r="FG74" s="769"/>
      <c r="FH74" s="769"/>
      <c r="FI74" s="738">
        <v>2</v>
      </c>
      <c r="FJ74" s="738"/>
      <c r="FK74" s="769"/>
      <c r="FL74" s="769"/>
      <c r="FM74" s="769"/>
      <c r="FN74" s="769"/>
      <c r="FO74" s="769"/>
      <c r="FP74" s="769"/>
      <c r="FQ74" s="769"/>
      <c r="FR74" s="769"/>
      <c r="FS74" s="769"/>
      <c r="FT74" s="769"/>
      <c r="FU74" s="769"/>
      <c r="FV74" s="769"/>
      <c r="FW74" s="769"/>
      <c r="FX74" s="769"/>
      <c r="FY74" s="769"/>
      <c r="FZ74" s="769"/>
      <c r="GA74" s="769"/>
      <c r="GB74" s="769"/>
      <c r="GC74" s="769"/>
      <c r="GD74" s="769"/>
      <c r="GE74" s="769"/>
      <c r="GF74" s="769"/>
      <c r="GG74" s="769"/>
      <c r="GH74" s="769"/>
      <c r="GI74" s="769"/>
      <c r="GJ74" s="769"/>
      <c r="GK74" s="769"/>
      <c r="GL74" s="769"/>
      <c r="GM74" s="769"/>
      <c r="GN74" s="769"/>
      <c r="GO74" s="769"/>
      <c r="GP74" s="769"/>
      <c r="GQ74" s="769"/>
      <c r="GR74" s="769"/>
      <c r="GS74" s="769"/>
      <c r="GT74" s="769"/>
      <c r="GU74" s="769"/>
      <c r="GV74" s="769"/>
      <c r="GW74" s="862"/>
      <c r="GX74" s="863"/>
      <c r="GY74" s="863"/>
      <c r="GZ74" s="1385"/>
      <c r="HA74" s="1385"/>
      <c r="HB74" s="864"/>
      <c r="HC74" s="178"/>
      <c r="HD74" s="178"/>
      <c r="HE74" s="178"/>
      <c r="HF74" s="178"/>
      <c r="HG74" s="178"/>
      <c r="HH74" s="178"/>
      <c r="HI74" s="178"/>
      <c r="HJ74" s="178"/>
      <c r="HK74" s="178"/>
      <c r="HL74" s="178"/>
      <c r="HM74" s="178"/>
      <c r="HN74" s="178"/>
      <c r="HO74" s="178"/>
      <c r="HP74" s="178"/>
      <c r="HQ74" s="178"/>
      <c r="HR74" s="178"/>
      <c r="HS74" s="178"/>
      <c r="HT74" s="178"/>
      <c r="HU74" s="178"/>
      <c r="HV74" s="178"/>
      <c r="HW74" s="178"/>
      <c r="HX74" s="178"/>
      <c r="HY74" s="178"/>
      <c r="HZ74" s="178"/>
      <c r="IA74" s="178"/>
      <c r="IB74" s="178"/>
      <c r="IC74" s="178"/>
      <c r="ID74" s="178"/>
      <c r="IE74" s="178"/>
      <c r="IF74" s="178"/>
      <c r="IG74" s="178"/>
      <c r="IH74" s="178"/>
      <c r="II74" s="178"/>
      <c r="IJ74" s="178"/>
      <c r="IK74" s="178"/>
      <c r="IL74" s="178"/>
      <c r="IM74" s="178"/>
      <c r="IN74" s="178"/>
      <c r="IO74" s="178"/>
      <c r="IP74" s="178"/>
      <c r="IQ74" s="178"/>
      <c r="IR74" s="178"/>
      <c r="IS74" s="178"/>
      <c r="IT74" s="178"/>
      <c r="IU74" s="178"/>
      <c r="IV74" s="178"/>
      <c r="IW74" s="178"/>
      <c r="IX74" s="178"/>
      <c r="IY74" s="178"/>
      <c r="IZ74" s="178"/>
      <c r="JA74" s="178"/>
      <c r="JB74" s="178"/>
      <c r="JC74" s="178"/>
      <c r="JD74" s="178"/>
      <c r="JE74" s="178"/>
      <c r="JF74" s="178"/>
      <c r="JG74" s="178"/>
      <c r="JH74" s="178"/>
      <c r="JI74" s="178"/>
      <c r="JJ74" s="178"/>
      <c r="JK74" s="178"/>
      <c r="JL74" s="178"/>
      <c r="JM74" s="178"/>
      <c r="JN74" s="178"/>
      <c r="JO74" s="178"/>
      <c r="JP74" s="178"/>
      <c r="JQ74" s="178"/>
      <c r="JR74" s="178"/>
      <c r="JS74" s="178"/>
      <c r="JT74" s="178"/>
      <c r="JU74" s="178"/>
      <c r="JV74" s="178"/>
      <c r="JW74" s="178"/>
      <c r="JX74" s="178"/>
      <c r="JY74" s="178"/>
      <c r="JZ74" s="178"/>
      <c r="KA74" s="178"/>
    </row>
    <row r="75" spans="1:287" s="360" customFormat="1" ht="64.5" hidden="1" customHeight="1">
      <c r="A75" s="754">
        <v>16</v>
      </c>
      <c r="B75" s="1600"/>
      <c r="C75" s="754" t="s">
        <v>843</v>
      </c>
      <c r="D75" s="755" t="s">
        <v>1194</v>
      </c>
      <c r="E75" s="861">
        <f t="shared" si="50"/>
        <v>8</v>
      </c>
      <c r="F75" s="858">
        <v>0</v>
      </c>
      <c r="G75" s="858">
        <v>0</v>
      </c>
      <c r="H75" s="858">
        <v>0</v>
      </c>
      <c r="I75" s="858">
        <v>0</v>
      </c>
      <c r="J75" s="858">
        <f>SUM(V75:AF75)</f>
        <v>1</v>
      </c>
      <c r="K75" s="858">
        <f t="shared" si="52"/>
        <v>2</v>
      </c>
      <c r="L75" s="861">
        <f t="shared" si="53"/>
        <v>3</v>
      </c>
      <c r="M75" s="858">
        <f t="shared" si="54"/>
        <v>1</v>
      </c>
      <c r="N75" s="861">
        <f t="shared" si="55"/>
        <v>2</v>
      </c>
      <c r="O75" s="861">
        <f t="shared" si="56"/>
        <v>2</v>
      </c>
      <c r="P75" s="861">
        <f t="shared" si="57"/>
        <v>0</v>
      </c>
      <c r="Q75" s="861">
        <f t="shared" si="58"/>
        <v>1</v>
      </c>
      <c r="R75" s="861">
        <f t="shared" si="59"/>
        <v>0</v>
      </c>
      <c r="S75" s="861">
        <f t="shared" si="60"/>
        <v>0</v>
      </c>
      <c r="T75" s="861"/>
      <c r="U75" s="861"/>
      <c r="V75" s="769"/>
      <c r="W75" s="769"/>
      <c r="X75" s="769"/>
      <c r="Y75" s="769"/>
      <c r="Z75" s="769"/>
      <c r="AA75" s="769">
        <v>1</v>
      </c>
      <c r="AB75" s="769"/>
      <c r="AC75" s="769"/>
      <c r="AD75" s="769"/>
      <c r="AE75" s="769"/>
      <c r="AF75" s="769"/>
      <c r="AG75" s="769"/>
      <c r="AH75" s="769"/>
      <c r="AI75" s="769"/>
      <c r="AJ75" s="769"/>
      <c r="AK75" s="769"/>
      <c r="AL75" s="769"/>
      <c r="AM75" s="769"/>
      <c r="AN75" s="769"/>
      <c r="AO75" s="769"/>
      <c r="AP75" s="769"/>
      <c r="AQ75" s="769"/>
      <c r="AR75" s="769"/>
      <c r="AS75" s="769"/>
      <c r="AT75" s="769"/>
      <c r="AU75" s="769"/>
      <c r="AV75" s="769"/>
      <c r="AW75" s="769"/>
      <c r="AX75" s="769"/>
      <c r="AY75" s="769"/>
      <c r="AZ75" s="769"/>
      <c r="BA75" s="769"/>
      <c r="BB75" s="769"/>
      <c r="BC75" s="769"/>
      <c r="BD75" s="769">
        <v>1</v>
      </c>
      <c r="BE75" s="769"/>
      <c r="BF75" s="769"/>
      <c r="BG75" s="769"/>
      <c r="BH75" s="769">
        <v>1</v>
      </c>
      <c r="BI75" s="769"/>
      <c r="BJ75" s="769"/>
      <c r="BK75" s="769"/>
      <c r="BL75" s="769"/>
      <c r="BM75" s="769"/>
      <c r="BN75" s="331"/>
      <c r="BO75" s="331"/>
      <c r="BP75" s="331"/>
      <c r="BQ75" s="331"/>
      <c r="BR75" s="769"/>
      <c r="BS75" s="769"/>
      <c r="BT75" s="769"/>
      <c r="BU75" s="769"/>
      <c r="BV75" s="769"/>
      <c r="BW75" s="769"/>
      <c r="BX75" s="769"/>
      <c r="BY75" s="769"/>
      <c r="BZ75" s="769"/>
      <c r="CA75" s="769"/>
      <c r="CB75" s="769"/>
      <c r="CC75" s="738">
        <v>1</v>
      </c>
      <c r="CD75" s="738">
        <v>2</v>
      </c>
      <c r="CE75" s="738"/>
      <c r="CF75" s="738"/>
      <c r="CG75" s="738"/>
      <c r="CH75" s="738"/>
      <c r="CI75" s="738"/>
      <c r="CJ75" s="738"/>
      <c r="CK75" s="738"/>
      <c r="CL75" s="738"/>
      <c r="CM75" s="738"/>
      <c r="CN75" s="738"/>
      <c r="CO75" s="738"/>
      <c r="CP75" s="738"/>
      <c r="CQ75" s="738"/>
      <c r="CR75" s="738"/>
      <c r="CS75" s="738"/>
      <c r="CT75" s="738"/>
      <c r="CU75" s="738"/>
      <c r="CV75" s="738"/>
      <c r="CW75" s="738"/>
      <c r="CX75" s="738"/>
      <c r="CY75" s="738"/>
      <c r="CZ75" s="738"/>
      <c r="DA75" s="738"/>
      <c r="DB75" s="738"/>
      <c r="DC75" s="738">
        <v>1</v>
      </c>
      <c r="DD75" s="738"/>
      <c r="DE75" s="738"/>
      <c r="DF75" s="738"/>
      <c r="DG75" s="738"/>
      <c r="DH75" s="738"/>
      <c r="DI75" s="738"/>
      <c r="DJ75" s="738"/>
      <c r="DK75" s="738"/>
      <c r="DL75" s="738"/>
      <c r="DM75" s="738"/>
      <c r="DN75" s="738"/>
      <c r="DO75" s="738"/>
      <c r="DP75" s="738"/>
      <c r="DQ75" s="738"/>
      <c r="DR75" s="738"/>
      <c r="DS75" s="738"/>
      <c r="DT75" s="738"/>
      <c r="DU75" s="738"/>
      <c r="DV75" s="738"/>
      <c r="DW75" s="738">
        <v>1</v>
      </c>
      <c r="DX75" s="738"/>
      <c r="DY75" s="738"/>
      <c r="DZ75" s="738"/>
      <c r="EA75" s="738"/>
      <c r="EB75" s="738"/>
      <c r="EC75" s="738"/>
      <c r="ED75" s="738"/>
      <c r="EE75" s="738"/>
      <c r="EF75" s="738"/>
      <c r="EG75" s="738"/>
      <c r="EH75" s="738">
        <v>1</v>
      </c>
      <c r="EI75" s="738"/>
      <c r="EJ75" s="738"/>
      <c r="EK75" s="738"/>
      <c r="EL75" s="738"/>
      <c r="EM75" s="738"/>
      <c r="EN75" s="738"/>
      <c r="EO75" s="738"/>
      <c r="EP75" s="738"/>
      <c r="EQ75" s="738"/>
      <c r="ER75" s="738"/>
      <c r="ES75" s="738"/>
      <c r="ET75" s="738"/>
      <c r="EU75" s="738"/>
      <c r="EV75" s="738"/>
      <c r="EW75" s="738"/>
      <c r="EX75" s="738"/>
      <c r="EY75" s="738"/>
      <c r="EZ75" s="738"/>
      <c r="FA75" s="738"/>
      <c r="FB75" s="738"/>
      <c r="FC75" s="738"/>
      <c r="FD75" s="738"/>
      <c r="FE75" s="738"/>
      <c r="FF75" s="738"/>
      <c r="FG75" s="738"/>
      <c r="FH75" s="738"/>
      <c r="FI75" s="738"/>
      <c r="FJ75" s="738"/>
      <c r="FK75" s="738"/>
      <c r="FL75" s="738"/>
      <c r="FM75" s="738"/>
      <c r="FN75" s="738"/>
      <c r="FO75" s="738"/>
      <c r="FP75" s="738"/>
      <c r="FQ75" s="738"/>
      <c r="FR75" s="738"/>
      <c r="FS75" s="738"/>
      <c r="FT75" s="738"/>
      <c r="FU75" s="738"/>
      <c r="FV75" s="738">
        <v>1</v>
      </c>
      <c r="FW75" s="738"/>
      <c r="FX75" s="738"/>
      <c r="FY75" s="738">
        <v>1</v>
      </c>
      <c r="FZ75" s="738"/>
      <c r="GA75" s="738"/>
      <c r="GB75" s="738"/>
      <c r="GC75" s="738"/>
      <c r="GD75" s="738"/>
      <c r="GE75" s="738"/>
      <c r="GF75" s="738"/>
      <c r="GG75" s="738"/>
      <c r="GH75" s="738"/>
      <c r="GI75" s="738"/>
      <c r="GJ75" s="738"/>
      <c r="GK75" s="738"/>
      <c r="GL75" s="738"/>
      <c r="GM75" s="738"/>
      <c r="GN75" s="738"/>
      <c r="GO75" s="738"/>
      <c r="GP75" s="738"/>
      <c r="GQ75" s="738"/>
      <c r="GR75" s="769"/>
      <c r="GS75" s="769"/>
      <c r="GT75" s="769"/>
      <c r="GU75" s="769"/>
      <c r="GV75" s="769"/>
      <c r="GW75" s="863" t="s">
        <v>1247</v>
      </c>
      <c r="GX75" s="863"/>
      <c r="GY75" s="863"/>
      <c r="GZ75" s="1039"/>
      <c r="HA75" s="1039"/>
      <c r="HB75" s="864" t="s">
        <v>1197</v>
      </c>
      <c r="HC75" s="178"/>
      <c r="HD75" s="178"/>
      <c r="HE75" s="178"/>
      <c r="HF75" s="178"/>
      <c r="HG75" s="178"/>
      <c r="HH75" s="178"/>
      <c r="HI75" s="178"/>
      <c r="HJ75" s="178"/>
      <c r="HK75" s="178"/>
      <c r="HL75" s="178"/>
      <c r="HM75" s="178"/>
      <c r="HN75" s="178"/>
      <c r="HO75" s="178"/>
      <c r="HP75" s="178"/>
      <c r="HQ75" s="178"/>
      <c r="HR75" s="178"/>
      <c r="HS75" s="178"/>
      <c r="HT75" s="178"/>
      <c r="HU75" s="178"/>
      <c r="HV75" s="178"/>
      <c r="HW75" s="178"/>
      <c r="HX75" s="178"/>
      <c r="HY75" s="178"/>
      <c r="HZ75" s="178"/>
      <c r="IA75" s="178"/>
      <c r="IB75" s="178"/>
      <c r="IC75" s="178"/>
      <c r="ID75" s="178"/>
      <c r="IE75" s="178"/>
      <c r="IF75" s="178"/>
      <c r="IG75" s="178"/>
      <c r="IH75" s="178"/>
      <c r="II75" s="178"/>
      <c r="IJ75" s="178"/>
      <c r="IK75" s="178"/>
      <c r="IL75" s="178"/>
      <c r="IM75" s="178"/>
      <c r="IN75" s="178"/>
      <c r="IO75" s="178"/>
      <c r="IP75" s="178"/>
      <c r="IQ75" s="178"/>
      <c r="IR75" s="178"/>
      <c r="IS75" s="178"/>
      <c r="IT75" s="178"/>
      <c r="IU75" s="178"/>
      <c r="IV75" s="178"/>
      <c r="IW75" s="178"/>
      <c r="IX75" s="178"/>
      <c r="IY75" s="178"/>
      <c r="IZ75" s="178"/>
      <c r="JA75" s="178"/>
      <c r="JB75" s="178"/>
      <c r="JC75" s="178"/>
      <c r="JD75" s="178"/>
      <c r="JE75" s="178"/>
      <c r="JF75" s="178"/>
      <c r="JG75" s="178"/>
      <c r="JH75" s="178"/>
      <c r="JI75" s="178"/>
      <c r="JJ75" s="178"/>
      <c r="JK75" s="178"/>
      <c r="JL75" s="178"/>
      <c r="JM75" s="178"/>
      <c r="JN75" s="178"/>
      <c r="JO75" s="178"/>
      <c r="JP75" s="178"/>
      <c r="JQ75" s="178"/>
      <c r="JR75" s="178"/>
      <c r="JS75" s="178"/>
      <c r="JT75" s="178"/>
      <c r="JU75" s="178"/>
      <c r="JV75" s="178"/>
      <c r="JW75" s="178"/>
      <c r="JX75" s="178"/>
      <c r="JY75" s="178"/>
      <c r="JZ75" s="178"/>
      <c r="KA75" s="178"/>
    </row>
    <row r="76" spans="1:287" s="360" customFormat="1" ht="64.5" hidden="1" customHeight="1">
      <c r="A76" s="754">
        <v>17</v>
      </c>
      <c r="B76" s="1600"/>
      <c r="C76" s="754" t="s">
        <v>843</v>
      </c>
      <c r="D76" s="755" t="s">
        <v>1246</v>
      </c>
      <c r="E76" s="861">
        <f t="shared" si="50"/>
        <v>0</v>
      </c>
      <c r="F76" s="861">
        <v>0</v>
      </c>
      <c r="G76" s="861">
        <v>0</v>
      </c>
      <c r="H76" s="861">
        <v>0</v>
      </c>
      <c r="I76" s="861">
        <v>0</v>
      </c>
      <c r="J76" s="858">
        <f>SUM(V76:AF76)</f>
        <v>0</v>
      </c>
      <c r="K76" s="861">
        <f t="shared" si="52"/>
        <v>1</v>
      </c>
      <c r="L76" s="861">
        <f t="shared" si="53"/>
        <v>0</v>
      </c>
      <c r="M76" s="858">
        <f t="shared" si="54"/>
        <v>0</v>
      </c>
      <c r="N76" s="861">
        <f t="shared" si="55"/>
        <v>0</v>
      </c>
      <c r="O76" s="861">
        <f t="shared" si="56"/>
        <v>0</v>
      </c>
      <c r="P76" s="861">
        <f t="shared" si="57"/>
        <v>0</v>
      </c>
      <c r="Q76" s="861">
        <f t="shared" si="58"/>
        <v>0</v>
      </c>
      <c r="R76" s="861">
        <f t="shared" si="59"/>
        <v>0</v>
      </c>
      <c r="S76" s="861">
        <f t="shared" si="60"/>
        <v>0</v>
      </c>
      <c r="T76" s="861"/>
      <c r="U76" s="861"/>
      <c r="V76" s="769"/>
      <c r="W76" s="769"/>
      <c r="X76" s="769"/>
      <c r="Y76" s="769"/>
      <c r="Z76" s="769"/>
      <c r="AA76" s="769"/>
      <c r="AB76" s="769"/>
      <c r="AC76" s="769"/>
      <c r="AD76" s="769"/>
      <c r="AE76" s="769"/>
      <c r="AF76" s="769"/>
      <c r="AG76" s="769"/>
      <c r="AH76" s="769"/>
      <c r="AI76" s="769"/>
      <c r="AJ76" s="769"/>
      <c r="AK76" s="769"/>
      <c r="AL76" s="769"/>
      <c r="AM76" s="769"/>
      <c r="AN76" s="769"/>
      <c r="AO76" s="769"/>
      <c r="AP76" s="769"/>
      <c r="AQ76" s="769"/>
      <c r="AR76" s="769"/>
      <c r="AS76" s="769"/>
      <c r="AT76" s="769"/>
      <c r="AU76" s="769"/>
      <c r="AV76" s="769"/>
      <c r="AW76" s="769"/>
      <c r="AX76" s="769"/>
      <c r="AY76" s="769"/>
      <c r="AZ76" s="769"/>
      <c r="BA76" s="769"/>
      <c r="BB76" s="769"/>
      <c r="BC76" s="769"/>
      <c r="BD76" s="769"/>
      <c r="BE76" s="769"/>
      <c r="BF76" s="769">
        <v>1</v>
      </c>
      <c r="BG76" s="769"/>
      <c r="BH76" s="769"/>
      <c r="BI76" s="769"/>
      <c r="BJ76" s="769"/>
      <c r="BK76" s="769"/>
      <c r="BL76" s="769"/>
      <c r="BM76" s="769"/>
      <c r="BN76" s="331"/>
      <c r="BO76" s="331"/>
      <c r="BP76" s="331"/>
      <c r="BQ76" s="331"/>
      <c r="BR76" s="769"/>
      <c r="BS76" s="769"/>
      <c r="BT76" s="769"/>
      <c r="BU76" s="769"/>
      <c r="BV76" s="769"/>
      <c r="BW76" s="769"/>
      <c r="BX76" s="769"/>
      <c r="BY76" s="769"/>
      <c r="BZ76" s="769"/>
      <c r="CA76" s="769"/>
      <c r="CB76" s="769"/>
      <c r="CC76" s="769"/>
      <c r="CD76" s="769"/>
      <c r="CE76" s="769"/>
      <c r="CF76" s="769"/>
      <c r="CG76" s="769"/>
      <c r="CH76" s="769"/>
      <c r="CI76" s="769"/>
      <c r="CJ76" s="769"/>
      <c r="CK76" s="769"/>
      <c r="CL76" s="769"/>
      <c r="CM76" s="769"/>
      <c r="CN76" s="769"/>
      <c r="CO76" s="769"/>
      <c r="CP76" s="769"/>
      <c r="CQ76" s="769"/>
      <c r="CR76" s="769"/>
      <c r="CS76" s="769"/>
      <c r="CT76" s="769"/>
      <c r="CU76" s="769"/>
      <c r="CV76" s="769"/>
      <c r="CW76" s="769"/>
      <c r="CX76" s="769"/>
      <c r="CY76" s="769"/>
      <c r="CZ76" s="769"/>
      <c r="DA76" s="769"/>
      <c r="DB76" s="769"/>
      <c r="DC76" s="769"/>
      <c r="DD76" s="769"/>
      <c r="DE76" s="769"/>
      <c r="DF76" s="769"/>
      <c r="DG76" s="769"/>
      <c r="DH76" s="769"/>
      <c r="DI76" s="769"/>
      <c r="DJ76" s="769"/>
      <c r="DK76" s="769"/>
      <c r="DL76" s="769"/>
      <c r="DM76" s="769"/>
      <c r="DN76" s="769"/>
      <c r="DO76" s="769"/>
      <c r="DP76" s="769"/>
      <c r="DQ76" s="769"/>
      <c r="DR76" s="769"/>
      <c r="DS76" s="769"/>
      <c r="DT76" s="769"/>
      <c r="DU76" s="769"/>
      <c r="DV76" s="769"/>
      <c r="DW76" s="769"/>
      <c r="DX76" s="769"/>
      <c r="DY76" s="769"/>
      <c r="DZ76" s="769"/>
      <c r="EA76" s="769"/>
      <c r="EB76" s="769"/>
      <c r="EC76" s="769"/>
      <c r="ED76" s="769"/>
      <c r="EE76" s="769"/>
      <c r="EF76" s="769"/>
      <c r="EG76" s="769"/>
      <c r="EH76" s="769"/>
      <c r="EI76" s="769"/>
      <c r="EJ76" s="769"/>
      <c r="EK76" s="769"/>
      <c r="EL76" s="769"/>
      <c r="EM76" s="769"/>
      <c r="EN76" s="769"/>
      <c r="EO76" s="769"/>
      <c r="EP76" s="769"/>
      <c r="EQ76" s="738"/>
      <c r="ER76" s="769"/>
      <c r="ES76" s="769"/>
      <c r="ET76" s="769"/>
      <c r="EU76" s="769"/>
      <c r="EV76" s="769"/>
      <c r="EW76" s="769"/>
      <c r="EX76" s="769"/>
      <c r="EY76" s="769"/>
      <c r="EZ76" s="769"/>
      <c r="FA76" s="769"/>
      <c r="FB76" s="769"/>
      <c r="FC76" s="769"/>
      <c r="FD76" s="769"/>
      <c r="FE76" s="769"/>
      <c r="FF76" s="769"/>
      <c r="FG76" s="769"/>
      <c r="FH76" s="769"/>
      <c r="FI76" s="769"/>
      <c r="FJ76" s="769"/>
      <c r="FK76" s="769"/>
      <c r="FL76" s="769"/>
      <c r="FM76" s="769"/>
      <c r="FN76" s="769"/>
      <c r="FO76" s="769"/>
      <c r="FP76" s="769"/>
      <c r="FQ76" s="769"/>
      <c r="FR76" s="769"/>
      <c r="FS76" s="769"/>
      <c r="FT76" s="769"/>
      <c r="FU76" s="769"/>
      <c r="FV76" s="769"/>
      <c r="FW76" s="769"/>
      <c r="FX76" s="769"/>
      <c r="FY76" s="769"/>
      <c r="FZ76" s="769"/>
      <c r="GA76" s="769"/>
      <c r="GB76" s="769"/>
      <c r="GC76" s="769"/>
      <c r="GD76" s="769"/>
      <c r="GE76" s="769"/>
      <c r="GF76" s="769"/>
      <c r="GG76" s="769"/>
      <c r="GH76" s="769"/>
      <c r="GI76" s="769"/>
      <c r="GJ76" s="769"/>
      <c r="GK76" s="769"/>
      <c r="GL76" s="769"/>
      <c r="GM76" s="769"/>
      <c r="GN76" s="769"/>
      <c r="GO76" s="769"/>
      <c r="GP76" s="769"/>
      <c r="GQ76" s="769"/>
      <c r="GR76" s="769"/>
      <c r="GS76" s="769"/>
      <c r="GT76" s="769"/>
      <c r="GU76" s="769"/>
      <c r="GV76" s="769"/>
      <c r="GW76" s="862"/>
      <c r="GX76" s="863"/>
      <c r="GY76" s="863"/>
      <c r="GZ76" s="930"/>
      <c r="HA76" s="930"/>
      <c r="HB76" s="927"/>
      <c r="HC76" s="178"/>
      <c r="HD76" s="178"/>
      <c r="HE76" s="178"/>
      <c r="HF76" s="178"/>
      <c r="HG76" s="178"/>
      <c r="HH76" s="178"/>
      <c r="HI76" s="178"/>
      <c r="HJ76" s="178"/>
      <c r="HK76" s="178"/>
      <c r="HL76" s="178"/>
      <c r="HM76" s="178"/>
      <c r="HN76" s="178"/>
      <c r="HO76" s="178"/>
      <c r="HP76" s="178"/>
      <c r="HQ76" s="178"/>
      <c r="HR76" s="178"/>
      <c r="HS76" s="178"/>
      <c r="HT76" s="178"/>
      <c r="HU76" s="178"/>
      <c r="HV76" s="178"/>
      <c r="HW76" s="178"/>
      <c r="HX76" s="178"/>
      <c r="HY76" s="178"/>
      <c r="HZ76" s="178"/>
      <c r="IA76" s="178"/>
      <c r="IB76" s="178"/>
      <c r="IC76" s="178"/>
      <c r="ID76" s="178"/>
      <c r="IE76" s="178"/>
      <c r="IF76" s="178"/>
      <c r="IG76" s="178"/>
      <c r="IH76" s="178"/>
      <c r="II76" s="178"/>
      <c r="IJ76" s="178"/>
      <c r="IK76" s="178"/>
      <c r="IL76" s="178"/>
      <c r="IM76" s="178"/>
      <c r="IN76" s="178"/>
      <c r="IO76" s="178"/>
      <c r="IP76" s="178"/>
      <c r="IQ76" s="178"/>
      <c r="IR76" s="178"/>
      <c r="IS76" s="178"/>
      <c r="IT76" s="178"/>
      <c r="IU76" s="178"/>
      <c r="IV76" s="178"/>
      <c r="IW76" s="178"/>
      <c r="IX76" s="178"/>
      <c r="IY76" s="178"/>
      <c r="IZ76" s="178"/>
      <c r="JA76" s="178"/>
      <c r="JB76" s="178"/>
      <c r="JC76" s="178"/>
      <c r="JD76" s="178"/>
      <c r="JE76" s="178"/>
      <c r="JF76" s="178"/>
      <c r="JG76" s="178"/>
      <c r="JH76" s="178"/>
      <c r="JI76" s="178"/>
      <c r="JJ76" s="178"/>
      <c r="JK76" s="178"/>
      <c r="JL76" s="178"/>
      <c r="JM76" s="178"/>
      <c r="JN76" s="178"/>
      <c r="JO76" s="178"/>
      <c r="JP76" s="178"/>
      <c r="JQ76" s="178"/>
      <c r="JR76" s="178"/>
      <c r="JS76" s="178"/>
      <c r="JT76" s="178"/>
      <c r="JU76" s="178"/>
      <c r="JV76" s="178"/>
      <c r="JW76" s="178"/>
      <c r="JX76" s="178"/>
      <c r="JY76" s="178"/>
      <c r="JZ76" s="178"/>
      <c r="KA76" s="178"/>
    </row>
    <row r="77" spans="1:287" s="360" customFormat="1" ht="97.5" hidden="1" customHeight="1">
      <c r="A77" s="754">
        <v>18</v>
      </c>
      <c r="B77" s="1600"/>
      <c r="C77" s="754" t="s">
        <v>843</v>
      </c>
      <c r="D77" s="755" t="s">
        <v>1200</v>
      </c>
      <c r="E77" s="861">
        <f t="shared" si="50"/>
        <v>4</v>
      </c>
      <c r="F77" s="858">
        <v>0</v>
      </c>
      <c r="G77" s="858">
        <v>0</v>
      </c>
      <c r="H77" s="858">
        <v>0</v>
      </c>
      <c r="I77" s="858">
        <v>0</v>
      </c>
      <c r="J77" s="858">
        <f t="shared" si="51"/>
        <v>1</v>
      </c>
      <c r="K77" s="858">
        <f t="shared" si="52"/>
        <v>1</v>
      </c>
      <c r="L77" s="858">
        <f t="shared" si="53"/>
        <v>2</v>
      </c>
      <c r="M77" s="858">
        <f t="shared" si="54"/>
        <v>0</v>
      </c>
      <c r="N77" s="861">
        <f t="shared" si="55"/>
        <v>1</v>
      </c>
      <c r="O77" s="861">
        <f t="shared" si="56"/>
        <v>1</v>
      </c>
      <c r="P77" s="861">
        <f t="shared" si="57"/>
        <v>0</v>
      </c>
      <c r="Q77" s="861">
        <f t="shared" si="58"/>
        <v>0</v>
      </c>
      <c r="R77" s="861">
        <f t="shared" si="59"/>
        <v>0</v>
      </c>
      <c r="S77" s="861">
        <f t="shared" si="60"/>
        <v>0</v>
      </c>
      <c r="T77" s="861"/>
      <c r="U77" s="858"/>
      <c r="V77" s="769"/>
      <c r="W77" s="769"/>
      <c r="X77" s="769"/>
      <c r="Y77" s="769"/>
      <c r="Z77" s="769"/>
      <c r="AA77" s="769"/>
      <c r="AB77" s="769"/>
      <c r="AC77" s="769"/>
      <c r="AD77" s="769"/>
      <c r="AE77" s="769"/>
      <c r="AF77" s="738">
        <v>1</v>
      </c>
      <c r="AG77" s="738"/>
      <c r="AH77" s="738"/>
      <c r="AI77" s="738"/>
      <c r="AJ77" s="738"/>
      <c r="AK77" s="738"/>
      <c r="AL77" s="738"/>
      <c r="AM77" s="738"/>
      <c r="AN77" s="738"/>
      <c r="AO77" s="738"/>
      <c r="AP77" s="738"/>
      <c r="AQ77" s="738"/>
      <c r="AR77" s="738"/>
      <c r="AS77" s="738"/>
      <c r="AT77" s="738"/>
      <c r="AU77" s="738"/>
      <c r="AV77" s="738"/>
      <c r="AW77" s="738"/>
      <c r="AX77" s="738"/>
      <c r="AY77" s="738"/>
      <c r="AZ77" s="738"/>
      <c r="BA77" s="738"/>
      <c r="BB77" s="738"/>
      <c r="BC77" s="738"/>
      <c r="BD77" s="738"/>
      <c r="BE77" s="738"/>
      <c r="BF77" s="738"/>
      <c r="BG77" s="738"/>
      <c r="BH77" s="738"/>
      <c r="BI77" s="738"/>
      <c r="BJ77" s="738">
        <v>1</v>
      </c>
      <c r="BK77" s="738"/>
      <c r="BL77" s="738"/>
      <c r="BM77" s="738"/>
      <c r="BN77" s="271"/>
      <c r="BO77" s="271"/>
      <c r="BP77" s="271"/>
      <c r="BQ77" s="271"/>
      <c r="BR77" s="738"/>
      <c r="BS77" s="738"/>
      <c r="BT77" s="738"/>
      <c r="BU77" s="738"/>
      <c r="BV77" s="738"/>
      <c r="BW77" s="738"/>
      <c r="BX77" s="738"/>
      <c r="BY77" s="738"/>
      <c r="BZ77" s="738">
        <v>1</v>
      </c>
      <c r="CA77" s="738"/>
      <c r="CB77" s="738"/>
      <c r="CC77" s="738"/>
      <c r="CD77" s="738"/>
      <c r="CE77" s="738"/>
      <c r="CF77" s="738"/>
      <c r="CG77" s="738"/>
      <c r="CH77" s="738"/>
      <c r="CI77" s="738"/>
      <c r="CJ77" s="738">
        <v>1</v>
      </c>
      <c r="CK77" s="738"/>
      <c r="CL77" s="738"/>
      <c r="CM77" s="738"/>
      <c r="CN77" s="738"/>
      <c r="CO77" s="738"/>
      <c r="CP77" s="738"/>
      <c r="CQ77" s="738"/>
      <c r="CR77" s="738"/>
      <c r="CS77" s="738"/>
      <c r="CT77" s="738"/>
      <c r="CU77" s="738"/>
      <c r="CV77" s="738"/>
      <c r="CW77" s="738"/>
      <c r="CX77" s="738"/>
      <c r="CY77" s="738"/>
      <c r="CZ77" s="738"/>
      <c r="DA77" s="738"/>
      <c r="DB77" s="738"/>
      <c r="DC77" s="738"/>
      <c r="DD77" s="738"/>
      <c r="DE77" s="738"/>
      <c r="DF77" s="738"/>
      <c r="DG77" s="738"/>
      <c r="DH77" s="738"/>
      <c r="DI77" s="738"/>
      <c r="DJ77" s="738"/>
      <c r="DK77" s="738"/>
      <c r="DL77" s="738"/>
      <c r="DM77" s="738"/>
      <c r="DN77" s="738"/>
      <c r="DO77" s="738"/>
      <c r="DP77" s="738"/>
      <c r="DQ77" s="738"/>
      <c r="DR77" s="738"/>
      <c r="DS77" s="738"/>
      <c r="DT77" s="738"/>
      <c r="DU77" s="738"/>
      <c r="DV77" s="738"/>
      <c r="DW77" s="738"/>
      <c r="DX77" s="738"/>
      <c r="DY77" s="738"/>
      <c r="DZ77" s="738"/>
      <c r="EA77" s="738"/>
      <c r="EB77" s="738"/>
      <c r="EC77" s="738"/>
      <c r="ED77" s="738"/>
      <c r="EE77" s="738"/>
      <c r="EF77" s="738"/>
      <c r="EG77" s="738"/>
      <c r="EH77" s="738"/>
      <c r="EI77" s="738"/>
      <c r="EJ77" s="738"/>
      <c r="EK77" s="738"/>
      <c r="EL77" s="738"/>
      <c r="EM77" s="738"/>
      <c r="EN77" s="738"/>
      <c r="EO77" s="738"/>
      <c r="EP77" s="738"/>
      <c r="EQ77" s="734"/>
      <c r="ER77" s="738"/>
      <c r="ES77" s="738"/>
      <c r="ET77" s="738"/>
      <c r="EU77" s="738"/>
      <c r="EV77" s="738"/>
      <c r="EW77" s="738">
        <v>1</v>
      </c>
      <c r="EX77" s="738"/>
      <c r="EY77" s="738"/>
      <c r="EZ77" s="738"/>
      <c r="FA77" s="738"/>
      <c r="FB77" s="738"/>
      <c r="FC77" s="738"/>
      <c r="FD77" s="738"/>
      <c r="FE77" s="738"/>
      <c r="FF77" s="738">
        <v>1</v>
      </c>
      <c r="FG77" s="738"/>
      <c r="FH77" s="738"/>
      <c r="FI77" s="738"/>
      <c r="FJ77" s="738"/>
      <c r="FK77" s="738"/>
      <c r="FL77" s="738"/>
      <c r="FM77" s="738"/>
      <c r="FN77" s="738"/>
      <c r="FO77" s="738"/>
      <c r="FP77" s="738"/>
      <c r="FQ77" s="738"/>
      <c r="FR77" s="738"/>
      <c r="FS77" s="738"/>
      <c r="FT77" s="738"/>
      <c r="FU77" s="738"/>
      <c r="FV77" s="738"/>
      <c r="FW77" s="738"/>
      <c r="FX77" s="738"/>
      <c r="FY77" s="738"/>
      <c r="FZ77" s="738"/>
      <c r="GA77" s="738"/>
      <c r="GB77" s="738"/>
      <c r="GC77" s="738"/>
      <c r="GD77" s="738"/>
      <c r="GE77" s="738"/>
      <c r="GF77" s="738"/>
      <c r="GG77" s="738"/>
      <c r="GH77" s="738"/>
      <c r="GI77" s="738"/>
      <c r="GJ77" s="738"/>
      <c r="GK77" s="738"/>
      <c r="GL77" s="738"/>
      <c r="GM77" s="738"/>
      <c r="GN77" s="738"/>
      <c r="GO77" s="738"/>
      <c r="GP77" s="738"/>
      <c r="GQ77" s="738"/>
      <c r="GR77" s="769"/>
      <c r="GS77" s="769"/>
      <c r="GT77" s="769"/>
      <c r="GU77" s="769"/>
      <c r="GV77" s="769"/>
      <c r="GW77" s="863" t="s">
        <v>1288</v>
      </c>
      <c r="GX77" s="863"/>
      <c r="GY77" s="863"/>
      <c r="GZ77" s="980"/>
      <c r="HA77" s="980"/>
      <c r="HB77" s="864" t="s">
        <v>1253</v>
      </c>
      <c r="HC77" s="178"/>
      <c r="HD77" s="178"/>
      <c r="HE77" s="178"/>
      <c r="HF77" s="178"/>
      <c r="HG77" s="178"/>
      <c r="HH77" s="178"/>
      <c r="HI77" s="178"/>
      <c r="HJ77" s="178"/>
      <c r="HK77" s="178"/>
      <c r="HL77" s="178"/>
      <c r="HM77" s="178"/>
      <c r="HN77" s="178"/>
      <c r="HO77" s="178"/>
      <c r="HP77" s="178"/>
      <c r="HQ77" s="178"/>
      <c r="HR77" s="178"/>
      <c r="HS77" s="178"/>
      <c r="HT77" s="178"/>
      <c r="HU77" s="178"/>
      <c r="HV77" s="178"/>
      <c r="HW77" s="178"/>
      <c r="HX77" s="178"/>
      <c r="HY77" s="178"/>
      <c r="HZ77" s="178"/>
      <c r="IA77" s="178"/>
      <c r="IB77" s="178"/>
      <c r="IC77" s="178"/>
      <c r="ID77" s="178"/>
      <c r="IE77" s="178"/>
      <c r="IF77" s="178"/>
      <c r="IG77" s="178"/>
      <c r="IH77" s="178"/>
      <c r="II77" s="178"/>
      <c r="IJ77" s="178"/>
      <c r="IK77" s="178"/>
      <c r="IL77" s="178"/>
      <c r="IM77" s="178"/>
      <c r="IN77" s="178"/>
      <c r="IO77" s="178"/>
      <c r="IP77" s="178"/>
      <c r="IQ77" s="178"/>
      <c r="IR77" s="178"/>
      <c r="IS77" s="178"/>
      <c r="IT77" s="178"/>
      <c r="IU77" s="178"/>
      <c r="IV77" s="178"/>
      <c r="IW77" s="178"/>
      <c r="IX77" s="178"/>
      <c r="IY77" s="178"/>
      <c r="IZ77" s="178"/>
      <c r="JA77" s="178"/>
      <c r="JB77" s="178"/>
      <c r="JC77" s="178"/>
      <c r="JD77" s="178"/>
      <c r="JE77" s="178"/>
      <c r="JF77" s="178"/>
      <c r="JG77" s="178"/>
      <c r="JH77" s="178"/>
      <c r="JI77" s="178"/>
      <c r="JJ77" s="178"/>
      <c r="JK77" s="178"/>
      <c r="JL77" s="178"/>
      <c r="JM77" s="178"/>
      <c r="JN77" s="178"/>
      <c r="JO77" s="178"/>
      <c r="JP77" s="178"/>
      <c r="JQ77" s="178"/>
      <c r="JR77" s="178"/>
      <c r="JS77" s="178"/>
      <c r="JT77" s="178"/>
      <c r="JU77" s="178"/>
      <c r="JV77" s="178"/>
      <c r="JW77" s="178"/>
      <c r="JX77" s="178"/>
      <c r="JY77" s="178"/>
      <c r="JZ77" s="178"/>
      <c r="KA77" s="178"/>
    </row>
    <row r="78" spans="1:287" s="360" customFormat="1" ht="97.5" hidden="1" customHeight="1">
      <c r="A78" s="754"/>
      <c r="B78" s="1609"/>
      <c r="C78" s="754" t="s">
        <v>843</v>
      </c>
      <c r="D78" s="893" t="s">
        <v>1386</v>
      </c>
      <c r="E78" s="861">
        <f t="shared" si="50"/>
        <v>1</v>
      </c>
      <c r="F78" s="858"/>
      <c r="G78" s="858"/>
      <c r="H78" s="858"/>
      <c r="I78" s="858"/>
      <c r="J78" s="858">
        <f t="shared" ref="J78" si="62">SUM(CN78:DO78)</f>
        <v>0</v>
      </c>
      <c r="K78" s="858">
        <f t="shared" ref="K78" si="63">SUM(CO78:DP78)</f>
        <v>0</v>
      </c>
      <c r="L78" s="858">
        <f t="shared" ref="L78" si="64">SUM(CP78:DQ78)</f>
        <v>0</v>
      </c>
      <c r="M78" s="858">
        <f t="shared" si="54"/>
        <v>0</v>
      </c>
      <c r="N78" s="861">
        <f t="shared" si="55"/>
        <v>1</v>
      </c>
      <c r="O78" s="861">
        <f t="shared" si="56"/>
        <v>0</v>
      </c>
      <c r="P78" s="861">
        <f t="shared" si="57"/>
        <v>0</v>
      </c>
      <c r="Q78" s="861">
        <f t="shared" si="58"/>
        <v>0</v>
      </c>
      <c r="R78" s="861">
        <f t="shared" si="59"/>
        <v>0</v>
      </c>
      <c r="S78" s="861">
        <f t="shared" si="60"/>
        <v>0</v>
      </c>
      <c r="T78" s="861"/>
      <c r="U78" s="861"/>
      <c r="V78" s="769"/>
      <c r="W78" s="769"/>
      <c r="X78" s="769"/>
      <c r="Y78" s="769"/>
      <c r="Z78" s="769"/>
      <c r="AA78" s="769"/>
      <c r="AB78" s="769"/>
      <c r="AC78" s="769"/>
      <c r="AD78" s="769"/>
      <c r="AE78" s="769"/>
      <c r="AF78" s="738"/>
      <c r="AG78" s="738"/>
      <c r="AH78" s="738"/>
      <c r="AI78" s="738"/>
      <c r="AJ78" s="738"/>
      <c r="AK78" s="738"/>
      <c r="AL78" s="738"/>
      <c r="AM78" s="738"/>
      <c r="AN78" s="738"/>
      <c r="AO78" s="738"/>
      <c r="AP78" s="738"/>
      <c r="AQ78" s="738"/>
      <c r="AR78" s="738"/>
      <c r="AS78" s="738"/>
      <c r="AT78" s="738"/>
      <c r="AU78" s="738"/>
      <c r="AV78" s="738"/>
      <c r="AW78" s="738"/>
      <c r="AX78" s="738"/>
      <c r="AY78" s="738"/>
      <c r="AZ78" s="738"/>
      <c r="BA78" s="738"/>
      <c r="BB78" s="738"/>
      <c r="BC78" s="738"/>
      <c r="BD78" s="738"/>
      <c r="BE78" s="738"/>
      <c r="BF78" s="738"/>
      <c r="BG78" s="738"/>
      <c r="BH78" s="738"/>
      <c r="BI78" s="738"/>
      <c r="BJ78" s="738"/>
      <c r="BK78" s="738"/>
      <c r="BL78" s="738"/>
      <c r="BM78" s="738"/>
      <c r="BN78" s="738"/>
      <c r="BO78" s="738"/>
      <c r="BP78" s="738"/>
      <c r="BQ78" s="738"/>
      <c r="BR78" s="738"/>
      <c r="BS78" s="738"/>
      <c r="BT78" s="738"/>
      <c r="BU78" s="738"/>
      <c r="BV78" s="738"/>
      <c r="BW78" s="738"/>
      <c r="BX78" s="738"/>
      <c r="BY78" s="738"/>
      <c r="BZ78" s="738"/>
      <c r="CA78" s="738"/>
      <c r="CB78" s="738"/>
      <c r="CC78" s="738"/>
      <c r="CD78" s="738"/>
      <c r="CE78" s="738"/>
      <c r="CF78" s="738"/>
      <c r="CG78" s="738"/>
      <c r="CH78" s="738"/>
      <c r="CI78" s="738"/>
      <c r="CJ78" s="738"/>
      <c r="CK78" s="738"/>
      <c r="CL78" s="738"/>
      <c r="CM78" s="738"/>
      <c r="CN78" s="738"/>
      <c r="CO78" s="738"/>
      <c r="CP78" s="738"/>
      <c r="CQ78" s="738"/>
      <c r="CR78" s="738"/>
      <c r="CS78" s="738"/>
      <c r="CT78" s="738"/>
      <c r="CU78" s="738"/>
      <c r="CV78" s="738"/>
      <c r="CW78" s="738"/>
      <c r="CX78" s="738"/>
      <c r="CY78" s="738"/>
      <c r="CZ78" s="738"/>
      <c r="DA78" s="738"/>
      <c r="DB78" s="738"/>
      <c r="DC78" s="738"/>
      <c r="DD78" s="738"/>
      <c r="DE78" s="738"/>
      <c r="DF78" s="738"/>
      <c r="DG78" s="738"/>
      <c r="DH78" s="738"/>
      <c r="DI78" s="738"/>
      <c r="DJ78" s="738"/>
      <c r="DK78" s="738"/>
      <c r="DL78" s="738"/>
      <c r="DM78" s="738"/>
      <c r="DN78" s="738"/>
      <c r="DO78" s="738"/>
      <c r="DP78" s="738"/>
      <c r="DQ78" s="738"/>
      <c r="DR78" s="738"/>
      <c r="DS78" s="738"/>
      <c r="DT78" s="738"/>
      <c r="DU78" s="738"/>
      <c r="DV78" s="738"/>
      <c r="DW78" s="738"/>
      <c r="DX78" s="738"/>
      <c r="DY78" s="738"/>
      <c r="DZ78" s="738"/>
      <c r="EA78" s="738"/>
      <c r="EB78" s="738"/>
      <c r="EC78" s="738"/>
      <c r="ED78" s="738"/>
      <c r="EE78" s="738"/>
      <c r="EF78" s="738"/>
      <c r="EG78" s="738"/>
      <c r="EH78" s="738"/>
      <c r="EI78" s="738"/>
      <c r="EJ78" s="738"/>
      <c r="EK78" s="738"/>
      <c r="EL78" s="738"/>
      <c r="EM78" s="738"/>
      <c r="EN78" s="738"/>
      <c r="EO78" s="738">
        <v>1</v>
      </c>
      <c r="EP78" s="738"/>
      <c r="EQ78" s="734"/>
      <c r="ER78" s="738"/>
      <c r="ES78" s="738"/>
      <c r="ET78" s="738"/>
      <c r="EU78" s="738"/>
      <c r="EV78" s="738"/>
      <c r="EW78" s="738"/>
      <c r="EX78" s="738"/>
      <c r="EY78" s="738"/>
      <c r="EZ78" s="738"/>
      <c r="FA78" s="738"/>
      <c r="FB78" s="738"/>
      <c r="FC78" s="738"/>
      <c r="FD78" s="738"/>
      <c r="FE78" s="738"/>
      <c r="FF78" s="738"/>
      <c r="FG78" s="738"/>
      <c r="FH78" s="738"/>
      <c r="FI78" s="738"/>
      <c r="FJ78" s="738"/>
      <c r="FK78" s="738"/>
      <c r="FL78" s="738"/>
      <c r="FM78" s="738"/>
      <c r="FN78" s="738"/>
      <c r="FO78" s="738"/>
      <c r="FP78" s="738"/>
      <c r="FQ78" s="738"/>
      <c r="FR78" s="738"/>
      <c r="FS78" s="738"/>
      <c r="FT78" s="738"/>
      <c r="FU78" s="738"/>
      <c r="FV78" s="738"/>
      <c r="FW78" s="738"/>
      <c r="FX78" s="738"/>
      <c r="FY78" s="738"/>
      <c r="FZ78" s="738"/>
      <c r="GA78" s="738"/>
      <c r="GB78" s="738"/>
      <c r="GC78" s="738"/>
      <c r="GD78" s="738"/>
      <c r="GE78" s="738"/>
      <c r="GF78" s="738"/>
      <c r="GG78" s="738"/>
      <c r="GH78" s="738"/>
      <c r="GI78" s="738"/>
      <c r="GJ78" s="738"/>
      <c r="GK78" s="738"/>
      <c r="GL78" s="738"/>
      <c r="GM78" s="738"/>
      <c r="GN78" s="738"/>
      <c r="GO78" s="738"/>
      <c r="GP78" s="738"/>
      <c r="GQ78" s="738"/>
      <c r="GR78" s="769"/>
      <c r="GS78" s="769"/>
      <c r="GT78" s="769"/>
      <c r="GU78" s="769"/>
      <c r="GV78" s="769"/>
      <c r="GW78" s="863"/>
      <c r="GX78" s="863"/>
      <c r="GY78" s="863"/>
      <c r="GZ78" s="1276"/>
      <c r="HA78" s="1276"/>
      <c r="HB78" s="864"/>
      <c r="HC78" s="178"/>
      <c r="HD78" s="178"/>
      <c r="HE78" s="178"/>
      <c r="HF78" s="178"/>
      <c r="HG78" s="178"/>
      <c r="HH78" s="178"/>
      <c r="HI78" s="178"/>
      <c r="HJ78" s="178"/>
      <c r="HK78" s="178"/>
      <c r="HL78" s="178"/>
      <c r="HM78" s="178"/>
      <c r="HN78" s="178"/>
      <c r="HO78" s="178"/>
      <c r="HP78" s="178"/>
      <c r="HQ78" s="178"/>
      <c r="HR78" s="178"/>
      <c r="HS78" s="178"/>
      <c r="HT78" s="178"/>
      <c r="HU78" s="178"/>
      <c r="HV78" s="178"/>
      <c r="HW78" s="178"/>
      <c r="HX78" s="178"/>
      <c r="HY78" s="178"/>
      <c r="HZ78" s="178"/>
      <c r="IA78" s="178"/>
      <c r="IB78" s="178"/>
      <c r="IC78" s="178"/>
      <c r="ID78" s="178"/>
      <c r="IE78" s="178"/>
      <c r="IF78" s="178"/>
      <c r="IG78" s="178"/>
      <c r="IH78" s="178"/>
      <c r="II78" s="178"/>
      <c r="IJ78" s="178"/>
      <c r="IK78" s="178"/>
      <c r="IL78" s="178"/>
      <c r="IM78" s="178"/>
      <c r="IN78" s="178"/>
      <c r="IO78" s="178"/>
      <c r="IP78" s="178"/>
      <c r="IQ78" s="178"/>
      <c r="IR78" s="178"/>
      <c r="IS78" s="178"/>
      <c r="IT78" s="178"/>
      <c r="IU78" s="178"/>
      <c r="IV78" s="178"/>
      <c r="IW78" s="178"/>
      <c r="IX78" s="178"/>
      <c r="IY78" s="178"/>
      <c r="IZ78" s="178"/>
      <c r="JA78" s="178"/>
      <c r="JB78" s="178"/>
      <c r="JC78" s="178"/>
      <c r="JD78" s="178"/>
      <c r="JE78" s="178"/>
      <c r="JF78" s="178"/>
      <c r="JG78" s="178"/>
      <c r="JH78" s="178"/>
      <c r="JI78" s="178"/>
      <c r="JJ78" s="178"/>
      <c r="JK78" s="178"/>
      <c r="JL78" s="178"/>
      <c r="JM78" s="178"/>
      <c r="JN78" s="178"/>
      <c r="JO78" s="178"/>
      <c r="JP78" s="178"/>
      <c r="JQ78" s="178"/>
      <c r="JR78" s="178"/>
      <c r="JS78" s="178"/>
      <c r="JT78" s="178"/>
      <c r="JU78" s="178"/>
      <c r="JV78" s="178"/>
      <c r="JW78" s="178"/>
      <c r="JX78" s="178"/>
      <c r="JY78" s="178"/>
      <c r="JZ78" s="178"/>
      <c r="KA78" s="178"/>
    </row>
    <row r="79" spans="1:287" s="360" customFormat="1" ht="97.5" hidden="1" customHeight="1">
      <c r="A79" s="754">
        <v>19</v>
      </c>
      <c r="B79" s="1609"/>
      <c r="C79" s="754" t="s">
        <v>843</v>
      </c>
      <c r="D79" s="893" t="s">
        <v>1309</v>
      </c>
      <c r="E79" s="861">
        <f t="shared" si="50"/>
        <v>2</v>
      </c>
      <c r="F79" s="858"/>
      <c r="G79" s="858"/>
      <c r="H79" s="858"/>
      <c r="I79" s="858"/>
      <c r="J79" s="858">
        <v>0</v>
      </c>
      <c r="K79" s="858">
        <v>0</v>
      </c>
      <c r="L79" s="858">
        <v>0</v>
      </c>
      <c r="M79" s="858">
        <f t="shared" si="54"/>
        <v>2</v>
      </c>
      <c r="N79" s="861">
        <f t="shared" si="55"/>
        <v>0</v>
      </c>
      <c r="O79" s="861">
        <f t="shared" si="56"/>
        <v>0</v>
      </c>
      <c r="P79" s="861">
        <f t="shared" si="57"/>
        <v>0</v>
      </c>
      <c r="Q79" s="861">
        <f t="shared" si="58"/>
        <v>0</v>
      </c>
      <c r="R79" s="861">
        <f t="shared" si="59"/>
        <v>0</v>
      </c>
      <c r="S79" s="861">
        <f t="shared" si="60"/>
        <v>0</v>
      </c>
      <c r="T79" s="861"/>
      <c r="U79" s="861"/>
      <c r="V79" s="769"/>
      <c r="W79" s="769"/>
      <c r="X79" s="769"/>
      <c r="Y79" s="769"/>
      <c r="Z79" s="769"/>
      <c r="AA79" s="769"/>
      <c r="AB79" s="769"/>
      <c r="AC79" s="769"/>
      <c r="AD79" s="769"/>
      <c r="AE79" s="769"/>
      <c r="AF79" s="738"/>
      <c r="AG79" s="738"/>
      <c r="AH79" s="738"/>
      <c r="AI79" s="738"/>
      <c r="AJ79" s="738"/>
      <c r="AK79" s="738"/>
      <c r="AL79" s="738"/>
      <c r="AM79" s="738"/>
      <c r="AN79" s="738"/>
      <c r="AO79" s="738"/>
      <c r="AP79" s="738"/>
      <c r="AQ79" s="738"/>
      <c r="AR79" s="738"/>
      <c r="AS79" s="738"/>
      <c r="AT79" s="738"/>
      <c r="AU79" s="738"/>
      <c r="AV79" s="738"/>
      <c r="AW79" s="738"/>
      <c r="AX79" s="738"/>
      <c r="AY79" s="738"/>
      <c r="AZ79" s="738"/>
      <c r="BA79" s="738"/>
      <c r="BB79" s="738"/>
      <c r="BC79" s="738"/>
      <c r="BD79" s="738"/>
      <c r="BE79" s="738"/>
      <c r="BF79" s="738"/>
      <c r="BG79" s="738"/>
      <c r="BH79" s="738"/>
      <c r="BI79" s="738"/>
      <c r="BJ79" s="738"/>
      <c r="BK79" s="738"/>
      <c r="BL79" s="738"/>
      <c r="BM79" s="738"/>
      <c r="BN79" s="738"/>
      <c r="BO79" s="738"/>
      <c r="BP79" s="738"/>
      <c r="BQ79" s="738"/>
      <c r="BR79" s="738"/>
      <c r="BS79" s="738"/>
      <c r="BT79" s="738"/>
      <c r="BU79" s="738"/>
      <c r="BV79" s="738"/>
      <c r="BW79" s="738"/>
      <c r="BX79" s="738"/>
      <c r="BY79" s="738"/>
      <c r="BZ79" s="738"/>
      <c r="CA79" s="738"/>
      <c r="CB79" s="738"/>
      <c r="CC79" s="738"/>
      <c r="CD79" s="738"/>
      <c r="CE79" s="738"/>
      <c r="CF79" s="738"/>
      <c r="CG79" s="738"/>
      <c r="CH79" s="738"/>
      <c r="CI79" s="738"/>
      <c r="CJ79" s="738"/>
      <c r="CK79" s="738"/>
      <c r="CL79" s="738"/>
      <c r="CM79" s="738"/>
      <c r="CN79" s="738"/>
      <c r="CO79" s="738"/>
      <c r="CP79" s="738"/>
      <c r="CQ79" s="738"/>
      <c r="CR79" s="738"/>
      <c r="CS79" s="738"/>
      <c r="CT79" s="738"/>
      <c r="CU79" s="738"/>
      <c r="CV79" s="738"/>
      <c r="CW79" s="738"/>
      <c r="CX79" s="738"/>
      <c r="CY79" s="738"/>
      <c r="CZ79" s="738"/>
      <c r="DA79" s="738"/>
      <c r="DB79" s="738"/>
      <c r="DC79" s="738"/>
      <c r="DD79" s="738"/>
      <c r="DE79" s="738"/>
      <c r="DF79" s="738"/>
      <c r="DG79" s="738"/>
      <c r="DH79" s="738"/>
      <c r="DI79" s="738"/>
      <c r="DJ79" s="738"/>
      <c r="DK79" s="738"/>
      <c r="DL79" s="738"/>
      <c r="DM79" s="738"/>
      <c r="DN79" s="738">
        <v>1</v>
      </c>
      <c r="DO79" s="738">
        <v>1</v>
      </c>
      <c r="DP79" s="738"/>
      <c r="DQ79" s="738"/>
      <c r="DR79" s="738"/>
      <c r="DS79" s="738"/>
      <c r="DT79" s="738"/>
      <c r="DU79" s="738"/>
      <c r="DV79" s="738"/>
      <c r="DW79" s="738"/>
      <c r="DX79" s="738"/>
      <c r="DY79" s="738"/>
      <c r="DZ79" s="738"/>
      <c r="EA79" s="738"/>
      <c r="EB79" s="738"/>
      <c r="EC79" s="738"/>
      <c r="ED79" s="738"/>
      <c r="EE79" s="738"/>
      <c r="EF79" s="738"/>
      <c r="EG79" s="738"/>
      <c r="EH79" s="738"/>
      <c r="EI79" s="738"/>
      <c r="EJ79" s="738"/>
      <c r="EK79" s="738"/>
      <c r="EL79" s="738"/>
      <c r="EM79" s="738"/>
      <c r="EN79" s="738"/>
      <c r="EO79" s="738"/>
      <c r="EP79" s="738"/>
      <c r="EQ79" s="734"/>
      <c r="ER79" s="738"/>
      <c r="ES79" s="738"/>
      <c r="ET79" s="738"/>
      <c r="EU79" s="738"/>
      <c r="EV79" s="738"/>
      <c r="EW79" s="738"/>
      <c r="EX79" s="738"/>
      <c r="EY79" s="738"/>
      <c r="EZ79" s="738"/>
      <c r="FA79" s="738"/>
      <c r="FB79" s="738"/>
      <c r="FC79" s="738"/>
      <c r="FD79" s="738"/>
      <c r="FE79" s="738"/>
      <c r="FF79" s="738"/>
      <c r="FG79" s="738"/>
      <c r="FH79" s="738"/>
      <c r="FI79" s="738"/>
      <c r="FJ79" s="738"/>
      <c r="FK79" s="738"/>
      <c r="FL79" s="738"/>
      <c r="FM79" s="738"/>
      <c r="FN79" s="738"/>
      <c r="FO79" s="738"/>
      <c r="FP79" s="738"/>
      <c r="FQ79" s="738"/>
      <c r="FR79" s="738"/>
      <c r="FS79" s="738"/>
      <c r="FT79" s="738"/>
      <c r="FU79" s="738"/>
      <c r="FV79" s="738"/>
      <c r="FW79" s="738"/>
      <c r="FX79" s="738"/>
      <c r="FY79" s="738"/>
      <c r="FZ79" s="738"/>
      <c r="GA79" s="738"/>
      <c r="GB79" s="738"/>
      <c r="GC79" s="738"/>
      <c r="GD79" s="738"/>
      <c r="GE79" s="738"/>
      <c r="GF79" s="738"/>
      <c r="GG79" s="738"/>
      <c r="GH79" s="738"/>
      <c r="GI79" s="738"/>
      <c r="GJ79" s="738"/>
      <c r="GK79" s="738"/>
      <c r="GL79" s="738"/>
      <c r="GM79" s="738"/>
      <c r="GN79" s="738"/>
      <c r="GO79" s="738"/>
      <c r="GP79" s="738"/>
      <c r="GQ79" s="738"/>
      <c r="GR79" s="769"/>
      <c r="GS79" s="769"/>
      <c r="GT79" s="769"/>
      <c r="GU79" s="769"/>
      <c r="GV79" s="769"/>
      <c r="GW79" s="863" t="s">
        <v>1312</v>
      </c>
      <c r="GX79" s="863" t="s">
        <v>1310</v>
      </c>
      <c r="GY79" s="863"/>
      <c r="GZ79" s="1142"/>
      <c r="HA79" s="1142"/>
      <c r="HB79" s="864" t="s">
        <v>1311</v>
      </c>
      <c r="HC79" s="178"/>
      <c r="HD79" s="178"/>
      <c r="HE79" s="178"/>
      <c r="HF79" s="178"/>
      <c r="HG79" s="178"/>
      <c r="HH79" s="178"/>
      <c r="HI79" s="178"/>
      <c r="HJ79" s="178"/>
      <c r="HK79" s="178"/>
      <c r="HL79" s="178"/>
      <c r="HM79" s="178"/>
      <c r="HN79" s="178"/>
      <c r="HO79" s="178"/>
      <c r="HP79" s="178"/>
      <c r="HQ79" s="178"/>
      <c r="HR79" s="178"/>
      <c r="HS79" s="178"/>
      <c r="HT79" s="178"/>
      <c r="HU79" s="178"/>
      <c r="HV79" s="178"/>
      <c r="HW79" s="178"/>
      <c r="HX79" s="178"/>
      <c r="HY79" s="178"/>
      <c r="HZ79" s="178"/>
      <c r="IA79" s="178"/>
      <c r="IB79" s="178"/>
      <c r="IC79" s="178"/>
      <c r="ID79" s="178"/>
      <c r="IE79" s="178"/>
      <c r="IF79" s="178"/>
      <c r="IG79" s="178"/>
      <c r="IH79" s="178"/>
      <c r="II79" s="178"/>
      <c r="IJ79" s="178"/>
      <c r="IK79" s="178"/>
      <c r="IL79" s="178"/>
      <c r="IM79" s="178"/>
      <c r="IN79" s="178"/>
      <c r="IO79" s="178"/>
      <c r="IP79" s="178"/>
      <c r="IQ79" s="178"/>
      <c r="IR79" s="178"/>
      <c r="IS79" s="178"/>
      <c r="IT79" s="178"/>
      <c r="IU79" s="178"/>
      <c r="IV79" s="178"/>
      <c r="IW79" s="178"/>
      <c r="IX79" s="178"/>
      <c r="IY79" s="178"/>
      <c r="IZ79" s="178"/>
      <c r="JA79" s="178"/>
      <c r="JB79" s="178"/>
      <c r="JC79" s="178"/>
      <c r="JD79" s="178"/>
      <c r="JE79" s="178"/>
      <c r="JF79" s="178"/>
      <c r="JG79" s="178"/>
      <c r="JH79" s="178"/>
      <c r="JI79" s="178"/>
      <c r="JJ79" s="178"/>
      <c r="JK79" s="178"/>
      <c r="JL79" s="178"/>
      <c r="JM79" s="178"/>
      <c r="JN79" s="178"/>
      <c r="JO79" s="178"/>
      <c r="JP79" s="178"/>
      <c r="JQ79" s="178"/>
      <c r="JR79" s="178"/>
      <c r="JS79" s="178"/>
      <c r="JT79" s="178"/>
      <c r="JU79" s="178"/>
      <c r="JV79" s="178"/>
      <c r="JW79" s="178"/>
      <c r="JX79" s="178"/>
      <c r="JY79" s="178"/>
      <c r="JZ79" s="178"/>
      <c r="KA79" s="178"/>
    </row>
    <row r="80" spans="1:287" s="360" customFormat="1" ht="64.5" hidden="1" customHeight="1">
      <c r="A80" s="754">
        <v>20</v>
      </c>
      <c r="B80" s="1609"/>
      <c r="C80" s="754" t="s">
        <v>843</v>
      </c>
      <c r="D80" s="893" t="s">
        <v>1209</v>
      </c>
      <c r="E80" s="861">
        <f t="shared" si="50"/>
        <v>0</v>
      </c>
      <c r="F80" s="858">
        <v>0</v>
      </c>
      <c r="G80" s="858">
        <v>0</v>
      </c>
      <c r="H80" s="858">
        <v>0</v>
      </c>
      <c r="I80" s="858">
        <v>0</v>
      </c>
      <c r="J80" s="858">
        <f t="shared" si="51"/>
        <v>1</v>
      </c>
      <c r="K80" s="861">
        <f t="shared" si="52"/>
        <v>0</v>
      </c>
      <c r="L80" s="861">
        <f t="shared" si="53"/>
        <v>0</v>
      </c>
      <c r="M80" s="858">
        <f t="shared" si="54"/>
        <v>0</v>
      </c>
      <c r="N80" s="861">
        <f t="shared" si="55"/>
        <v>0</v>
      </c>
      <c r="O80" s="861">
        <f t="shared" si="56"/>
        <v>0</v>
      </c>
      <c r="P80" s="861">
        <f t="shared" si="57"/>
        <v>0</v>
      </c>
      <c r="Q80" s="861">
        <f t="shared" si="58"/>
        <v>0</v>
      </c>
      <c r="R80" s="861">
        <f t="shared" si="59"/>
        <v>0</v>
      </c>
      <c r="S80" s="861">
        <f t="shared" si="60"/>
        <v>0</v>
      </c>
      <c r="T80" s="861"/>
      <c r="U80" s="861"/>
      <c r="V80" s="738"/>
      <c r="W80" s="738"/>
      <c r="X80" s="738"/>
      <c r="Y80" s="738"/>
      <c r="Z80" s="738"/>
      <c r="AA80" s="738"/>
      <c r="AB80" s="738"/>
      <c r="AC80" s="738"/>
      <c r="AD80" s="738"/>
      <c r="AE80" s="738"/>
      <c r="AF80" s="738">
        <v>1</v>
      </c>
      <c r="AG80" s="738"/>
      <c r="AH80" s="738"/>
      <c r="AI80" s="738"/>
      <c r="AJ80" s="738"/>
      <c r="AK80" s="738"/>
      <c r="AL80" s="738"/>
      <c r="AM80" s="738"/>
      <c r="AN80" s="738"/>
      <c r="AO80" s="738"/>
      <c r="AP80" s="738"/>
      <c r="AQ80" s="738"/>
      <c r="AR80" s="738"/>
      <c r="AS80" s="738"/>
      <c r="AT80" s="738"/>
      <c r="AU80" s="738"/>
      <c r="AV80" s="738"/>
      <c r="AW80" s="738"/>
      <c r="AX80" s="738"/>
      <c r="AY80" s="738"/>
      <c r="AZ80" s="738"/>
      <c r="BA80" s="738"/>
      <c r="BB80" s="738"/>
      <c r="BC80" s="738"/>
      <c r="BD80" s="738"/>
      <c r="BE80" s="738"/>
      <c r="BF80" s="738"/>
      <c r="BG80" s="738"/>
      <c r="BH80" s="738"/>
      <c r="BI80" s="738"/>
      <c r="BJ80" s="738"/>
      <c r="BK80" s="738"/>
      <c r="BL80" s="738"/>
      <c r="BM80" s="738"/>
      <c r="BN80" s="271"/>
      <c r="BO80" s="271"/>
      <c r="BP80" s="271"/>
      <c r="BQ80" s="271"/>
      <c r="BR80" s="738"/>
      <c r="BS80" s="738"/>
      <c r="BT80" s="738"/>
      <c r="BU80" s="738"/>
      <c r="BV80" s="738"/>
      <c r="BW80" s="738"/>
      <c r="BX80" s="738"/>
      <c r="BY80" s="738"/>
      <c r="BZ80" s="738"/>
      <c r="CA80" s="738"/>
      <c r="CB80" s="738"/>
      <c r="CC80" s="738"/>
      <c r="CD80" s="738"/>
      <c r="CE80" s="738"/>
      <c r="CF80" s="738"/>
      <c r="CG80" s="738"/>
      <c r="CH80" s="738"/>
      <c r="CI80" s="738"/>
      <c r="CJ80" s="738"/>
      <c r="CK80" s="738"/>
      <c r="CL80" s="738"/>
      <c r="CM80" s="738"/>
      <c r="CN80" s="738"/>
      <c r="CO80" s="738"/>
      <c r="CP80" s="738"/>
      <c r="CQ80" s="738"/>
      <c r="CR80" s="738"/>
      <c r="CS80" s="738"/>
      <c r="CT80" s="738"/>
      <c r="CU80" s="738"/>
      <c r="CV80" s="738"/>
      <c r="CW80" s="738"/>
      <c r="CX80" s="738"/>
      <c r="CY80" s="738"/>
      <c r="CZ80" s="738"/>
      <c r="DA80" s="738"/>
      <c r="DB80" s="738"/>
      <c r="DC80" s="738"/>
      <c r="DD80" s="738"/>
      <c r="DE80" s="738"/>
      <c r="DF80" s="738"/>
      <c r="DG80" s="738"/>
      <c r="DH80" s="738"/>
      <c r="DI80" s="738"/>
      <c r="DJ80" s="738"/>
      <c r="DK80" s="738"/>
      <c r="DL80" s="738"/>
      <c r="DM80" s="738"/>
      <c r="DN80" s="738"/>
      <c r="DO80" s="738"/>
      <c r="DP80" s="738"/>
      <c r="DQ80" s="738"/>
      <c r="DR80" s="738"/>
      <c r="DS80" s="738"/>
      <c r="DT80" s="738"/>
      <c r="DU80" s="738"/>
      <c r="DV80" s="738"/>
      <c r="DW80" s="738"/>
      <c r="DX80" s="738"/>
      <c r="DY80" s="738"/>
      <c r="DZ80" s="738"/>
      <c r="EA80" s="738"/>
      <c r="EB80" s="738"/>
      <c r="EC80" s="738"/>
      <c r="ED80" s="738"/>
      <c r="EE80" s="738"/>
      <c r="EF80" s="738"/>
      <c r="EG80" s="738"/>
      <c r="EH80" s="738"/>
      <c r="EI80" s="738"/>
      <c r="EJ80" s="738"/>
      <c r="EK80" s="738"/>
      <c r="EL80" s="738"/>
      <c r="EM80" s="738"/>
      <c r="EN80" s="738"/>
      <c r="EO80" s="738"/>
      <c r="EP80" s="738"/>
      <c r="EQ80" s="738"/>
      <c r="ER80" s="738"/>
      <c r="ES80" s="738"/>
      <c r="ET80" s="738"/>
      <c r="EU80" s="738"/>
      <c r="EV80" s="738"/>
      <c r="EW80" s="738"/>
      <c r="EX80" s="738"/>
      <c r="EY80" s="738"/>
      <c r="EZ80" s="738"/>
      <c r="FA80" s="738"/>
      <c r="FB80" s="738"/>
      <c r="FC80" s="738"/>
      <c r="FD80" s="738"/>
      <c r="FE80" s="738"/>
      <c r="FF80" s="738"/>
      <c r="FG80" s="738"/>
      <c r="FH80" s="738"/>
      <c r="FI80" s="738"/>
      <c r="FJ80" s="738"/>
      <c r="FK80" s="738"/>
      <c r="FL80" s="738"/>
      <c r="FM80" s="738"/>
      <c r="FN80" s="738"/>
      <c r="FO80" s="738"/>
      <c r="FP80" s="738"/>
      <c r="FQ80" s="738"/>
      <c r="FR80" s="738"/>
      <c r="FS80" s="738"/>
      <c r="FT80" s="738"/>
      <c r="FU80" s="738"/>
      <c r="FV80" s="738"/>
      <c r="FW80" s="738"/>
      <c r="FX80" s="738"/>
      <c r="FY80" s="738"/>
      <c r="FZ80" s="738"/>
      <c r="GA80" s="738"/>
      <c r="GB80" s="738"/>
      <c r="GC80" s="738"/>
      <c r="GD80" s="738"/>
      <c r="GE80" s="738"/>
      <c r="GF80" s="738"/>
      <c r="GG80" s="738"/>
      <c r="GH80" s="738"/>
      <c r="GI80" s="738"/>
      <c r="GJ80" s="738"/>
      <c r="GK80" s="738"/>
      <c r="GL80" s="738"/>
      <c r="GM80" s="738"/>
      <c r="GN80" s="738"/>
      <c r="GO80" s="738"/>
      <c r="GP80" s="738"/>
      <c r="GQ80" s="738"/>
      <c r="GR80" s="769"/>
      <c r="GS80" s="769"/>
      <c r="GT80" s="769"/>
      <c r="GU80" s="769"/>
      <c r="GV80" s="769"/>
      <c r="GW80" s="862"/>
      <c r="GX80" s="863"/>
      <c r="GY80" s="863"/>
      <c r="GZ80" s="891"/>
      <c r="HA80" s="891"/>
      <c r="HB80" s="864"/>
      <c r="HC80" s="178"/>
      <c r="HD80" s="178"/>
      <c r="HE80" s="178"/>
      <c r="HF80" s="178"/>
      <c r="HG80" s="178"/>
      <c r="HH80" s="178"/>
      <c r="HI80" s="178"/>
      <c r="HJ80" s="178"/>
      <c r="HK80" s="178"/>
      <c r="HL80" s="178"/>
      <c r="HM80" s="178"/>
      <c r="HN80" s="178"/>
      <c r="HO80" s="178"/>
      <c r="HP80" s="178"/>
      <c r="HQ80" s="178"/>
      <c r="HR80" s="178"/>
      <c r="HS80" s="178"/>
      <c r="HT80" s="178"/>
      <c r="HU80" s="178"/>
      <c r="HV80" s="178"/>
      <c r="HW80" s="178"/>
      <c r="HX80" s="178"/>
      <c r="HY80" s="178"/>
      <c r="HZ80" s="178"/>
      <c r="IA80" s="178"/>
      <c r="IB80" s="178"/>
      <c r="IC80" s="178"/>
      <c r="ID80" s="178"/>
      <c r="IE80" s="178"/>
      <c r="IF80" s="178"/>
      <c r="IG80" s="178"/>
      <c r="IH80" s="178"/>
      <c r="II80" s="178"/>
      <c r="IJ80" s="178"/>
      <c r="IK80" s="178"/>
      <c r="IL80" s="178"/>
      <c r="IM80" s="178"/>
      <c r="IN80" s="178"/>
      <c r="IO80" s="178"/>
      <c r="IP80" s="178"/>
      <c r="IQ80" s="178"/>
      <c r="IR80" s="178"/>
      <c r="IS80" s="178"/>
      <c r="IT80" s="178"/>
      <c r="IU80" s="178"/>
      <c r="IV80" s="178"/>
      <c r="IW80" s="178"/>
      <c r="IX80" s="178"/>
      <c r="IY80" s="178"/>
      <c r="IZ80" s="178"/>
      <c r="JA80" s="178"/>
      <c r="JB80" s="178"/>
      <c r="JC80" s="178"/>
      <c r="JD80" s="178"/>
      <c r="JE80" s="178"/>
      <c r="JF80" s="178"/>
      <c r="JG80" s="178"/>
      <c r="JH80" s="178"/>
      <c r="JI80" s="178"/>
      <c r="JJ80" s="178"/>
      <c r="JK80" s="178"/>
      <c r="JL80" s="178"/>
      <c r="JM80" s="178"/>
      <c r="JN80" s="178"/>
      <c r="JO80" s="178"/>
      <c r="JP80" s="178"/>
      <c r="JQ80" s="178"/>
      <c r="JR80" s="178"/>
      <c r="JS80" s="178"/>
      <c r="JT80" s="178"/>
      <c r="JU80" s="178"/>
      <c r="JV80" s="178"/>
      <c r="JW80" s="178"/>
      <c r="JX80" s="178"/>
      <c r="JY80" s="178"/>
      <c r="JZ80" s="178"/>
      <c r="KA80" s="178"/>
    </row>
    <row r="81" spans="1:287" s="360" customFormat="1" ht="64.5" hidden="1" customHeight="1">
      <c r="A81" s="754">
        <v>21</v>
      </c>
      <c r="B81" s="1601"/>
      <c r="C81" s="818" t="s">
        <v>843</v>
      </c>
      <c r="D81" s="771" t="s">
        <v>1270</v>
      </c>
      <c r="E81" s="861">
        <f t="shared" si="50"/>
        <v>3</v>
      </c>
      <c r="F81" s="858">
        <v>0</v>
      </c>
      <c r="G81" s="858">
        <v>0</v>
      </c>
      <c r="H81" s="858">
        <v>0</v>
      </c>
      <c r="I81" s="858">
        <v>0</v>
      </c>
      <c r="J81" s="858">
        <f t="shared" ref="J81:J82" si="65">SUM(V81:AF81)</f>
        <v>0</v>
      </c>
      <c r="K81" s="861">
        <f t="shared" ref="K81:K82" si="66">SUM(AG81:BK81)</f>
        <v>0</v>
      </c>
      <c r="L81" s="861">
        <f t="shared" ref="L81:L82" si="67">SUM(BL81:CP81)</f>
        <v>1</v>
      </c>
      <c r="M81" s="858">
        <f t="shared" si="54"/>
        <v>2</v>
      </c>
      <c r="N81" s="861">
        <f t="shared" si="55"/>
        <v>0</v>
      </c>
      <c r="O81" s="861">
        <f t="shared" si="56"/>
        <v>0</v>
      </c>
      <c r="P81" s="861">
        <f t="shared" si="57"/>
        <v>0</v>
      </c>
      <c r="Q81" s="861">
        <f t="shared" si="58"/>
        <v>0</v>
      </c>
      <c r="R81" s="861">
        <f t="shared" si="59"/>
        <v>0</v>
      </c>
      <c r="S81" s="861">
        <f t="shared" si="60"/>
        <v>0</v>
      </c>
      <c r="T81" s="861"/>
      <c r="U81" s="861"/>
      <c r="V81" s="738"/>
      <c r="W81" s="738"/>
      <c r="X81" s="738"/>
      <c r="Y81" s="738"/>
      <c r="Z81" s="738"/>
      <c r="AA81" s="738"/>
      <c r="AB81" s="738"/>
      <c r="AC81" s="738"/>
      <c r="AD81" s="738"/>
      <c r="AE81" s="738"/>
      <c r="AF81" s="738"/>
      <c r="AG81" s="738"/>
      <c r="AH81" s="738"/>
      <c r="AI81" s="738"/>
      <c r="AJ81" s="738"/>
      <c r="AK81" s="738"/>
      <c r="AL81" s="738"/>
      <c r="AM81" s="738"/>
      <c r="AN81" s="738"/>
      <c r="AO81" s="738"/>
      <c r="AP81" s="738"/>
      <c r="AQ81" s="738"/>
      <c r="AR81" s="738"/>
      <c r="AS81" s="738"/>
      <c r="AT81" s="738"/>
      <c r="AU81" s="738"/>
      <c r="AV81" s="738"/>
      <c r="AW81" s="738"/>
      <c r="AX81" s="738"/>
      <c r="AY81" s="738"/>
      <c r="AZ81" s="738"/>
      <c r="BA81" s="738"/>
      <c r="BB81" s="738"/>
      <c r="BC81" s="738"/>
      <c r="BD81" s="738"/>
      <c r="BE81" s="738"/>
      <c r="BF81" s="738"/>
      <c r="BG81" s="738"/>
      <c r="BH81" s="738"/>
      <c r="BI81" s="738"/>
      <c r="BJ81" s="738"/>
      <c r="BK81" s="738"/>
      <c r="BL81" s="738"/>
      <c r="BM81" s="738"/>
      <c r="BN81" s="738"/>
      <c r="BO81" s="738"/>
      <c r="BP81" s="738"/>
      <c r="BQ81" s="738"/>
      <c r="BR81" s="738"/>
      <c r="BS81" s="738"/>
      <c r="BT81" s="738"/>
      <c r="BU81" s="738"/>
      <c r="BV81" s="738"/>
      <c r="BW81" s="738"/>
      <c r="BX81" s="738"/>
      <c r="BY81" s="738"/>
      <c r="BZ81" s="738"/>
      <c r="CA81" s="738"/>
      <c r="CB81" s="738"/>
      <c r="CC81" s="769"/>
      <c r="CD81" s="769">
        <v>1</v>
      </c>
      <c r="CE81" s="769"/>
      <c r="CF81" s="769"/>
      <c r="CG81" s="769"/>
      <c r="CH81" s="769"/>
      <c r="CI81" s="769"/>
      <c r="CJ81" s="769"/>
      <c r="CK81" s="769"/>
      <c r="CL81" s="769"/>
      <c r="CM81" s="769"/>
      <c r="CN81" s="769"/>
      <c r="CO81" s="769"/>
      <c r="CP81" s="769"/>
      <c r="CQ81" s="769"/>
      <c r="CR81" s="769"/>
      <c r="CS81" s="769"/>
      <c r="CT81" s="769"/>
      <c r="CU81" s="769"/>
      <c r="CV81" s="769"/>
      <c r="CW81" s="769"/>
      <c r="CX81" s="769"/>
      <c r="CY81" s="769"/>
      <c r="CZ81" s="769"/>
      <c r="DA81" s="769"/>
      <c r="DB81" s="769"/>
      <c r="DC81" s="769"/>
      <c r="DD81" s="769"/>
      <c r="DE81" s="769"/>
      <c r="DF81" s="769"/>
      <c r="DG81" s="769"/>
      <c r="DH81" s="769"/>
      <c r="DI81" s="769"/>
      <c r="DJ81" s="769">
        <v>2</v>
      </c>
      <c r="DK81" s="769"/>
      <c r="DL81" s="769"/>
      <c r="DM81" s="769"/>
      <c r="DN81" s="769"/>
      <c r="DO81" s="769"/>
      <c r="DP81" s="769"/>
      <c r="DQ81" s="769"/>
      <c r="DR81" s="769"/>
      <c r="DS81" s="769"/>
      <c r="DT81" s="769"/>
      <c r="DU81" s="769"/>
      <c r="DV81" s="769"/>
      <c r="DW81" s="769"/>
      <c r="DX81" s="769"/>
      <c r="DY81" s="769"/>
      <c r="DZ81" s="769"/>
      <c r="EA81" s="769"/>
      <c r="EB81" s="769"/>
      <c r="EC81" s="769"/>
      <c r="ED81" s="769"/>
      <c r="EE81" s="769"/>
      <c r="EF81" s="769"/>
      <c r="EG81" s="769"/>
      <c r="EH81" s="769"/>
      <c r="EI81" s="769"/>
      <c r="EJ81" s="769"/>
      <c r="EK81" s="769"/>
      <c r="EL81" s="769"/>
      <c r="EM81" s="769"/>
      <c r="EN81" s="769"/>
      <c r="EO81" s="769"/>
      <c r="EP81" s="769"/>
      <c r="EQ81" s="769"/>
      <c r="ER81" s="769"/>
      <c r="ES81" s="769"/>
      <c r="ET81" s="769"/>
      <c r="EU81" s="769"/>
      <c r="EV81" s="769"/>
      <c r="EW81" s="769"/>
      <c r="EX81" s="769"/>
      <c r="EY81" s="769"/>
      <c r="EZ81" s="769"/>
      <c r="FA81" s="769"/>
      <c r="FB81" s="769"/>
      <c r="FC81" s="769"/>
      <c r="FD81" s="769"/>
      <c r="FE81" s="769"/>
      <c r="FF81" s="769"/>
      <c r="FG81" s="769"/>
      <c r="FH81" s="769"/>
      <c r="FI81" s="769"/>
      <c r="FJ81" s="769"/>
      <c r="FK81" s="769"/>
      <c r="FL81" s="769"/>
      <c r="FM81" s="769"/>
      <c r="FN81" s="769"/>
      <c r="FO81" s="769"/>
      <c r="FP81" s="769"/>
      <c r="FQ81" s="769"/>
      <c r="FR81" s="769"/>
      <c r="FS81" s="769"/>
      <c r="FT81" s="769"/>
      <c r="FU81" s="769"/>
      <c r="FV81" s="769"/>
      <c r="FW81" s="769"/>
      <c r="FX81" s="769"/>
      <c r="FY81" s="769"/>
      <c r="FZ81" s="769"/>
      <c r="GA81" s="769"/>
      <c r="GB81" s="769"/>
      <c r="GC81" s="769"/>
      <c r="GD81" s="769"/>
      <c r="GE81" s="769"/>
      <c r="GF81" s="769"/>
      <c r="GG81" s="769"/>
      <c r="GH81" s="769"/>
      <c r="GI81" s="769"/>
      <c r="GJ81" s="769"/>
      <c r="GK81" s="769"/>
      <c r="GL81" s="769"/>
      <c r="GM81" s="769"/>
      <c r="GN81" s="769"/>
      <c r="GO81" s="769"/>
      <c r="GP81" s="769"/>
      <c r="GQ81" s="769"/>
      <c r="GR81" s="769"/>
      <c r="GS81" s="769"/>
      <c r="GT81" s="769"/>
      <c r="GU81" s="769"/>
      <c r="GV81" s="769"/>
      <c r="GW81" s="397" t="s">
        <v>1307</v>
      </c>
      <c r="GX81" s="870"/>
      <c r="GY81" s="870"/>
      <c r="GZ81" s="1000"/>
      <c r="HA81" s="1000"/>
      <c r="HB81" s="872"/>
      <c r="HC81" s="178"/>
      <c r="HD81" s="178"/>
      <c r="HE81" s="178"/>
      <c r="HF81" s="178"/>
      <c r="HG81" s="178"/>
      <c r="HH81" s="178"/>
      <c r="HI81" s="178"/>
      <c r="HJ81" s="178"/>
      <c r="HK81" s="178"/>
      <c r="HL81" s="178"/>
      <c r="HM81" s="178"/>
      <c r="HN81" s="178"/>
      <c r="HO81" s="178"/>
      <c r="HP81" s="178"/>
      <c r="HQ81" s="178"/>
      <c r="HR81" s="178"/>
      <c r="HS81" s="178"/>
      <c r="HT81" s="178"/>
      <c r="HU81" s="178"/>
      <c r="HV81" s="178"/>
      <c r="HW81" s="178"/>
      <c r="HX81" s="178"/>
      <c r="HY81" s="178"/>
      <c r="HZ81" s="178"/>
      <c r="IA81" s="178"/>
      <c r="IB81" s="178"/>
      <c r="IC81" s="178"/>
      <c r="ID81" s="178"/>
      <c r="IE81" s="178"/>
      <c r="IF81" s="178"/>
      <c r="IG81" s="178"/>
      <c r="IH81" s="178"/>
      <c r="II81" s="178"/>
      <c r="IJ81" s="178"/>
      <c r="IK81" s="178"/>
      <c r="IL81" s="178"/>
      <c r="IM81" s="178"/>
      <c r="IN81" s="178"/>
      <c r="IO81" s="178"/>
      <c r="IP81" s="178"/>
      <c r="IQ81" s="178"/>
      <c r="IR81" s="178"/>
      <c r="IS81" s="178"/>
      <c r="IT81" s="178"/>
      <c r="IU81" s="178"/>
      <c r="IV81" s="178"/>
      <c r="IW81" s="178"/>
      <c r="IX81" s="178"/>
      <c r="IY81" s="178"/>
      <c r="IZ81" s="178"/>
      <c r="JA81" s="178"/>
      <c r="JB81" s="178"/>
      <c r="JC81" s="178"/>
      <c r="JD81" s="178"/>
      <c r="JE81" s="178"/>
      <c r="JF81" s="178"/>
      <c r="JG81" s="178"/>
      <c r="JH81" s="178"/>
      <c r="JI81" s="178"/>
      <c r="JJ81" s="178"/>
      <c r="JK81" s="178"/>
      <c r="JL81" s="178"/>
      <c r="JM81" s="178"/>
      <c r="JN81" s="178"/>
      <c r="JO81" s="178"/>
      <c r="JP81" s="178"/>
      <c r="JQ81" s="178"/>
      <c r="JR81" s="178"/>
      <c r="JS81" s="178"/>
      <c r="JT81" s="178"/>
      <c r="JU81" s="178"/>
      <c r="JV81" s="178"/>
      <c r="JW81" s="178"/>
      <c r="JX81" s="178"/>
      <c r="JY81" s="178"/>
      <c r="JZ81" s="178"/>
      <c r="KA81" s="178"/>
    </row>
    <row r="82" spans="1:287" s="360" customFormat="1" ht="64.5" hidden="1" customHeight="1">
      <c r="A82" s="754">
        <v>22</v>
      </c>
      <c r="B82" s="1601"/>
      <c r="C82" s="818" t="s">
        <v>1429</v>
      </c>
      <c r="D82" s="755" t="s">
        <v>1315</v>
      </c>
      <c r="E82" s="861">
        <f t="shared" si="50"/>
        <v>3</v>
      </c>
      <c r="F82" s="858">
        <v>0</v>
      </c>
      <c r="G82" s="858">
        <v>0</v>
      </c>
      <c r="H82" s="858">
        <v>0</v>
      </c>
      <c r="I82" s="858">
        <v>0</v>
      </c>
      <c r="J82" s="858">
        <f t="shared" si="65"/>
        <v>0</v>
      </c>
      <c r="K82" s="861">
        <f t="shared" si="66"/>
        <v>0</v>
      </c>
      <c r="L82" s="861">
        <f t="shared" si="67"/>
        <v>0</v>
      </c>
      <c r="M82" s="858">
        <f t="shared" si="54"/>
        <v>1</v>
      </c>
      <c r="N82" s="861">
        <f t="shared" si="55"/>
        <v>0</v>
      </c>
      <c r="O82" s="861">
        <f t="shared" si="56"/>
        <v>2</v>
      </c>
      <c r="P82" s="861">
        <f t="shared" si="57"/>
        <v>0</v>
      </c>
      <c r="Q82" s="861">
        <f t="shared" si="58"/>
        <v>0</v>
      </c>
      <c r="R82" s="861">
        <f t="shared" si="59"/>
        <v>0</v>
      </c>
      <c r="S82" s="861">
        <f t="shared" si="60"/>
        <v>0</v>
      </c>
      <c r="T82" s="861"/>
      <c r="U82" s="861"/>
      <c r="V82" s="738"/>
      <c r="W82" s="738"/>
      <c r="X82" s="738"/>
      <c r="Y82" s="738"/>
      <c r="Z82" s="738"/>
      <c r="AA82" s="738"/>
      <c r="AB82" s="738"/>
      <c r="AC82" s="738"/>
      <c r="AD82" s="738"/>
      <c r="AE82" s="738"/>
      <c r="AF82" s="738"/>
      <c r="AG82" s="738"/>
      <c r="AH82" s="738"/>
      <c r="AI82" s="738"/>
      <c r="AJ82" s="738"/>
      <c r="AK82" s="738"/>
      <c r="AL82" s="738"/>
      <c r="AM82" s="738"/>
      <c r="AN82" s="738"/>
      <c r="AO82" s="738"/>
      <c r="AP82" s="738"/>
      <c r="AQ82" s="738"/>
      <c r="AR82" s="738"/>
      <c r="AS82" s="738"/>
      <c r="AT82" s="738"/>
      <c r="AU82" s="738"/>
      <c r="AV82" s="738"/>
      <c r="AW82" s="738"/>
      <c r="AX82" s="738"/>
      <c r="AY82" s="738"/>
      <c r="AZ82" s="738"/>
      <c r="BA82" s="738"/>
      <c r="BB82" s="738"/>
      <c r="BC82" s="738"/>
      <c r="BD82" s="738"/>
      <c r="BE82" s="738"/>
      <c r="BF82" s="738"/>
      <c r="BG82" s="738"/>
      <c r="BH82" s="738"/>
      <c r="BI82" s="738"/>
      <c r="BJ82" s="738"/>
      <c r="BK82" s="738"/>
      <c r="BL82" s="738"/>
      <c r="BM82" s="738"/>
      <c r="BN82" s="738"/>
      <c r="BO82" s="738"/>
      <c r="BP82" s="738"/>
      <c r="BQ82" s="738"/>
      <c r="BR82" s="738"/>
      <c r="BS82" s="738"/>
      <c r="BT82" s="738"/>
      <c r="BU82" s="738"/>
      <c r="BV82" s="738"/>
      <c r="BW82" s="738"/>
      <c r="BX82" s="738"/>
      <c r="BY82" s="738"/>
      <c r="BZ82" s="738"/>
      <c r="CA82" s="738"/>
      <c r="CB82" s="738"/>
      <c r="CC82" s="769"/>
      <c r="CD82" s="769"/>
      <c r="CE82" s="769"/>
      <c r="CF82" s="769"/>
      <c r="CG82" s="769"/>
      <c r="CH82" s="769"/>
      <c r="CI82" s="769"/>
      <c r="CJ82" s="769"/>
      <c r="CK82" s="769"/>
      <c r="CL82" s="769"/>
      <c r="CM82" s="769"/>
      <c r="CN82" s="769"/>
      <c r="CO82" s="769"/>
      <c r="CP82" s="769"/>
      <c r="CQ82" s="769"/>
      <c r="CR82" s="769"/>
      <c r="CS82" s="769"/>
      <c r="CT82" s="769"/>
      <c r="CU82" s="769"/>
      <c r="CV82" s="769"/>
      <c r="CW82" s="769"/>
      <c r="CX82" s="769"/>
      <c r="CY82" s="769"/>
      <c r="CZ82" s="769"/>
      <c r="DA82" s="769"/>
      <c r="DB82" s="769"/>
      <c r="DC82" s="769"/>
      <c r="DD82" s="769"/>
      <c r="DE82" s="769"/>
      <c r="DF82" s="769"/>
      <c r="DG82" s="769"/>
      <c r="DH82" s="769"/>
      <c r="DI82" s="769"/>
      <c r="DJ82" s="769"/>
      <c r="DK82" s="769"/>
      <c r="DL82" s="769"/>
      <c r="DM82" s="769"/>
      <c r="DN82" s="769"/>
      <c r="DO82" s="769"/>
      <c r="DP82" s="769"/>
      <c r="DQ82" s="769"/>
      <c r="DR82" s="769">
        <v>1</v>
      </c>
      <c r="DS82" s="769"/>
      <c r="DT82" s="769"/>
      <c r="DU82" s="769"/>
      <c r="DV82" s="769"/>
      <c r="DW82" s="769"/>
      <c r="DX82" s="769"/>
      <c r="DY82" s="769"/>
      <c r="DZ82" s="769"/>
      <c r="EA82" s="769"/>
      <c r="EB82" s="769"/>
      <c r="EC82" s="769"/>
      <c r="ED82" s="769"/>
      <c r="EE82" s="769"/>
      <c r="EF82" s="769"/>
      <c r="EG82" s="769"/>
      <c r="EH82" s="769"/>
      <c r="EI82" s="769"/>
      <c r="EJ82" s="769"/>
      <c r="EK82" s="769"/>
      <c r="EL82" s="769"/>
      <c r="EM82" s="769"/>
      <c r="EN82" s="769"/>
      <c r="EO82" s="769"/>
      <c r="EP82" s="769"/>
      <c r="EQ82" s="769"/>
      <c r="ER82" s="769"/>
      <c r="ES82" s="769"/>
      <c r="ET82" s="769"/>
      <c r="EU82" s="769"/>
      <c r="EV82" s="769"/>
      <c r="EW82" s="769"/>
      <c r="EX82" s="769">
        <v>1</v>
      </c>
      <c r="EY82" s="769"/>
      <c r="EZ82" s="769"/>
      <c r="FA82" s="769"/>
      <c r="FB82" s="769"/>
      <c r="FC82" s="769"/>
      <c r="FD82" s="769"/>
      <c r="FE82" s="769"/>
      <c r="FF82" s="769"/>
      <c r="FG82" s="769"/>
      <c r="FH82" s="769"/>
      <c r="FI82" s="769"/>
      <c r="FJ82" s="769"/>
      <c r="FK82" s="769"/>
      <c r="FL82" s="769"/>
      <c r="FM82" s="769"/>
      <c r="FN82" s="769"/>
      <c r="FO82" s="769"/>
      <c r="FP82" s="769"/>
      <c r="FQ82" s="769"/>
      <c r="FR82" s="769"/>
      <c r="FS82" s="769"/>
      <c r="FT82" s="769">
        <v>1</v>
      </c>
      <c r="FU82" s="769"/>
      <c r="FV82" s="769"/>
      <c r="FW82" s="769"/>
      <c r="FX82" s="769"/>
      <c r="FY82" s="769"/>
      <c r="FZ82" s="769"/>
      <c r="GA82" s="769"/>
      <c r="GB82" s="769"/>
      <c r="GC82" s="769"/>
      <c r="GD82" s="769"/>
      <c r="GE82" s="769"/>
      <c r="GF82" s="769"/>
      <c r="GG82" s="769"/>
      <c r="GH82" s="769"/>
      <c r="GI82" s="769"/>
      <c r="GJ82" s="769"/>
      <c r="GK82" s="769"/>
      <c r="GL82" s="769"/>
      <c r="GM82" s="769"/>
      <c r="GN82" s="769"/>
      <c r="GO82" s="769"/>
      <c r="GP82" s="769"/>
      <c r="GQ82" s="769"/>
      <c r="GR82" s="769"/>
      <c r="GS82" s="769"/>
      <c r="GT82" s="769"/>
      <c r="GU82" s="769"/>
      <c r="GV82" s="769"/>
      <c r="GW82" s="397"/>
      <c r="GX82" s="870"/>
      <c r="GY82" s="870"/>
      <c r="GZ82" s="1162"/>
      <c r="HA82" s="878" t="s">
        <v>1381</v>
      </c>
      <c r="HB82" s="864" t="s">
        <v>1430</v>
      </c>
      <c r="HC82" s="178"/>
      <c r="HD82" s="178"/>
      <c r="HE82" s="178"/>
      <c r="HF82" s="178"/>
      <c r="HG82" s="178"/>
      <c r="HH82" s="178"/>
      <c r="HI82" s="178"/>
      <c r="HJ82" s="178"/>
      <c r="HK82" s="178"/>
      <c r="HL82" s="178"/>
      <c r="HM82" s="178"/>
      <c r="HN82" s="178"/>
      <c r="HO82" s="178"/>
      <c r="HP82" s="178"/>
      <c r="HQ82" s="178"/>
      <c r="HR82" s="178"/>
      <c r="HS82" s="178"/>
      <c r="HT82" s="178"/>
      <c r="HU82" s="178"/>
      <c r="HV82" s="178"/>
      <c r="HW82" s="178"/>
      <c r="HX82" s="178"/>
      <c r="HY82" s="178"/>
      <c r="HZ82" s="178"/>
      <c r="IA82" s="178"/>
      <c r="IB82" s="178"/>
      <c r="IC82" s="178"/>
      <c r="ID82" s="178"/>
      <c r="IE82" s="178"/>
      <c r="IF82" s="178"/>
      <c r="IG82" s="178"/>
      <c r="IH82" s="178"/>
      <c r="II82" s="178"/>
      <c r="IJ82" s="178"/>
      <c r="IK82" s="178"/>
      <c r="IL82" s="178"/>
      <c r="IM82" s="178"/>
      <c r="IN82" s="178"/>
      <c r="IO82" s="178"/>
      <c r="IP82" s="178"/>
      <c r="IQ82" s="178"/>
      <c r="IR82" s="178"/>
      <c r="IS82" s="178"/>
      <c r="IT82" s="178"/>
      <c r="IU82" s="178"/>
      <c r="IV82" s="178"/>
      <c r="IW82" s="178"/>
      <c r="IX82" s="178"/>
      <c r="IY82" s="178"/>
      <c r="IZ82" s="178"/>
      <c r="JA82" s="178"/>
      <c r="JB82" s="178"/>
      <c r="JC82" s="178"/>
      <c r="JD82" s="178"/>
      <c r="JE82" s="178"/>
      <c r="JF82" s="178"/>
      <c r="JG82" s="178"/>
      <c r="JH82" s="178"/>
      <c r="JI82" s="178"/>
      <c r="JJ82" s="178"/>
      <c r="JK82" s="178"/>
      <c r="JL82" s="178"/>
      <c r="JM82" s="178"/>
      <c r="JN82" s="178"/>
      <c r="JO82" s="178"/>
      <c r="JP82" s="178"/>
      <c r="JQ82" s="178"/>
      <c r="JR82" s="178"/>
      <c r="JS82" s="178"/>
      <c r="JT82" s="178"/>
      <c r="JU82" s="178"/>
      <c r="JV82" s="178"/>
      <c r="JW82" s="178"/>
      <c r="JX82" s="178"/>
      <c r="JY82" s="178"/>
      <c r="JZ82" s="178"/>
      <c r="KA82" s="178"/>
    </row>
    <row r="83" spans="1:287" s="360" customFormat="1" ht="89.25" hidden="1" customHeight="1">
      <c r="A83" s="818">
        <v>23</v>
      </c>
      <c r="B83" s="1610"/>
      <c r="C83" s="818" t="s">
        <v>843</v>
      </c>
      <c r="D83" s="755" t="s">
        <v>1273</v>
      </c>
      <c r="E83" s="861">
        <f t="shared" si="50"/>
        <v>7</v>
      </c>
      <c r="F83" s="858">
        <v>0</v>
      </c>
      <c r="G83" s="858">
        <v>0</v>
      </c>
      <c r="H83" s="858">
        <v>0</v>
      </c>
      <c r="I83" s="858">
        <v>0</v>
      </c>
      <c r="J83" s="858">
        <v>0</v>
      </c>
      <c r="K83" s="858">
        <v>0</v>
      </c>
      <c r="L83" s="858">
        <f t="shared" si="53"/>
        <v>4</v>
      </c>
      <c r="M83" s="858">
        <f t="shared" si="54"/>
        <v>2</v>
      </c>
      <c r="N83" s="861">
        <f t="shared" si="55"/>
        <v>1</v>
      </c>
      <c r="O83" s="861">
        <f t="shared" si="56"/>
        <v>0</v>
      </c>
      <c r="P83" s="861">
        <f t="shared" si="57"/>
        <v>0</v>
      </c>
      <c r="Q83" s="861">
        <f t="shared" si="58"/>
        <v>0</v>
      </c>
      <c r="R83" s="861">
        <f t="shared" si="59"/>
        <v>0</v>
      </c>
      <c r="S83" s="861">
        <f t="shared" si="60"/>
        <v>0</v>
      </c>
      <c r="T83" s="861"/>
      <c r="U83" s="861"/>
      <c r="V83" s="738"/>
      <c r="W83" s="738"/>
      <c r="X83" s="738"/>
      <c r="Y83" s="738"/>
      <c r="Z83" s="738"/>
      <c r="AA83" s="738"/>
      <c r="AB83" s="738"/>
      <c r="AC83" s="738"/>
      <c r="AD83" s="738"/>
      <c r="AE83" s="738"/>
      <c r="AF83" s="738"/>
      <c r="AG83" s="738"/>
      <c r="AH83" s="738"/>
      <c r="AI83" s="738"/>
      <c r="AJ83" s="738"/>
      <c r="AK83" s="738"/>
      <c r="AL83" s="738"/>
      <c r="AM83" s="738"/>
      <c r="AN83" s="738"/>
      <c r="AO83" s="738"/>
      <c r="AP83" s="738"/>
      <c r="AQ83" s="738"/>
      <c r="AR83" s="738"/>
      <c r="AS83" s="738"/>
      <c r="AT83" s="738"/>
      <c r="AU83" s="738"/>
      <c r="AV83" s="738"/>
      <c r="AW83" s="738"/>
      <c r="AX83" s="738"/>
      <c r="AY83" s="738"/>
      <c r="AZ83" s="738"/>
      <c r="BA83" s="738"/>
      <c r="BB83" s="738"/>
      <c r="BC83" s="738"/>
      <c r="BD83" s="738"/>
      <c r="BE83" s="738"/>
      <c r="BF83" s="738"/>
      <c r="BG83" s="738"/>
      <c r="BH83" s="738"/>
      <c r="BI83" s="738"/>
      <c r="BJ83" s="738"/>
      <c r="BK83" s="738"/>
      <c r="BL83" s="738"/>
      <c r="BM83" s="738"/>
      <c r="BN83" s="738"/>
      <c r="BO83" s="738"/>
      <c r="BP83" s="738"/>
      <c r="BQ83" s="738"/>
      <c r="BR83" s="738"/>
      <c r="BS83" s="738"/>
      <c r="BT83" s="738"/>
      <c r="BU83" s="738"/>
      <c r="BV83" s="738"/>
      <c r="BW83" s="738"/>
      <c r="BX83" s="738"/>
      <c r="BY83" s="738"/>
      <c r="BZ83" s="738"/>
      <c r="CA83" s="738"/>
      <c r="CB83" s="738"/>
      <c r="CC83" s="738"/>
      <c r="CD83" s="738"/>
      <c r="CE83" s="738"/>
      <c r="CF83" s="738">
        <v>2</v>
      </c>
      <c r="CG83" s="738">
        <v>2</v>
      </c>
      <c r="CH83" s="738"/>
      <c r="CI83" s="738"/>
      <c r="CJ83" s="738"/>
      <c r="CK83" s="738"/>
      <c r="CL83" s="738"/>
      <c r="CM83" s="738"/>
      <c r="CN83" s="738"/>
      <c r="CO83" s="738"/>
      <c r="CP83" s="738"/>
      <c r="CQ83" s="738"/>
      <c r="CR83" s="738"/>
      <c r="CS83" s="738"/>
      <c r="CT83" s="738"/>
      <c r="CU83" s="738"/>
      <c r="CV83" s="738"/>
      <c r="CW83" s="738"/>
      <c r="CX83" s="738"/>
      <c r="CY83" s="738"/>
      <c r="CZ83" s="738"/>
      <c r="DA83" s="738"/>
      <c r="DB83" s="738"/>
      <c r="DC83" s="738"/>
      <c r="DD83" s="738"/>
      <c r="DE83" s="738"/>
      <c r="DF83" s="738"/>
      <c r="DG83" s="738"/>
      <c r="DH83" s="738"/>
      <c r="DI83" s="738"/>
      <c r="DJ83" s="738">
        <v>1</v>
      </c>
      <c r="DK83" s="738"/>
      <c r="DL83" s="738"/>
      <c r="DM83" s="738"/>
      <c r="DN83" s="738"/>
      <c r="DO83" s="738"/>
      <c r="DP83" s="738"/>
      <c r="DQ83" s="738">
        <v>1</v>
      </c>
      <c r="DR83" s="738"/>
      <c r="DS83" s="738"/>
      <c r="DT83" s="738"/>
      <c r="DU83" s="738"/>
      <c r="DV83" s="738"/>
      <c r="DW83" s="738">
        <v>1</v>
      </c>
      <c r="DX83" s="738"/>
      <c r="DY83" s="738"/>
      <c r="DZ83" s="738"/>
      <c r="EA83" s="738"/>
      <c r="EB83" s="738"/>
      <c r="EC83" s="738"/>
      <c r="ED83" s="738"/>
      <c r="EE83" s="738"/>
      <c r="EF83" s="738"/>
      <c r="EG83" s="738"/>
      <c r="EH83" s="738"/>
      <c r="EI83" s="738"/>
      <c r="EJ83" s="738"/>
      <c r="EK83" s="738"/>
      <c r="EL83" s="738"/>
      <c r="EM83" s="738"/>
      <c r="EN83" s="738"/>
      <c r="EO83" s="738"/>
      <c r="EP83" s="738"/>
      <c r="EQ83" s="738"/>
      <c r="ER83" s="738"/>
      <c r="ES83" s="738"/>
      <c r="ET83" s="738"/>
      <c r="EU83" s="738"/>
      <c r="EV83" s="738"/>
      <c r="EW83" s="738"/>
      <c r="EX83" s="738"/>
      <c r="EY83" s="738"/>
      <c r="EZ83" s="738"/>
      <c r="FA83" s="738"/>
      <c r="FB83" s="738"/>
      <c r="FC83" s="738"/>
      <c r="FD83" s="738"/>
      <c r="FE83" s="738"/>
      <c r="FF83" s="738"/>
      <c r="FG83" s="738"/>
      <c r="FH83" s="738"/>
      <c r="FI83" s="738"/>
      <c r="FJ83" s="738"/>
      <c r="FK83" s="738"/>
      <c r="FL83" s="738"/>
      <c r="FM83" s="738"/>
      <c r="FN83" s="738"/>
      <c r="FO83" s="738"/>
      <c r="FP83" s="738"/>
      <c r="FQ83" s="738"/>
      <c r="FR83" s="738"/>
      <c r="FS83" s="738"/>
      <c r="FT83" s="738"/>
      <c r="FU83" s="738"/>
      <c r="FV83" s="738"/>
      <c r="FW83" s="738"/>
      <c r="FX83" s="738"/>
      <c r="FY83" s="738"/>
      <c r="FZ83" s="738"/>
      <c r="GA83" s="738"/>
      <c r="GB83" s="738"/>
      <c r="GC83" s="738"/>
      <c r="GD83" s="738"/>
      <c r="GE83" s="738"/>
      <c r="GF83" s="738"/>
      <c r="GG83" s="738"/>
      <c r="GH83" s="738"/>
      <c r="GI83" s="738"/>
      <c r="GJ83" s="738"/>
      <c r="GK83" s="738"/>
      <c r="GL83" s="738"/>
      <c r="GM83" s="738"/>
      <c r="GN83" s="738"/>
      <c r="GO83" s="738"/>
      <c r="GP83" s="738"/>
      <c r="GQ83" s="738"/>
      <c r="GR83" s="769"/>
      <c r="GS83" s="769"/>
      <c r="GT83" s="769"/>
      <c r="GU83" s="769"/>
      <c r="GV83" s="769"/>
      <c r="GW83" s="863" t="s">
        <v>1277</v>
      </c>
      <c r="GX83" s="863" t="s">
        <v>1276</v>
      </c>
      <c r="GY83" s="863"/>
      <c r="GZ83" s="1021"/>
      <c r="HA83" s="1021"/>
      <c r="HB83" s="864" t="s">
        <v>1154</v>
      </c>
      <c r="HC83" s="178"/>
      <c r="HD83" s="178"/>
      <c r="HE83" s="178"/>
      <c r="HF83" s="178"/>
      <c r="HG83" s="178"/>
      <c r="HH83" s="178"/>
      <c r="HI83" s="178"/>
      <c r="HJ83" s="178"/>
      <c r="HK83" s="178"/>
      <c r="HL83" s="178"/>
      <c r="HM83" s="178"/>
      <c r="HN83" s="178"/>
      <c r="HO83" s="178"/>
      <c r="HP83" s="178"/>
      <c r="HQ83" s="178"/>
      <c r="HR83" s="178"/>
      <c r="HS83" s="178"/>
      <c r="HT83" s="178"/>
      <c r="HU83" s="178"/>
      <c r="HV83" s="178"/>
      <c r="HW83" s="178"/>
      <c r="HX83" s="178"/>
      <c r="HY83" s="178"/>
      <c r="HZ83" s="178"/>
      <c r="IA83" s="178"/>
      <c r="IB83" s="178"/>
      <c r="IC83" s="178"/>
      <c r="ID83" s="178"/>
      <c r="IE83" s="178"/>
      <c r="IF83" s="178"/>
      <c r="IG83" s="178"/>
      <c r="IH83" s="178"/>
      <c r="II83" s="178"/>
      <c r="IJ83" s="178"/>
      <c r="IK83" s="178"/>
      <c r="IL83" s="178"/>
      <c r="IM83" s="178"/>
      <c r="IN83" s="178"/>
      <c r="IO83" s="178"/>
      <c r="IP83" s="178"/>
      <c r="IQ83" s="178"/>
      <c r="IR83" s="178"/>
      <c r="IS83" s="178"/>
      <c r="IT83" s="178"/>
      <c r="IU83" s="178"/>
      <c r="IV83" s="178"/>
      <c r="IW83" s="178"/>
      <c r="IX83" s="178"/>
      <c r="IY83" s="178"/>
      <c r="IZ83" s="178"/>
      <c r="JA83" s="178"/>
      <c r="JB83" s="178"/>
      <c r="JC83" s="178"/>
      <c r="JD83" s="178"/>
      <c r="JE83" s="178"/>
      <c r="JF83" s="178"/>
      <c r="JG83" s="178"/>
      <c r="JH83" s="178"/>
      <c r="JI83" s="178"/>
      <c r="JJ83" s="178"/>
      <c r="JK83" s="178"/>
      <c r="JL83" s="178"/>
      <c r="JM83" s="178"/>
      <c r="JN83" s="178"/>
      <c r="JO83" s="178"/>
      <c r="JP83" s="178"/>
      <c r="JQ83" s="178"/>
      <c r="JR83" s="178"/>
      <c r="JS83" s="178"/>
      <c r="JT83" s="178"/>
      <c r="JU83" s="178"/>
      <c r="JV83" s="178"/>
      <c r="JW83" s="178"/>
      <c r="JX83" s="178"/>
      <c r="JY83" s="178"/>
      <c r="JZ83" s="178"/>
      <c r="KA83" s="178"/>
    </row>
    <row r="84" spans="1:287" s="360" customFormat="1" ht="95.25" hidden="1" customHeight="1">
      <c r="A84" s="754">
        <v>24</v>
      </c>
      <c r="B84" s="1600"/>
      <c r="C84" s="754" t="s">
        <v>843</v>
      </c>
      <c r="D84" s="755" t="s">
        <v>1269</v>
      </c>
      <c r="E84" s="858">
        <f t="shared" si="50"/>
        <v>10</v>
      </c>
      <c r="F84" s="858">
        <v>0</v>
      </c>
      <c r="G84" s="858">
        <v>0</v>
      </c>
      <c r="H84" s="1012">
        <v>0</v>
      </c>
      <c r="I84" s="1012">
        <v>0</v>
      </c>
      <c r="J84" s="858">
        <f t="shared" si="51"/>
        <v>0</v>
      </c>
      <c r="K84" s="858">
        <f t="shared" si="52"/>
        <v>0</v>
      </c>
      <c r="L84" s="858">
        <f t="shared" si="53"/>
        <v>1</v>
      </c>
      <c r="M84" s="858">
        <f t="shared" si="54"/>
        <v>2</v>
      </c>
      <c r="N84" s="858">
        <f t="shared" si="55"/>
        <v>4</v>
      </c>
      <c r="O84" s="858">
        <f t="shared" si="56"/>
        <v>1</v>
      </c>
      <c r="P84" s="858">
        <f t="shared" si="57"/>
        <v>2</v>
      </c>
      <c r="Q84" s="858">
        <f t="shared" si="58"/>
        <v>0</v>
      </c>
      <c r="R84" s="858">
        <f t="shared" si="59"/>
        <v>1</v>
      </c>
      <c r="S84" s="858">
        <f t="shared" si="60"/>
        <v>1</v>
      </c>
      <c r="T84" s="858"/>
      <c r="U84" s="858"/>
      <c r="V84" s="738"/>
      <c r="W84" s="738"/>
      <c r="X84" s="738"/>
      <c r="Y84" s="738"/>
      <c r="Z84" s="738"/>
      <c r="AA84" s="738"/>
      <c r="AB84" s="738"/>
      <c r="AC84" s="738"/>
      <c r="AD84" s="738"/>
      <c r="AE84" s="738"/>
      <c r="AF84" s="738"/>
      <c r="AG84" s="738"/>
      <c r="AH84" s="738"/>
      <c r="AI84" s="738"/>
      <c r="AJ84" s="738"/>
      <c r="AK84" s="738"/>
      <c r="AL84" s="738"/>
      <c r="AM84" s="738"/>
      <c r="AN84" s="738"/>
      <c r="AO84" s="738"/>
      <c r="AP84" s="738"/>
      <c r="AQ84" s="738"/>
      <c r="AR84" s="738"/>
      <c r="AS84" s="738"/>
      <c r="AT84" s="738"/>
      <c r="AU84" s="738"/>
      <c r="AV84" s="738"/>
      <c r="AW84" s="738"/>
      <c r="AX84" s="738"/>
      <c r="AY84" s="738"/>
      <c r="AZ84" s="738"/>
      <c r="BA84" s="738"/>
      <c r="BB84" s="738"/>
      <c r="BC84" s="738"/>
      <c r="BD84" s="738"/>
      <c r="BE84" s="738"/>
      <c r="BF84" s="738"/>
      <c r="BG84" s="738"/>
      <c r="BH84" s="738"/>
      <c r="BI84" s="738"/>
      <c r="BJ84" s="738"/>
      <c r="BK84" s="738"/>
      <c r="BL84" s="738"/>
      <c r="BM84" s="738"/>
      <c r="BN84" s="738"/>
      <c r="BO84" s="738"/>
      <c r="BP84" s="738"/>
      <c r="BQ84" s="738"/>
      <c r="BR84" s="738"/>
      <c r="BS84" s="738"/>
      <c r="BT84" s="738"/>
      <c r="BU84" s="738"/>
      <c r="BV84" s="738"/>
      <c r="BW84" s="738"/>
      <c r="BX84" s="738"/>
      <c r="BY84" s="738"/>
      <c r="BZ84" s="738"/>
      <c r="CA84" s="738"/>
      <c r="CB84" s="738"/>
      <c r="CC84" s="958"/>
      <c r="CD84" s="958">
        <v>1</v>
      </c>
      <c r="CE84" s="958"/>
      <c r="CF84" s="958"/>
      <c r="CG84" s="958"/>
      <c r="CH84" s="958"/>
      <c r="CI84" s="958"/>
      <c r="CJ84" s="738"/>
      <c r="CK84" s="738"/>
      <c r="CL84" s="738"/>
      <c r="CM84" s="738"/>
      <c r="CN84" s="738"/>
      <c r="CO84" s="738"/>
      <c r="CP84" s="738"/>
      <c r="CQ84" s="738"/>
      <c r="CR84" s="958"/>
      <c r="CS84" s="958"/>
      <c r="CT84" s="958"/>
      <c r="CU84" s="958"/>
      <c r="CV84" s="958"/>
      <c r="CW84" s="958"/>
      <c r="CX84" s="958"/>
      <c r="CY84" s="958"/>
      <c r="CZ84" s="958"/>
      <c r="DA84" s="738">
        <v>1</v>
      </c>
      <c r="DB84" s="738"/>
      <c r="DC84" s="738">
        <v>1</v>
      </c>
      <c r="DD84" s="738"/>
      <c r="DE84" s="738"/>
      <c r="DF84" s="738"/>
      <c r="DG84" s="738"/>
      <c r="DH84" s="738"/>
      <c r="DI84" s="738"/>
      <c r="DJ84" s="738"/>
      <c r="DK84" s="738"/>
      <c r="DL84" s="738"/>
      <c r="DM84" s="738"/>
      <c r="DN84" s="738"/>
      <c r="DO84" s="738"/>
      <c r="DP84" s="738"/>
      <c r="DQ84" s="738"/>
      <c r="DR84" s="738"/>
      <c r="DS84" s="738"/>
      <c r="DT84" s="738"/>
      <c r="DU84" s="738"/>
      <c r="DV84" s="738"/>
      <c r="DW84" s="738"/>
      <c r="DX84" s="738"/>
      <c r="DY84" s="738"/>
      <c r="DZ84" s="738"/>
      <c r="EA84" s="738"/>
      <c r="EB84" s="738"/>
      <c r="EC84" s="738"/>
      <c r="ED84" s="738"/>
      <c r="EE84" s="738"/>
      <c r="EF84" s="738"/>
      <c r="EG84" s="738">
        <v>2</v>
      </c>
      <c r="EH84" s="738"/>
      <c r="EI84" s="738"/>
      <c r="EJ84" s="738"/>
      <c r="EK84" s="738"/>
      <c r="EL84" s="738"/>
      <c r="EM84" s="738"/>
      <c r="EN84" s="738"/>
      <c r="EO84" s="738"/>
      <c r="EP84" s="738"/>
      <c r="EQ84" s="738"/>
      <c r="ER84" s="738"/>
      <c r="ES84" s="738">
        <v>1</v>
      </c>
      <c r="ET84" s="738"/>
      <c r="EU84" s="738">
        <v>1</v>
      </c>
      <c r="EV84" s="738"/>
      <c r="EW84" s="738"/>
      <c r="EX84" s="738"/>
      <c r="EY84" s="738">
        <v>1</v>
      </c>
      <c r="EZ84" s="738"/>
      <c r="FA84" s="738"/>
      <c r="FB84" s="738"/>
      <c r="FC84" s="738"/>
      <c r="FD84" s="738"/>
      <c r="FE84" s="738"/>
      <c r="FF84" s="738"/>
      <c r="FG84" s="738"/>
      <c r="FH84" s="738"/>
      <c r="FI84" s="738"/>
      <c r="FJ84" s="738"/>
      <c r="FK84" s="738"/>
      <c r="FL84" s="738"/>
      <c r="FM84" s="738"/>
      <c r="FN84" s="738"/>
      <c r="FO84" s="738"/>
      <c r="FP84" s="738"/>
      <c r="FQ84" s="738"/>
      <c r="FR84" s="738"/>
      <c r="FS84" s="738"/>
      <c r="FT84" s="738"/>
      <c r="FU84" s="738"/>
      <c r="FV84" s="738"/>
      <c r="FW84" s="738"/>
      <c r="FX84" s="738"/>
      <c r="FY84" s="738"/>
      <c r="FZ84" s="738"/>
      <c r="GA84" s="738"/>
      <c r="GB84" s="738"/>
      <c r="GC84" s="738"/>
      <c r="GD84" s="738"/>
      <c r="GE84" s="738"/>
      <c r="GF84" s="738">
        <v>1</v>
      </c>
      <c r="GG84" s="738"/>
      <c r="GH84" s="738"/>
      <c r="GI84" s="738"/>
      <c r="GJ84" s="738"/>
      <c r="GK84" s="738"/>
      <c r="GL84" s="738"/>
      <c r="GM84" s="738"/>
      <c r="GN84" s="738"/>
      <c r="GO84" s="738">
        <v>1</v>
      </c>
      <c r="GP84" s="738"/>
      <c r="GQ84" s="738"/>
      <c r="GR84" s="331"/>
      <c r="GS84" s="331"/>
      <c r="GT84" s="331"/>
      <c r="GU84" s="331"/>
      <c r="GV84" s="331"/>
      <c r="GW84" s="863" t="s">
        <v>1299</v>
      </c>
      <c r="GX84" s="863" t="s">
        <v>1451</v>
      </c>
      <c r="GY84" s="863" t="s">
        <v>1298</v>
      </c>
      <c r="GZ84" s="1097"/>
      <c r="HA84" s="1098"/>
      <c r="HB84" s="864" t="s">
        <v>847</v>
      </c>
      <c r="HC84" s="178"/>
      <c r="HD84" s="178"/>
      <c r="HE84" s="178"/>
      <c r="HF84" s="178"/>
      <c r="HG84" s="178"/>
      <c r="HH84" s="178"/>
      <c r="HI84" s="178"/>
      <c r="HJ84" s="178"/>
      <c r="HK84" s="178"/>
      <c r="HL84" s="178"/>
      <c r="HM84" s="178"/>
      <c r="HN84" s="178"/>
      <c r="HO84" s="178"/>
      <c r="HP84" s="178"/>
      <c r="HQ84" s="178"/>
      <c r="HR84" s="178"/>
      <c r="HS84" s="178"/>
      <c r="HT84" s="178"/>
      <c r="HU84" s="178"/>
      <c r="HV84" s="178"/>
      <c r="HW84" s="178"/>
      <c r="HX84" s="178"/>
      <c r="HY84" s="178"/>
      <c r="HZ84" s="178"/>
      <c r="IA84" s="178"/>
      <c r="IB84" s="178"/>
      <c r="IC84" s="178"/>
      <c r="ID84" s="178"/>
      <c r="IE84" s="178"/>
      <c r="IF84" s="178"/>
      <c r="IG84" s="178"/>
      <c r="IH84" s="178"/>
      <c r="II84" s="178"/>
      <c r="IJ84" s="178"/>
      <c r="IK84" s="178"/>
      <c r="IL84" s="178"/>
      <c r="IM84" s="178"/>
      <c r="IN84" s="178"/>
      <c r="IO84" s="178"/>
      <c r="IP84" s="178"/>
      <c r="IQ84" s="178"/>
      <c r="IR84" s="178"/>
      <c r="IS84" s="178"/>
      <c r="IT84" s="178"/>
      <c r="IU84" s="178"/>
      <c r="IV84" s="178"/>
      <c r="IW84" s="178"/>
      <c r="IX84" s="178"/>
      <c r="IY84" s="178"/>
      <c r="IZ84" s="178"/>
      <c r="JA84" s="178"/>
      <c r="JB84" s="178"/>
      <c r="JC84" s="178"/>
      <c r="JD84" s="178"/>
      <c r="JE84" s="178"/>
      <c r="JF84" s="178"/>
      <c r="JG84" s="178"/>
      <c r="JH84" s="178"/>
      <c r="JI84" s="178"/>
      <c r="JJ84" s="178"/>
      <c r="JK84" s="178"/>
      <c r="JL84" s="178"/>
      <c r="JM84" s="178"/>
      <c r="JN84" s="178"/>
      <c r="JO84" s="178"/>
      <c r="JP84" s="178"/>
      <c r="JQ84" s="178"/>
      <c r="JR84" s="178"/>
      <c r="JS84" s="178"/>
      <c r="JT84" s="178"/>
      <c r="JU84" s="178"/>
      <c r="JV84" s="178"/>
      <c r="JW84" s="178"/>
      <c r="JX84" s="178"/>
      <c r="JY84" s="178"/>
      <c r="JZ84" s="178"/>
      <c r="KA84" s="178"/>
    </row>
    <row r="85" spans="1:287" s="360" customFormat="1" ht="52.5" hidden="1" customHeight="1">
      <c r="A85" s="1011">
        <v>25</v>
      </c>
      <c r="B85" s="1509" t="s">
        <v>1375</v>
      </c>
      <c r="C85" s="1011" t="s">
        <v>843</v>
      </c>
      <c r="D85" s="755" t="s">
        <v>878</v>
      </c>
      <c r="E85" s="861">
        <f t="shared" si="50"/>
        <v>1</v>
      </c>
      <c r="F85" s="377">
        <v>0</v>
      </c>
      <c r="G85" s="377">
        <v>0</v>
      </c>
      <c r="H85" s="377">
        <v>0</v>
      </c>
      <c r="I85" s="377">
        <v>0</v>
      </c>
      <c r="J85" s="858">
        <f t="shared" si="51"/>
        <v>0</v>
      </c>
      <c r="K85" s="858">
        <f t="shared" si="52"/>
        <v>0</v>
      </c>
      <c r="L85" s="858">
        <f t="shared" si="53"/>
        <v>0</v>
      </c>
      <c r="M85" s="858">
        <f t="shared" si="54"/>
        <v>0</v>
      </c>
      <c r="N85" s="861">
        <f t="shared" si="55"/>
        <v>1</v>
      </c>
      <c r="O85" s="861">
        <f t="shared" si="56"/>
        <v>0</v>
      </c>
      <c r="P85" s="861">
        <f t="shared" si="57"/>
        <v>0</v>
      </c>
      <c r="Q85" s="861">
        <f t="shared" si="58"/>
        <v>0</v>
      </c>
      <c r="R85" s="861">
        <f t="shared" si="59"/>
        <v>0</v>
      </c>
      <c r="S85" s="861">
        <f t="shared" si="60"/>
        <v>0</v>
      </c>
      <c r="T85" s="861"/>
      <c r="U85" s="861"/>
      <c r="V85" s="331"/>
      <c r="W85" s="331"/>
      <c r="X85" s="331"/>
      <c r="Y85" s="331"/>
      <c r="Z85" s="331"/>
      <c r="AA85" s="331"/>
      <c r="AB85" s="331"/>
      <c r="AC85" s="331"/>
      <c r="AD85" s="331"/>
      <c r="AE85" s="769"/>
      <c r="AF85" s="769"/>
      <c r="AG85" s="769"/>
      <c r="AH85" s="769"/>
      <c r="AI85" s="769"/>
      <c r="AJ85" s="769"/>
      <c r="AK85" s="769"/>
      <c r="AL85" s="769"/>
      <c r="AM85" s="769"/>
      <c r="AN85" s="769"/>
      <c r="AO85" s="769"/>
      <c r="AP85" s="769"/>
      <c r="AQ85" s="769"/>
      <c r="AR85" s="769"/>
      <c r="AS85" s="769"/>
      <c r="AT85" s="769"/>
      <c r="AU85" s="769"/>
      <c r="AV85" s="769"/>
      <c r="AW85" s="769"/>
      <c r="AX85" s="769"/>
      <c r="AY85" s="769"/>
      <c r="AZ85" s="769"/>
      <c r="BA85" s="769"/>
      <c r="BB85" s="769"/>
      <c r="BC85" s="769"/>
      <c r="BD85" s="331"/>
      <c r="BE85" s="331"/>
      <c r="BF85" s="769"/>
      <c r="BG85" s="331"/>
      <c r="BH85" s="331"/>
      <c r="BI85" s="769"/>
      <c r="BJ85" s="769"/>
      <c r="BK85" s="769"/>
      <c r="BL85" s="769"/>
      <c r="BM85" s="769"/>
      <c r="BN85" s="331"/>
      <c r="BO85" s="331"/>
      <c r="BP85" s="331"/>
      <c r="BQ85" s="331"/>
      <c r="BR85" s="769"/>
      <c r="BS85" s="769"/>
      <c r="BT85" s="769"/>
      <c r="BU85" s="769"/>
      <c r="BV85" s="769"/>
      <c r="BW85" s="769"/>
      <c r="BX85" s="769"/>
      <c r="BY85" s="769"/>
      <c r="BZ85" s="769"/>
      <c r="CA85" s="769"/>
      <c r="CB85" s="331"/>
      <c r="CC85" s="769"/>
      <c r="CD85" s="769"/>
      <c r="CE85" s="769"/>
      <c r="CF85" s="331"/>
      <c r="CG85" s="331"/>
      <c r="CH85" s="769"/>
      <c r="CI85" s="331"/>
      <c r="CJ85" s="769"/>
      <c r="CK85" s="769"/>
      <c r="CL85" s="331"/>
      <c r="CM85" s="331"/>
      <c r="CN85" s="331"/>
      <c r="CO85" s="769"/>
      <c r="CP85" s="331"/>
      <c r="CQ85" s="769"/>
      <c r="CR85" s="769"/>
      <c r="CS85" s="769"/>
      <c r="CT85" s="769"/>
      <c r="CU85" s="769"/>
      <c r="CV85" s="769"/>
      <c r="CW85" s="769"/>
      <c r="CX85" s="769"/>
      <c r="CY85" s="769"/>
      <c r="CZ85" s="769"/>
      <c r="DA85" s="769"/>
      <c r="DB85" s="331"/>
      <c r="DC85" s="331"/>
      <c r="DD85" s="331"/>
      <c r="DE85" s="769"/>
      <c r="DF85" s="769"/>
      <c r="DG85" s="331"/>
      <c r="DH85" s="769"/>
      <c r="DI85" s="769"/>
      <c r="DJ85" s="769"/>
      <c r="DK85" s="331"/>
      <c r="DL85" s="769"/>
      <c r="DM85" s="769"/>
      <c r="DN85" s="331"/>
      <c r="DO85" s="331"/>
      <c r="DP85" s="769"/>
      <c r="DQ85" s="769"/>
      <c r="DR85" s="331"/>
      <c r="DS85" s="769"/>
      <c r="DT85" s="769"/>
      <c r="DU85" s="769"/>
      <c r="DV85" s="331"/>
      <c r="DW85" s="331"/>
      <c r="DX85" s="331"/>
      <c r="DY85" s="331"/>
      <c r="DZ85" s="769"/>
      <c r="EA85" s="769"/>
      <c r="EB85" s="331"/>
      <c r="EC85" s="331"/>
      <c r="ED85" s="331"/>
      <c r="EE85" s="331"/>
      <c r="EF85" s="331"/>
      <c r="EG85" s="769"/>
      <c r="EH85" s="769"/>
      <c r="EI85" s="769"/>
      <c r="EJ85" s="331"/>
      <c r="EK85" s="331"/>
      <c r="EL85" s="769"/>
      <c r="EM85" s="769"/>
      <c r="EN85" s="738"/>
      <c r="EO85" s="738"/>
      <c r="EP85" s="738"/>
      <c r="EQ85" s="738">
        <v>1</v>
      </c>
      <c r="ER85" s="738"/>
      <c r="ES85" s="738"/>
      <c r="ET85" s="738"/>
      <c r="EU85" s="738"/>
      <c r="EV85" s="738"/>
      <c r="EW85" s="738"/>
      <c r="EX85" s="738"/>
      <c r="EY85" s="738"/>
      <c r="EZ85" s="738"/>
      <c r="FA85" s="738"/>
      <c r="FB85" s="738"/>
      <c r="FC85" s="738"/>
      <c r="FD85" s="738"/>
      <c r="FE85" s="738"/>
      <c r="FF85" s="738"/>
      <c r="FG85" s="738"/>
      <c r="FH85" s="738"/>
      <c r="FI85" s="738"/>
      <c r="FJ85" s="738"/>
      <c r="FK85" s="738"/>
      <c r="FL85" s="738"/>
      <c r="FM85" s="738"/>
      <c r="FN85" s="738"/>
      <c r="FO85" s="738"/>
      <c r="FP85" s="738"/>
      <c r="FQ85" s="738"/>
      <c r="FR85" s="738"/>
      <c r="FS85" s="738"/>
      <c r="FT85" s="738"/>
      <c r="FU85" s="738"/>
      <c r="FV85" s="738"/>
      <c r="FW85" s="738"/>
      <c r="FX85" s="738"/>
      <c r="FY85" s="738"/>
      <c r="FZ85" s="738"/>
      <c r="GA85" s="738"/>
      <c r="GB85" s="738"/>
      <c r="GC85" s="738"/>
      <c r="GD85" s="738"/>
      <c r="GE85" s="738"/>
      <c r="GF85" s="738"/>
      <c r="GG85" s="738"/>
      <c r="GH85" s="738"/>
      <c r="GI85" s="738"/>
      <c r="GJ85" s="738"/>
      <c r="GK85" s="738"/>
      <c r="GL85" s="738"/>
      <c r="GM85" s="738"/>
      <c r="GN85" s="738"/>
      <c r="GO85" s="738"/>
      <c r="GP85" s="738"/>
      <c r="GQ85" s="738"/>
      <c r="GR85" s="331"/>
      <c r="GS85" s="331"/>
      <c r="GT85" s="331"/>
      <c r="GU85" s="331"/>
      <c r="GV85" s="331"/>
      <c r="GW85" s="921" t="s">
        <v>1369</v>
      </c>
      <c r="GX85" s="233"/>
      <c r="GY85" s="233"/>
      <c r="GZ85" s="294"/>
      <c r="HA85" s="418"/>
      <c r="HB85" s="275" t="s">
        <v>1370</v>
      </c>
      <c r="HC85" s="178"/>
      <c r="HD85" s="178"/>
      <c r="HE85" s="178"/>
      <c r="HF85" s="178"/>
      <c r="HG85" s="178"/>
      <c r="HH85" s="178"/>
      <c r="HI85" s="178"/>
      <c r="HJ85" s="178"/>
      <c r="HK85" s="178"/>
      <c r="HL85" s="178"/>
      <c r="HM85" s="178"/>
      <c r="HN85" s="178"/>
      <c r="HO85" s="178"/>
      <c r="HP85" s="178"/>
      <c r="HQ85" s="178"/>
      <c r="HR85" s="178"/>
      <c r="HS85" s="178"/>
      <c r="HT85" s="178"/>
      <c r="HU85" s="178"/>
      <c r="HV85" s="178"/>
      <c r="HW85" s="178"/>
      <c r="HX85" s="178"/>
      <c r="HY85" s="178"/>
      <c r="HZ85" s="178"/>
      <c r="IA85" s="178"/>
      <c r="IB85" s="178"/>
      <c r="IC85" s="178"/>
      <c r="ID85" s="178"/>
      <c r="IE85" s="178"/>
      <c r="IF85" s="178"/>
      <c r="IG85" s="178"/>
      <c r="IH85" s="178"/>
      <c r="II85" s="178"/>
      <c r="IJ85" s="178"/>
      <c r="IK85" s="178"/>
      <c r="IL85" s="178"/>
      <c r="IM85" s="178"/>
      <c r="IN85" s="178"/>
      <c r="IO85" s="178"/>
      <c r="IP85" s="178"/>
      <c r="IQ85" s="178"/>
      <c r="IR85" s="178"/>
      <c r="IS85" s="178"/>
      <c r="IT85" s="178"/>
      <c r="IU85" s="178"/>
      <c r="IV85" s="178"/>
      <c r="IW85" s="178"/>
      <c r="IX85" s="178"/>
      <c r="IY85" s="178"/>
      <c r="IZ85" s="178"/>
      <c r="JA85" s="178"/>
      <c r="JB85" s="178"/>
      <c r="JC85" s="178"/>
      <c r="JD85" s="178"/>
      <c r="JE85" s="178"/>
      <c r="JF85" s="178"/>
      <c r="JG85" s="178"/>
      <c r="JH85" s="178"/>
      <c r="JI85" s="178"/>
      <c r="JJ85" s="178"/>
      <c r="JK85" s="178"/>
      <c r="JL85" s="178"/>
      <c r="JM85" s="178"/>
      <c r="JN85" s="178"/>
      <c r="JO85" s="178"/>
      <c r="JP85" s="178"/>
      <c r="JQ85" s="178"/>
      <c r="JR85" s="178"/>
      <c r="JS85" s="178"/>
      <c r="JT85" s="178"/>
      <c r="JU85" s="178"/>
      <c r="JV85" s="178"/>
      <c r="JW85" s="178"/>
      <c r="JX85" s="178"/>
      <c r="JY85" s="178"/>
      <c r="JZ85" s="178"/>
      <c r="KA85" s="178"/>
    </row>
    <row r="86" spans="1:287" s="360" customFormat="1" ht="52.5" hidden="1" customHeight="1">
      <c r="A86" s="217">
        <v>26</v>
      </c>
      <c r="B86" s="1610" t="s">
        <v>1340</v>
      </c>
      <c r="C86" s="212" t="s">
        <v>843</v>
      </c>
      <c r="D86" s="85" t="s">
        <v>879</v>
      </c>
      <c r="E86" s="861">
        <f t="shared" si="50"/>
        <v>0</v>
      </c>
      <c r="F86" s="377">
        <v>0</v>
      </c>
      <c r="G86" s="377">
        <v>0</v>
      </c>
      <c r="H86" s="377">
        <v>0</v>
      </c>
      <c r="I86" s="377">
        <v>0</v>
      </c>
      <c r="J86" s="858">
        <f t="shared" si="51"/>
        <v>0</v>
      </c>
      <c r="K86" s="861">
        <f t="shared" si="52"/>
        <v>0</v>
      </c>
      <c r="L86" s="861">
        <f t="shared" si="53"/>
        <v>0</v>
      </c>
      <c r="M86" s="858">
        <f t="shared" si="54"/>
        <v>0</v>
      </c>
      <c r="N86" s="861">
        <f t="shared" si="55"/>
        <v>0</v>
      </c>
      <c r="O86" s="861">
        <f t="shared" si="56"/>
        <v>0</v>
      </c>
      <c r="P86" s="861">
        <f t="shared" si="57"/>
        <v>0</v>
      </c>
      <c r="Q86" s="861">
        <f t="shared" si="58"/>
        <v>0</v>
      </c>
      <c r="R86" s="861">
        <f t="shared" si="59"/>
        <v>0</v>
      </c>
      <c r="S86" s="861">
        <f t="shared" si="60"/>
        <v>0</v>
      </c>
      <c r="T86" s="861"/>
      <c r="U86" s="861"/>
      <c r="V86" s="331"/>
      <c r="W86" s="331"/>
      <c r="X86" s="331"/>
      <c r="Y86" s="331"/>
      <c r="Z86" s="331"/>
      <c r="AA86" s="331"/>
      <c r="AB86" s="331"/>
      <c r="AC86" s="331"/>
      <c r="AD86" s="331"/>
      <c r="AE86" s="769"/>
      <c r="AF86" s="769"/>
      <c r="AG86" s="769"/>
      <c r="AH86" s="769"/>
      <c r="AI86" s="769"/>
      <c r="AJ86" s="769"/>
      <c r="AK86" s="769"/>
      <c r="AL86" s="769"/>
      <c r="AM86" s="769"/>
      <c r="AN86" s="769"/>
      <c r="AO86" s="769"/>
      <c r="AP86" s="769"/>
      <c r="AQ86" s="769"/>
      <c r="AR86" s="769"/>
      <c r="AS86" s="769"/>
      <c r="AT86" s="769"/>
      <c r="AU86" s="769"/>
      <c r="AV86" s="769"/>
      <c r="AW86" s="769"/>
      <c r="AX86" s="769"/>
      <c r="AY86" s="769"/>
      <c r="AZ86" s="769"/>
      <c r="BA86" s="769"/>
      <c r="BB86" s="769"/>
      <c r="BC86" s="769"/>
      <c r="BD86" s="331"/>
      <c r="BE86" s="331"/>
      <c r="BF86" s="769"/>
      <c r="BG86" s="331"/>
      <c r="BH86" s="331"/>
      <c r="BI86" s="769"/>
      <c r="BJ86" s="769"/>
      <c r="BK86" s="769"/>
      <c r="BL86" s="769"/>
      <c r="BM86" s="769"/>
      <c r="BN86" s="331"/>
      <c r="BO86" s="331"/>
      <c r="BP86" s="331"/>
      <c r="BQ86" s="331"/>
      <c r="BR86" s="769"/>
      <c r="BS86" s="769"/>
      <c r="BT86" s="769"/>
      <c r="BU86" s="769"/>
      <c r="BV86" s="769"/>
      <c r="BW86" s="769"/>
      <c r="BX86" s="769"/>
      <c r="BY86" s="769"/>
      <c r="BZ86" s="769"/>
      <c r="CA86" s="769"/>
      <c r="CB86" s="331"/>
      <c r="CC86" s="769"/>
      <c r="CD86" s="769"/>
      <c r="CE86" s="769"/>
      <c r="CF86" s="331"/>
      <c r="CG86" s="331"/>
      <c r="CH86" s="769"/>
      <c r="CI86" s="331"/>
      <c r="CJ86" s="769"/>
      <c r="CK86" s="769"/>
      <c r="CL86" s="331"/>
      <c r="CM86" s="331"/>
      <c r="CN86" s="331"/>
      <c r="CO86" s="769"/>
      <c r="CP86" s="331"/>
      <c r="CQ86" s="769"/>
      <c r="CR86" s="769"/>
      <c r="CS86" s="769"/>
      <c r="CT86" s="769"/>
      <c r="CU86" s="769"/>
      <c r="CV86" s="769"/>
      <c r="CW86" s="769"/>
      <c r="CX86" s="769"/>
      <c r="CY86" s="769"/>
      <c r="CZ86" s="769"/>
      <c r="DA86" s="769"/>
      <c r="DB86" s="331"/>
      <c r="DC86" s="331"/>
      <c r="DD86" s="331"/>
      <c r="DE86" s="769"/>
      <c r="DF86" s="769"/>
      <c r="DG86" s="331"/>
      <c r="DH86" s="769"/>
      <c r="DI86" s="769"/>
      <c r="DJ86" s="769"/>
      <c r="DK86" s="331"/>
      <c r="DL86" s="769"/>
      <c r="DM86" s="769"/>
      <c r="DN86" s="331"/>
      <c r="DO86" s="331"/>
      <c r="DP86" s="769"/>
      <c r="DQ86" s="769"/>
      <c r="DR86" s="331"/>
      <c r="DS86" s="769"/>
      <c r="DT86" s="769"/>
      <c r="DU86" s="769"/>
      <c r="DV86" s="331"/>
      <c r="DW86" s="331"/>
      <c r="DX86" s="331"/>
      <c r="DY86" s="331"/>
      <c r="DZ86" s="769"/>
      <c r="EA86" s="769"/>
      <c r="EB86" s="331"/>
      <c r="EC86" s="331"/>
      <c r="ED86" s="331"/>
      <c r="EE86" s="331"/>
      <c r="EF86" s="331"/>
      <c r="EG86" s="769"/>
      <c r="EH86" s="769"/>
      <c r="EI86" s="769"/>
      <c r="EJ86" s="331"/>
      <c r="EK86" s="331"/>
      <c r="EL86" s="769"/>
      <c r="EM86" s="769"/>
      <c r="EN86" s="769"/>
      <c r="EO86" s="769"/>
      <c r="EP86" s="769"/>
      <c r="EQ86" s="769"/>
      <c r="ER86" s="331"/>
      <c r="ES86" s="331"/>
      <c r="ET86" s="331"/>
      <c r="EU86" s="769"/>
      <c r="EV86" s="769"/>
      <c r="EW86" s="331"/>
      <c r="EX86" s="331"/>
      <c r="EY86" s="331"/>
      <c r="EZ86" s="331"/>
      <c r="FA86" s="769"/>
      <c r="FB86" s="769"/>
      <c r="FC86" s="769"/>
      <c r="FD86" s="331"/>
      <c r="FE86" s="331"/>
      <c r="FF86" s="331"/>
      <c r="FG86" s="331"/>
      <c r="FH86" s="331"/>
      <c r="FI86" s="769"/>
      <c r="FJ86" s="769"/>
      <c r="FK86" s="769"/>
      <c r="FL86" s="331"/>
      <c r="FM86" s="331"/>
      <c r="FN86" s="769"/>
      <c r="FO86" s="331"/>
      <c r="FP86" s="769"/>
      <c r="FQ86" s="769"/>
      <c r="FR86" s="769"/>
      <c r="FS86" s="331"/>
      <c r="FT86" s="331"/>
      <c r="FU86" s="769"/>
      <c r="FV86" s="331"/>
      <c r="FW86" s="769"/>
      <c r="FX86" s="331"/>
      <c r="FY86" s="769"/>
      <c r="FZ86" s="769"/>
      <c r="GA86" s="769"/>
      <c r="GB86" s="769"/>
      <c r="GC86" s="769"/>
      <c r="GD86" s="769"/>
      <c r="GE86" s="769"/>
      <c r="GF86" s="331"/>
      <c r="GG86" s="769"/>
      <c r="GH86" s="331"/>
      <c r="GI86" s="769"/>
      <c r="GJ86" s="331"/>
      <c r="GK86" s="769"/>
      <c r="GL86" s="769"/>
      <c r="GM86" s="769"/>
      <c r="GN86" s="769"/>
      <c r="GO86" s="331"/>
      <c r="GP86" s="331"/>
      <c r="GQ86" s="331"/>
      <c r="GR86" s="331"/>
      <c r="GS86" s="331"/>
      <c r="GT86" s="331"/>
      <c r="GU86" s="331"/>
      <c r="GV86" s="331"/>
      <c r="GW86" s="244" t="s">
        <v>880</v>
      </c>
      <c r="GX86" s="244"/>
      <c r="GY86" s="244"/>
      <c r="GZ86" s="419"/>
      <c r="HA86" s="420"/>
      <c r="HB86" s="408" t="s">
        <v>881</v>
      </c>
      <c r="HC86" s="178"/>
      <c r="HD86" s="178"/>
      <c r="HE86" s="178"/>
      <c r="HF86" s="178"/>
      <c r="HG86" s="178"/>
      <c r="HH86" s="178"/>
      <c r="HI86" s="178"/>
      <c r="HJ86" s="178"/>
      <c r="HK86" s="178"/>
      <c r="HL86" s="178"/>
      <c r="HM86" s="178"/>
      <c r="HN86" s="178"/>
      <c r="HO86" s="178"/>
      <c r="HP86" s="178"/>
      <c r="HQ86" s="178"/>
      <c r="HR86" s="178"/>
      <c r="HS86" s="178"/>
      <c r="HT86" s="178"/>
      <c r="HU86" s="178"/>
      <c r="HV86" s="178"/>
      <c r="HW86" s="178"/>
      <c r="HX86" s="178"/>
      <c r="HY86" s="178"/>
      <c r="HZ86" s="178"/>
      <c r="IA86" s="178"/>
      <c r="IB86" s="178"/>
      <c r="IC86" s="178"/>
      <c r="ID86" s="178"/>
      <c r="IE86" s="178"/>
      <c r="IF86" s="178"/>
      <c r="IG86" s="178"/>
      <c r="IH86" s="178"/>
      <c r="II86" s="178"/>
      <c r="IJ86" s="178"/>
      <c r="IK86" s="178"/>
      <c r="IL86" s="178"/>
      <c r="IM86" s="178"/>
      <c r="IN86" s="178"/>
      <c r="IO86" s="178"/>
      <c r="IP86" s="178"/>
      <c r="IQ86" s="178"/>
      <c r="IR86" s="178"/>
      <c r="IS86" s="178"/>
      <c r="IT86" s="178"/>
      <c r="IU86" s="178"/>
      <c r="IV86" s="178"/>
      <c r="IW86" s="178"/>
      <c r="IX86" s="178"/>
      <c r="IY86" s="178"/>
      <c r="IZ86" s="178"/>
      <c r="JA86" s="178"/>
      <c r="JB86" s="178"/>
      <c r="JC86" s="178"/>
      <c r="JD86" s="178"/>
      <c r="JE86" s="178"/>
      <c r="JF86" s="178"/>
      <c r="JG86" s="178"/>
      <c r="JH86" s="178"/>
      <c r="JI86" s="178"/>
      <c r="JJ86" s="178"/>
      <c r="JK86" s="178"/>
      <c r="JL86" s="178"/>
      <c r="JM86" s="178"/>
      <c r="JN86" s="178"/>
      <c r="JO86" s="178"/>
      <c r="JP86" s="178"/>
      <c r="JQ86" s="178"/>
      <c r="JR86" s="178"/>
      <c r="JS86" s="178"/>
      <c r="JT86" s="178"/>
      <c r="JU86" s="178"/>
      <c r="JV86" s="178"/>
      <c r="JW86" s="178"/>
      <c r="JX86" s="178"/>
      <c r="JY86" s="178"/>
      <c r="JZ86" s="178"/>
      <c r="KA86" s="178"/>
    </row>
    <row r="87" spans="1:287" s="360" customFormat="1" ht="52.5" hidden="1" customHeight="1">
      <c r="A87" s="217">
        <v>27</v>
      </c>
      <c r="B87" s="1617"/>
      <c r="C87" s="212" t="s">
        <v>843</v>
      </c>
      <c r="D87" s="85" t="s">
        <v>882</v>
      </c>
      <c r="E87" s="861">
        <f t="shared" si="50"/>
        <v>0</v>
      </c>
      <c r="F87" s="377">
        <v>0</v>
      </c>
      <c r="G87" s="377">
        <v>0</v>
      </c>
      <c r="H87" s="377">
        <v>0</v>
      </c>
      <c r="I87" s="377">
        <v>0</v>
      </c>
      <c r="J87" s="858">
        <f t="shared" si="51"/>
        <v>0</v>
      </c>
      <c r="K87" s="861">
        <f t="shared" si="52"/>
        <v>0</v>
      </c>
      <c r="L87" s="861">
        <f t="shared" si="53"/>
        <v>0</v>
      </c>
      <c r="M87" s="858">
        <f t="shared" si="54"/>
        <v>0</v>
      </c>
      <c r="N87" s="861">
        <f t="shared" si="55"/>
        <v>0</v>
      </c>
      <c r="O87" s="861">
        <f t="shared" si="56"/>
        <v>0</v>
      </c>
      <c r="P87" s="861">
        <f t="shared" si="57"/>
        <v>0</v>
      </c>
      <c r="Q87" s="861">
        <f t="shared" si="58"/>
        <v>0</v>
      </c>
      <c r="R87" s="861">
        <f t="shared" si="59"/>
        <v>0</v>
      </c>
      <c r="S87" s="861">
        <f t="shared" si="60"/>
        <v>0</v>
      </c>
      <c r="T87" s="861"/>
      <c r="U87" s="861"/>
      <c r="V87" s="331"/>
      <c r="W87" s="331"/>
      <c r="X87" s="331"/>
      <c r="Y87" s="331"/>
      <c r="Z87" s="331"/>
      <c r="AA87" s="331"/>
      <c r="AB87" s="331"/>
      <c r="AC87" s="331"/>
      <c r="AD87" s="331"/>
      <c r="AE87" s="769"/>
      <c r="AF87" s="769"/>
      <c r="AG87" s="769"/>
      <c r="AH87" s="769"/>
      <c r="AI87" s="769"/>
      <c r="AJ87" s="769"/>
      <c r="AK87" s="769"/>
      <c r="AL87" s="769"/>
      <c r="AM87" s="769"/>
      <c r="AN87" s="769"/>
      <c r="AO87" s="769"/>
      <c r="AP87" s="769"/>
      <c r="AQ87" s="769"/>
      <c r="AR87" s="769"/>
      <c r="AS87" s="769"/>
      <c r="AT87" s="769"/>
      <c r="AU87" s="769"/>
      <c r="AV87" s="769"/>
      <c r="AW87" s="769"/>
      <c r="AX87" s="769"/>
      <c r="AY87" s="769"/>
      <c r="AZ87" s="769"/>
      <c r="BA87" s="769"/>
      <c r="BB87" s="769"/>
      <c r="BC87" s="769"/>
      <c r="BD87" s="331"/>
      <c r="BE87" s="331"/>
      <c r="BF87" s="769"/>
      <c r="BG87" s="331"/>
      <c r="BH87" s="331"/>
      <c r="BI87" s="769"/>
      <c r="BJ87" s="769"/>
      <c r="BK87" s="769"/>
      <c r="BL87" s="769"/>
      <c r="BM87" s="769"/>
      <c r="BN87" s="331"/>
      <c r="BO87" s="331"/>
      <c r="BP87" s="331"/>
      <c r="BQ87" s="331"/>
      <c r="BR87" s="769"/>
      <c r="BS87" s="769"/>
      <c r="BT87" s="769"/>
      <c r="BU87" s="769"/>
      <c r="BV87" s="769"/>
      <c r="BW87" s="769"/>
      <c r="BX87" s="769"/>
      <c r="BY87" s="769"/>
      <c r="BZ87" s="769"/>
      <c r="CA87" s="769"/>
      <c r="CB87" s="331"/>
      <c r="CC87" s="769"/>
      <c r="CD87" s="769"/>
      <c r="CE87" s="769"/>
      <c r="CF87" s="331"/>
      <c r="CG87" s="331"/>
      <c r="CH87" s="769"/>
      <c r="CI87" s="331"/>
      <c r="CJ87" s="769"/>
      <c r="CK87" s="769"/>
      <c r="CL87" s="331"/>
      <c r="CM87" s="331"/>
      <c r="CN87" s="331"/>
      <c r="CO87" s="769"/>
      <c r="CP87" s="331"/>
      <c r="CQ87" s="769"/>
      <c r="CR87" s="769"/>
      <c r="CS87" s="769"/>
      <c r="CT87" s="769"/>
      <c r="CU87" s="769"/>
      <c r="CV87" s="769"/>
      <c r="CW87" s="769"/>
      <c r="CX87" s="769"/>
      <c r="CY87" s="769"/>
      <c r="CZ87" s="769"/>
      <c r="DA87" s="769"/>
      <c r="DB87" s="331"/>
      <c r="DC87" s="331"/>
      <c r="DD87" s="331"/>
      <c r="DE87" s="769"/>
      <c r="DF87" s="769"/>
      <c r="DG87" s="331"/>
      <c r="DH87" s="769"/>
      <c r="DI87" s="769"/>
      <c r="DJ87" s="769"/>
      <c r="DK87" s="331"/>
      <c r="DL87" s="769"/>
      <c r="DM87" s="769"/>
      <c r="DN87" s="331"/>
      <c r="DO87" s="331"/>
      <c r="DP87" s="769"/>
      <c r="DQ87" s="769"/>
      <c r="DR87" s="331"/>
      <c r="DS87" s="769"/>
      <c r="DT87" s="769"/>
      <c r="DU87" s="769"/>
      <c r="DV87" s="331"/>
      <c r="DW87" s="331"/>
      <c r="DX87" s="331"/>
      <c r="DY87" s="331"/>
      <c r="DZ87" s="769"/>
      <c r="EA87" s="769"/>
      <c r="EB87" s="331"/>
      <c r="EC87" s="331"/>
      <c r="ED87" s="331"/>
      <c r="EE87" s="331"/>
      <c r="EF87" s="331"/>
      <c r="EG87" s="769"/>
      <c r="EH87" s="769"/>
      <c r="EI87" s="769"/>
      <c r="EJ87" s="331"/>
      <c r="EK87" s="331"/>
      <c r="EL87" s="769"/>
      <c r="EM87" s="769"/>
      <c r="EN87" s="769"/>
      <c r="EO87" s="769"/>
      <c r="EP87" s="769"/>
      <c r="EQ87" s="769"/>
      <c r="ER87" s="331"/>
      <c r="ES87" s="331"/>
      <c r="ET87" s="331"/>
      <c r="EU87" s="769"/>
      <c r="EV87" s="769"/>
      <c r="EW87" s="331"/>
      <c r="EX87" s="331"/>
      <c r="EY87" s="331"/>
      <c r="EZ87" s="331"/>
      <c r="FA87" s="769"/>
      <c r="FB87" s="769"/>
      <c r="FC87" s="769"/>
      <c r="FD87" s="331"/>
      <c r="FE87" s="331"/>
      <c r="FF87" s="331"/>
      <c r="FG87" s="331"/>
      <c r="FH87" s="331"/>
      <c r="FI87" s="769"/>
      <c r="FJ87" s="769"/>
      <c r="FK87" s="769"/>
      <c r="FL87" s="331"/>
      <c r="FM87" s="331"/>
      <c r="FN87" s="769"/>
      <c r="FO87" s="331"/>
      <c r="FP87" s="769"/>
      <c r="FQ87" s="769"/>
      <c r="FR87" s="769"/>
      <c r="FS87" s="331"/>
      <c r="FT87" s="331"/>
      <c r="FU87" s="769"/>
      <c r="FV87" s="331"/>
      <c r="FW87" s="769"/>
      <c r="FX87" s="331"/>
      <c r="FY87" s="769"/>
      <c r="FZ87" s="769"/>
      <c r="GA87" s="769"/>
      <c r="GB87" s="769"/>
      <c r="GC87" s="769"/>
      <c r="GD87" s="769"/>
      <c r="GE87" s="769"/>
      <c r="GF87" s="331"/>
      <c r="GG87" s="769"/>
      <c r="GH87" s="331"/>
      <c r="GI87" s="769"/>
      <c r="GJ87" s="331"/>
      <c r="GK87" s="769"/>
      <c r="GL87" s="769"/>
      <c r="GM87" s="769"/>
      <c r="GN87" s="769"/>
      <c r="GO87" s="331"/>
      <c r="GP87" s="331"/>
      <c r="GQ87" s="331"/>
      <c r="GR87" s="331"/>
      <c r="GS87" s="331"/>
      <c r="GT87" s="331"/>
      <c r="GU87" s="331"/>
      <c r="GV87" s="331"/>
      <c r="GW87" s="244" t="s">
        <v>883</v>
      </c>
      <c r="GX87" s="244"/>
      <c r="GY87" s="244"/>
      <c r="GZ87" s="419"/>
      <c r="HA87" s="420"/>
      <c r="HB87" s="275" t="s">
        <v>844</v>
      </c>
      <c r="HC87" s="178"/>
      <c r="HD87" s="178"/>
      <c r="HE87" s="178"/>
      <c r="HF87" s="178"/>
      <c r="HG87" s="178"/>
      <c r="HH87" s="178"/>
      <c r="HI87" s="178"/>
      <c r="HJ87" s="178"/>
      <c r="HK87" s="178"/>
      <c r="HL87" s="178"/>
      <c r="HM87" s="178"/>
      <c r="HN87" s="178"/>
      <c r="HO87" s="178"/>
      <c r="HP87" s="178"/>
      <c r="HQ87" s="178"/>
      <c r="HR87" s="178"/>
      <c r="HS87" s="178"/>
      <c r="HT87" s="178"/>
      <c r="HU87" s="178"/>
      <c r="HV87" s="178"/>
      <c r="HW87" s="178"/>
      <c r="HX87" s="178"/>
      <c r="HY87" s="178"/>
      <c r="HZ87" s="178"/>
      <c r="IA87" s="178"/>
      <c r="IB87" s="178"/>
      <c r="IC87" s="178"/>
      <c r="ID87" s="178"/>
      <c r="IE87" s="178"/>
      <c r="IF87" s="178"/>
      <c r="IG87" s="178"/>
      <c r="IH87" s="178"/>
      <c r="II87" s="178"/>
      <c r="IJ87" s="178"/>
      <c r="IK87" s="178"/>
      <c r="IL87" s="178"/>
      <c r="IM87" s="178"/>
      <c r="IN87" s="178"/>
      <c r="IO87" s="178"/>
      <c r="IP87" s="178"/>
      <c r="IQ87" s="178"/>
      <c r="IR87" s="178"/>
      <c r="IS87" s="178"/>
      <c r="IT87" s="178"/>
      <c r="IU87" s="178"/>
      <c r="IV87" s="178"/>
      <c r="IW87" s="178"/>
      <c r="IX87" s="178"/>
      <c r="IY87" s="178"/>
      <c r="IZ87" s="178"/>
      <c r="JA87" s="178"/>
      <c r="JB87" s="178"/>
      <c r="JC87" s="178"/>
      <c r="JD87" s="178"/>
      <c r="JE87" s="178"/>
      <c r="JF87" s="178"/>
      <c r="JG87" s="178"/>
      <c r="JH87" s="178"/>
      <c r="JI87" s="178"/>
      <c r="JJ87" s="178"/>
      <c r="JK87" s="178"/>
      <c r="JL87" s="178"/>
      <c r="JM87" s="178"/>
      <c r="JN87" s="178"/>
      <c r="JO87" s="178"/>
      <c r="JP87" s="178"/>
      <c r="JQ87" s="178"/>
      <c r="JR87" s="178"/>
      <c r="JS87" s="178"/>
      <c r="JT87" s="178"/>
      <c r="JU87" s="178"/>
      <c r="JV87" s="178"/>
      <c r="JW87" s="178"/>
      <c r="JX87" s="178"/>
      <c r="JY87" s="178"/>
      <c r="JZ87" s="178"/>
      <c r="KA87" s="178"/>
    </row>
    <row r="88" spans="1:287" s="360" customFormat="1" ht="52.5" hidden="1" customHeight="1">
      <c r="A88" s="818">
        <v>28</v>
      </c>
      <c r="B88" s="1617"/>
      <c r="C88" s="818" t="s">
        <v>843</v>
      </c>
      <c r="D88" s="780" t="s">
        <v>884</v>
      </c>
      <c r="E88" s="861">
        <f t="shared" si="50"/>
        <v>0</v>
      </c>
      <c r="F88" s="861">
        <v>0</v>
      </c>
      <c r="G88" s="861">
        <v>0</v>
      </c>
      <c r="H88" s="861">
        <v>0</v>
      </c>
      <c r="I88" s="861">
        <v>0</v>
      </c>
      <c r="J88" s="861">
        <f t="shared" si="51"/>
        <v>0</v>
      </c>
      <c r="K88" s="861">
        <f t="shared" si="52"/>
        <v>0</v>
      </c>
      <c r="L88" s="861">
        <f t="shared" si="53"/>
        <v>0</v>
      </c>
      <c r="M88" s="861">
        <f t="shared" si="54"/>
        <v>0</v>
      </c>
      <c r="N88" s="861">
        <f t="shared" si="55"/>
        <v>0</v>
      </c>
      <c r="O88" s="861">
        <f t="shared" si="56"/>
        <v>0</v>
      </c>
      <c r="P88" s="861">
        <f t="shared" si="57"/>
        <v>0</v>
      </c>
      <c r="Q88" s="861">
        <f t="shared" si="58"/>
        <v>0</v>
      </c>
      <c r="R88" s="861">
        <f t="shared" si="59"/>
        <v>0</v>
      </c>
      <c r="S88" s="861">
        <f t="shared" si="60"/>
        <v>0</v>
      </c>
      <c r="T88" s="861"/>
      <c r="U88" s="861"/>
      <c r="V88" s="331"/>
      <c r="W88" s="331"/>
      <c r="X88" s="331"/>
      <c r="Y88" s="331"/>
      <c r="Z88" s="331"/>
      <c r="AA88" s="331"/>
      <c r="AB88" s="331"/>
      <c r="AC88" s="331"/>
      <c r="AD88" s="331"/>
      <c r="AE88" s="769"/>
      <c r="AF88" s="769"/>
      <c r="AG88" s="769"/>
      <c r="AH88" s="769"/>
      <c r="AI88" s="769"/>
      <c r="AJ88" s="769"/>
      <c r="AK88" s="769"/>
      <c r="AL88" s="769"/>
      <c r="AM88" s="769"/>
      <c r="AN88" s="769"/>
      <c r="AO88" s="769"/>
      <c r="AP88" s="769"/>
      <c r="AQ88" s="769"/>
      <c r="AR88" s="769"/>
      <c r="AS88" s="769"/>
      <c r="AT88" s="769"/>
      <c r="AU88" s="769"/>
      <c r="AV88" s="769"/>
      <c r="AW88" s="769"/>
      <c r="AX88" s="769"/>
      <c r="AY88" s="769"/>
      <c r="AZ88" s="769"/>
      <c r="BA88" s="769"/>
      <c r="BB88" s="769"/>
      <c r="BC88" s="769"/>
      <c r="BD88" s="769"/>
      <c r="BE88" s="769"/>
      <c r="BF88" s="769"/>
      <c r="BG88" s="769"/>
      <c r="BH88" s="769"/>
      <c r="BI88" s="769"/>
      <c r="BJ88" s="769"/>
      <c r="BK88" s="769"/>
      <c r="BL88" s="769"/>
      <c r="BM88" s="769"/>
      <c r="BN88" s="331"/>
      <c r="BO88" s="331"/>
      <c r="BP88" s="331"/>
      <c r="BQ88" s="331"/>
      <c r="BR88" s="769"/>
      <c r="BS88" s="769"/>
      <c r="BT88" s="769"/>
      <c r="BU88" s="769"/>
      <c r="BV88" s="769"/>
      <c r="BW88" s="769"/>
      <c r="BX88" s="769"/>
      <c r="BY88" s="769"/>
      <c r="BZ88" s="769"/>
      <c r="CA88" s="769"/>
      <c r="CB88" s="769"/>
      <c r="CC88" s="769"/>
      <c r="CD88" s="769"/>
      <c r="CE88" s="769"/>
      <c r="CF88" s="769"/>
      <c r="CG88" s="769"/>
      <c r="CH88" s="769"/>
      <c r="CI88" s="769"/>
      <c r="CJ88" s="769"/>
      <c r="CK88" s="769"/>
      <c r="CL88" s="769"/>
      <c r="CM88" s="769"/>
      <c r="CN88" s="769"/>
      <c r="CO88" s="769"/>
      <c r="CP88" s="769"/>
      <c r="CQ88" s="769"/>
      <c r="CR88" s="769"/>
      <c r="CS88" s="769"/>
      <c r="CT88" s="769"/>
      <c r="CU88" s="769"/>
      <c r="CV88" s="769"/>
      <c r="CW88" s="769"/>
      <c r="CX88" s="769"/>
      <c r="CY88" s="769"/>
      <c r="CZ88" s="769"/>
      <c r="DA88" s="769"/>
      <c r="DB88" s="769"/>
      <c r="DC88" s="769"/>
      <c r="DD88" s="769"/>
      <c r="DE88" s="769"/>
      <c r="DF88" s="769"/>
      <c r="DG88" s="769"/>
      <c r="DH88" s="769"/>
      <c r="DI88" s="769"/>
      <c r="DJ88" s="769"/>
      <c r="DK88" s="769"/>
      <c r="DL88" s="769"/>
      <c r="DM88" s="769"/>
      <c r="DN88" s="769"/>
      <c r="DO88" s="769"/>
      <c r="DP88" s="769"/>
      <c r="DQ88" s="769"/>
      <c r="DR88" s="769"/>
      <c r="DS88" s="769"/>
      <c r="DT88" s="769"/>
      <c r="DU88" s="769"/>
      <c r="DV88" s="769"/>
      <c r="DW88" s="769"/>
      <c r="DX88" s="769"/>
      <c r="DY88" s="769"/>
      <c r="DZ88" s="769"/>
      <c r="EA88" s="769"/>
      <c r="EB88" s="769"/>
      <c r="EC88" s="769"/>
      <c r="ED88" s="769"/>
      <c r="EE88" s="769"/>
      <c r="EF88" s="769"/>
      <c r="EG88" s="769"/>
      <c r="EH88" s="769"/>
      <c r="EI88" s="769"/>
      <c r="EJ88" s="769"/>
      <c r="EK88" s="769"/>
      <c r="EL88" s="769"/>
      <c r="EM88" s="769"/>
      <c r="EN88" s="769"/>
      <c r="EO88" s="769"/>
      <c r="EP88" s="769"/>
      <c r="EQ88" s="769"/>
      <c r="ER88" s="769"/>
      <c r="ES88" s="769"/>
      <c r="ET88" s="769"/>
      <c r="EU88" s="769"/>
      <c r="EV88" s="769"/>
      <c r="EW88" s="769"/>
      <c r="EX88" s="769"/>
      <c r="EY88" s="769"/>
      <c r="EZ88" s="769"/>
      <c r="FA88" s="769"/>
      <c r="FB88" s="769"/>
      <c r="FC88" s="769"/>
      <c r="FD88" s="769"/>
      <c r="FE88" s="769"/>
      <c r="FF88" s="769"/>
      <c r="FG88" s="769"/>
      <c r="FH88" s="769"/>
      <c r="FI88" s="769"/>
      <c r="FJ88" s="769"/>
      <c r="FK88" s="769"/>
      <c r="FL88" s="769"/>
      <c r="FM88" s="769"/>
      <c r="FN88" s="769"/>
      <c r="FO88" s="769"/>
      <c r="FP88" s="769"/>
      <c r="FQ88" s="769"/>
      <c r="FR88" s="769"/>
      <c r="FS88" s="769"/>
      <c r="FT88" s="769"/>
      <c r="FU88" s="769"/>
      <c r="FV88" s="769"/>
      <c r="FW88" s="769"/>
      <c r="FX88" s="769"/>
      <c r="FY88" s="769"/>
      <c r="FZ88" s="769"/>
      <c r="GA88" s="769"/>
      <c r="GB88" s="769"/>
      <c r="GC88" s="769"/>
      <c r="GD88" s="769"/>
      <c r="GE88" s="769"/>
      <c r="GF88" s="769"/>
      <c r="GG88" s="769"/>
      <c r="GH88" s="769"/>
      <c r="GI88" s="769"/>
      <c r="GJ88" s="769"/>
      <c r="GK88" s="769"/>
      <c r="GL88" s="769"/>
      <c r="GM88" s="769"/>
      <c r="GN88" s="769"/>
      <c r="GO88" s="769"/>
      <c r="GP88" s="769"/>
      <c r="GQ88" s="769"/>
      <c r="GR88" s="331"/>
      <c r="GS88" s="331"/>
      <c r="GT88" s="331"/>
      <c r="GU88" s="331"/>
      <c r="GV88" s="331"/>
      <c r="GW88" s="416" t="s">
        <v>880</v>
      </c>
      <c r="GX88" s="416"/>
      <c r="GY88" s="416"/>
      <c r="GZ88" s="420"/>
      <c r="HA88" s="420"/>
      <c r="HB88" s="872" t="s">
        <v>885</v>
      </c>
      <c r="HC88" s="178"/>
      <c r="HD88" s="178"/>
      <c r="HE88" s="178"/>
      <c r="HF88" s="178"/>
      <c r="HG88" s="178"/>
      <c r="HH88" s="178"/>
      <c r="HI88" s="178"/>
      <c r="HJ88" s="178"/>
      <c r="HK88" s="178"/>
      <c r="HL88" s="178"/>
      <c r="HM88" s="178"/>
      <c r="HN88" s="178"/>
      <c r="HO88" s="178"/>
      <c r="HP88" s="178"/>
      <c r="HQ88" s="178"/>
      <c r="HR88" s="178"/>
      <c r="HS88" s="178"/>
      <c r="HT88" s="178"/>
      <c r="HU88" s="178"/>
      <c r="HV88" s="178"/>
      <c r="HW88" s="178"/>
      <c r="HX88" s="178"/>
      <c r="HY88" s="178"/>
      <c r="HZ88" s="178"/>
      <c r="IA88" s="178"/>
      <c r="IB88" s="178"/>
      <c r="IC88" s="178"/>
      <c r="ID88" s="178"/>
      <c r="IE88" s="178"/>
      <c r="IF88" s="178"/>
      <c r="IG88" s="178"/>
      <c r="IH88" s="178"/>
      <c r="II88" s="178"/>
      <c r="IJ88" s="178"/>
      <c r="IK88" s="178"/>
      <c r="IL88" s="178"/>
      <c r="IM88" s="178"/>
      <c r="IN88" s="178"/>
      <c r="IO88" s="178"/>
      <c r="IP88" s="178"/>
      <c r="IQ88" s="178"/>
      <c r="IR88" s="178"/>
      <c r="IS88" s="178"/>
      <c r="IT88" s="178"/>
      <c r="IU88" s="178"/>
      <c r="IV88" s="178"/>
      <c r="IW88" s="178"/>
      <c r="IX88" s="178"/>
      <c r="IY88" s="178"/>
      <c r="IZ88" s="178"/>
      <c r="JA88" s="178"/>
      <c r="JB88" s="178"/>
      <c r="JC88" s="178"/>
      <c r="JD88" s="178"/>
      <c r="JE88" s="178"/>
      <c r="JF88" s="178"/>
      <c r="JG88" s="178"/>
      <c r="JH88" s="178"/>
      <c r="JI88" s="178"/>
      <c r="JJ88" s="178"/>
      <c r="JK88" s="178"/>
      <c r="JL88" s="178"/>
      <c r="JM88" s="178"/>
      <c r="JN88" s="178"/>
      <c r="JO88" s="178"/>
      <c r="JP88" s="178"/>
      <c r="JQ88" s="178"/>
      <c r="JR88" s="178"/>
      <c r="JS88" s="178"/>
      <c r="JT88" s="178"/>
      <c r="JU88" s="178"/>
      <c r="JV88" s="178"/>
      <c r="JW88" s="178"/>
      <c r="JX88" s="178"/>
      <c r="JY88" s="178"/>
      <c r="JZ88" s="178"/>
      <c r="KA88" s="178"/>
    </row>
    <row r="89" spans="1:287" s="360" customFormat="1" ht="68.25" hidden="1" customHeight="1">
      <c r="A89" s="1438">
        <v>29</v>
      </c>
      <c r="B89" s="1618"/>
      <c r="C89" s="754" t="s">
        <v>843</v>
      </c>
      <c r="D89" s="755" t="s">
        <v>1431</v>
      </c>
      <c r="E89" s="861">
        <f t="shared" si="50"/>
        <v>4</v>
      </c>
      <c r="F89" s="858">
        <v>0</v>
      </c>
      <c r="G89" s="858">
        <v>0</v>
      </c>
      <c r="H89" s="858">
        <v>0</v>
      </c>
      <c r="I89" s="858">
        <v>0</v>
      </c>
      <c r="J89" s="858">
        <v>0</v>
      </c>
      <c r="K89" s="858">
        <v>0</v>
      </c>
      <c r="L89" s="858">
        <f t="shared" si="53"/>
        <v>1</v>
      </c>
      <c r="M89" s="858">
        <f t="shared" si="54"/>
        <v>0</v>
      </c>
      <c r="N89" s="858">
        <f t="shared" si="55"/>
        <v>0</v>
      </c>
      <c r="O89" s="861">
        <f t="shared" si="56"/>
        <v>3</v>
      </c>
      <c r="P89" s="861">
        <f t="shared" si="57"/>
        <v>0</v>
      </c>
      <c r="Q89" s="861">
        <f t="shared" si="58"/>
        <v>0</v>
      </c>
      <c r="R89" s="861">
        <f t="shared" si="59"/>
        <v>0</v>
      </c>
      <c r="S89" s="861">
        <f t="shared" si="60"/>
        <v>0</v>
      </c>
      <c r="T89" s="858"/>
      <c r="U89" s="858"/>
      <c r="V89" s="738"/>
      <c r="W89" s="738"/>
      <c r="X89" s="738"/>
      <c r="Y89" s="738"/>
      <c r="Z89" s="738"/>
      <c r="AA89" s="738"/>
      <c r="AB89" s="738"/>
      <c r="AC89" s="738"/>
      <c r="AD89" s="738"/>
      <c r="AE89" s="738"/>
      <c r="AF89" s="738"/>
      <c r="AG89" s="738"/>
      <c r="AH89" s="738"/>
      <c r="AI89" s="738"/>
      <c r="AJ89" s="738"/>
      <c r="AK89" s="738"/>
      <c r="AL89" s="738"/>
      <c r="AM89" s="738"/>
      <c r="AN89" s="738"/>
      <c r="AO89" s="738"/>
      <c r="AP89" s="738"/>
      <c r="AQ89" s="738"/>
      <c r="AR89" s="738"/>
      <c r="AS89" s="738"/>
      <c r="AT89" s="738"/>
      <c r="AU89" s="738"/>
      <c r="AV89" s="738"/>
      <c r="AW89" s="738"/>
      <c r="AX89" s="738"/>
      <c r="AY89" s="738"/>
      <c r="AZ89" s="738"/>
      <c r="BA89" s="738"/>
      <c r="BB89" s="738"/>
      <c r="BC89" s="738"/>
      <c r="BD89" s="738"/>
      <c r="BE89" s="738"/>
      <c r="BF89" s="738"/>
      <c r="BG89" s="738"/>
      <c r="BH89" s="738"/>
      <c r="BI89" s="738"/>
      <c r="BJ89" s="738"/>
      <c r="BK89" s="738"/>
      <c r="BL89" s="738"/>
      <c r="BM89" s="738"/>
      <c r="BN89" s="738"/>
      <c r="BO89" s="738"/>
      <c r="BP89" s="738"/>
      <c r="BQ89" s="738"/>
      <c r="BR89" s="738"/>
      <c r="BS89" s="738"/>
      <c r="BT89" s="738"/>
      <c r="BU89" s="738"/>
      <c r="BV89" s="738"/>
      <c r="BW89" s="738"/>
      <c r="BX89" s="738"/>
      <c r="BY89" s="738"/>
      <c r="BZ89" s="738"/>
      <c r="CA89" s="738"/>
      <c r="CB89" s="738">
        <v>1</v>
      </c>
      <c r="CC89" s="738"/>
      <c r="CD89" s="738"/>
      <c r="CE89" s="738"/>
      <c r="CF89" s="738"/>
      <c r="CG89" s="738"/>
      <c r="CH89" s="738"/>
      <c r="CI89" s="738"/>
      <c r="CJ89" s="738"/>
      <c r="CK89" s="738"/>
      <c r="CL89" s="738"/>
      <c r="CM89" s="738"/>
      <c r="CN89" s="738"/>
      <c r="CO89" s="738"/>
      <c r="CP89" s="738"/>
      <c r="CQ89" s="738"/>
      <c r="CR89" s="738"/>
      <c r="CS89" s="738"/>
      <c r="CT89" s="738"/>
      <c r="CU89" s="738"/>
      <c r="CV89" s="738"/>
      <c r="CW89" s="738"/>
      <c r="CX89" s="738"/>
      <c r="CY89" s="738"/>
      <c r="CZ89" s="738"/>
      <c r="DA89" s="738"/>
      <c r="DB89" s="738"/>
      <c r="DC89" s="738"/>
      <c r="DD89" s="738"/>
      <c r="DE89" s="738"/>
      <c r="DF89" s="738"/>
      <c r="DG89" s="738"/>
      <c r="DH89" s="738"/>
      <c r="DI89" s="738"/>
      <c r="DJ89" s="738"/>
      <c r="DK89" s="738"/>
      <c r="DL89" s="738"/>
      <c r="DM89" s="738"/>
      <c r="DN89" s="738"/>
      <c r="DO89" s="738"/>
      <c r="DP89" s="738"/>
      <c r="DQ89" s="738"/>
      <c r="DR89" s="738"/>
      <c r="DS89" s="738"/>
      <c r="DT89" s="738"/>
      <c r="DU89" s="738"/>
      <c r="DV89" s="738"/>
      <c r="DW89" s="738"/>
      <c r="DX89" s="738"/>
      <c r="DY89" s="738"/>
      <c r="DZ89" s="738"/>
      <c r="EA89" s="738"/>
      <c r="EB89" s="738"/>
      <c r="EC89" s="738"/>
      <c r="ED89" s="738"/>
      <c r="EE89" s="738"/>
      <c r="EF89" s="738"/>
      <c r="EG89" s="738"/>
      <c r="EH89" s="738"/>
      <c r="EI89" s="738"/>
      <c r="EJ89" s="738"/>
      <c r="EK89" s="738"/>
      <c r="EL89" s="738"/>
      <c r="EM89" s="738"/>
      <c r="EN89" s="738"/>
      <c r="EO89" s="738"/>
      <c r="EP89" s="738"/>
      <c r="EQ89" s="738"/>
      <c r="ER89" s="738"/>
      <c r="ES89" s="738"/>
      <c r="ET89" s="738"/>
      <c r="EU89" s="738"/>
      <c r="EV89" s="738"/>
      <c r="EW89" s="738"/>
      <c r="EX89" s="738"/>
      <c r="EY89" s="738">
        <v>1</v>
      </c>
      <c r="EZ89" s="738">
        <v>1</v>
      </c>
      <c r="FA89" s="738"/>
      <c r="FB89" s="738"/>
      <c r="FC89" s="738"/>
      <c r="FD89" s="738"/>
      <c r="FE89" s="738"/>
      <c r="FF89" s="738"/>
      <c r="FG89" s="738"/>
      <c r="FH89" s="738"/>
      <c r="FI89" s="738"/>
      <c r="FJ89" s="738"/>
      <c r="FK89" s="738"/>
      <c r="FL89" s="738"/>
      <c r="FM89" s="738"/>
      <c r="FN89" s="738"/>
      <c r="FO89" s="738"/>
      <c r="FP89" s="738"/>
      <c r="FQ89" s="738"/>
      <c r="FR89" s="738"/>
      <c r="FS89" s="738"/>
      <c r="FT89" s="738">
        <v>1</v>
      </c>
      <c r="FU89" s="738"/>
      <c r="FV89" s="738"/>
      <c r="FW89" s="738"/>
      <c r="FX89" s="738"/>
      <c r="FY89" s="738"/>
      <c r="FZ89" s="738"/>
      <c r="GA89" s="738"/>
      <c r="GB89" s="738"/>
      <c r="GC89" s="738"/>
      <c r="GD89" s="738"/>
      <c r="GE89" s="738"/>
      <c r="GF89" s="738"/>
      <c r="GG89" s="738"/>
      <c r="GH89" s="738"/>
      <c r="GI89" s="738"/>
      <c r="GJ89" s="738"/>
      <c r="GK89" s="738"/>
      <c r="GL89" s="738"/>
      <c r="GM89" s="738"/>
      <c r="GN89" s="738"/>
      <c r="GO89" s="738"/>
      <c r="GP89" s="738"/>
      <c r="GQ89" s="738"/>
      <c r="GR89" s="738"/>
      <c r="GS89" s="738"/>
      <c r="GT89" s="738"/>
      <c r="GU89" s="738"/>
      <c r="GV89" s="738"/>
      <c r="GW89" s="921" t="s">
        <v>1267</v>
      </c>
      <c r="GX89" s="921"/>
      <c r="GY89" s="921"/>
      <c r="GZ89" s="889"/>
      <c r="HA89" s="878" t="s">
        <v>872</v>
      </c>
      <c r="HB89" s="753" t="s">
        <v>1428</v>
      </c>
      <c r="HC89" s="178"/>
      <c r="HD89" s="178"/>
      <c r="HE89" s="178"/>
      <c r="HF89" s="178"/>
      <c r="HG89" s="178"/>
      <c r="HH89" s="178"/>
      <c r="HI89" s="178"/>
      <c r="HJ89" s="178"/>
      <c r="HK89" s="178"/>
      <c r="HL89" s="178"/>
      <c r="HM89" s="178"/>
      <c r="HN89" s="178"/>
      <c r="HO89" s="178"/>
      <c r="HP89" s="178"/>
      <c r="HQ89" s="178"/>
      <c r="HR89" s="178"/>
      <c r="HS89" s="178"/>
      <c r="HT89" s="178"/>
      <c r="HU89" s="178"/>
      <c r="HV89" s="178"/>
      <c r="HW89" s="178"/>
      <c r="HX89" s="178"/>
      <c r="HY89" s="178"/>
      <c r="HZ89" s="178"/>
      <c r="IA89" s="178"/>
      <c r="IB89" s="178"/>
      <c r="IC89" s="178"/>
      <c r="ID89" s="178"/>
      <c r="IE89" s="178"/>
      <c r="IF89" s="178"/>
      <c r="IG89" s="178"/>
      <c r="IH89" s="178"/>
      <c r="II89" s="178"/>
      <c r="IJ89" s="178"/>
      <c r="IK89" s="178"/>
      <c r="IL89" s="178"/>
      <c r="IM89" s="178"/>
      <c r="IN89" s="178"/>
      <c r="IO89" s="178"/>
      <c r="IP89" s="178"/>
      <c r="IQ89" s="178"/>
      <c r="IR89" s="178"/>
      <c r="IS89" s="178"/>
      <c r="IT89" s="178"/>
      <c r="IU89" s="178"/>
      <c r="IV89" s="178"/>
      <c r="IW89" s="178"/>
      <c r="IX89" s="178"/>
      <c r="IY89" s="178"/>
      <c r="IZ89" s="178"/>
      <c r="JA89" s="178"/>
      <c r="JB89" s="178"/>
      <c r="JC89" s="178"/>
      <c r="JD89" s="178"/>
      <c r="JE89" s="178"/>
      <c r="JF89" s="178"/>
      <c r="JG89" s="178"/>
      <c r="JH89" s="178"/>
      <c r="JI89" s="178"/>
      <c r="JJ89" s="178"/>
      <c r="JK89" s="178"/>
      <c r="JL89" s="178"/>
      <c r="JM89" s="178"/>
      <c r="JN89" s="178"/>
      <c r="JO89" s="178"/>
      <c r="JP89" s="178"/>
      <c r="JQ89" s="178"/>
      <c r="JR89" s="178"/>
      <c r="JS89" s="178"/>
      <c r="JT89" s="178"/>
      <c r="JU89" s="178"/>
      <c r="JV89" s="178"/>
      <c r="JW89" s="178"/>
      <c r="JX89" s="178"/>
      <c r="JY89" s="178"/>
      <c r="JZ89" s="178"/>
      <c r="KA89" s="178"/>
    </row>
    <row r="90" spans="1:287" s="360" customFormat="1" ht="52.5" hidden="1" customHeight="1">
      <c r="A90" s="1011">
        <v>30</v>
      </c>
      <c r="B90" s="1619"/>
      <c r="C90" s="1011" t="s">
        <v>843</v>
      </c>
      <c r="D90" s="893" t="s">
        <v>1186</v>
      </c>
      <c r="E90" s="861">
        <f t="shared" si="50"/>
        <v>0</v>
      </c>
      <c r="F90" s="1012">
        <v>0</v>
      </c>
      <c r="G90" s="1012">
        <v>0</v>
      </c>
      <c r="H90" s="1012">
        <v>0</v>
      </c>
      <c r="I90" s="1012">
        <v>0</v>
      </c>
      <c r="J90" s="1012">
        <v>0</v>
      </c>
      <c r="K90" s="1012">
        <f t="shared" si="52"/>
        <v>1</v>
      </c>
      <c r="L90" s="1012">
        <f t="shared" si="53"/>
        <v>0</v>
      </c>
      <c r="M90" s="1012">
        <f t="shared" si="54"/>
        <v>0</v>
      </c>
      <c r="N90" s="1012">
        <f t="shared" si="55"/>
        <v>0</v>
      </c>
      <c r="O90" s="861">
        <f t="shared" si="56"/>
        <v>0</v>
      </c>
      <c r="P90" s="861">
        <f t="shared" si="57"/>
        <v>0</v>
      </c>
      <c r="Q90" s="861">
        <f t="shared" si="58"/>
        <v>0</v>
      </c>
      <c r="R90" s="861">
        <f t="shared" si="59"/>
        <v>0</v>
      </c>
      <c r="S90" s="861">
        <f t="shared" si="60"/>
        <v>0</v>
      </c>
      <c r="T90" s="379"/>
      <c r="U90" s="379"/>
      <c r="V90" s="390"/>
      <c r="W90" s="390"/>
      <c r="X90" s="390"/>
      <c r="Y90" s="390"/>
      <c r="Z90" s="390"/>
      <c r="AA90" s="390"/>
      <c r="AB90" s="390"/>
      <c r="AC90" s="390"/>
      <c r="AD90" s="390"/>
      <c r="AE90" s="390"/>
      <c r="AF90" s="390"/>
      <c r="AG90" s="390"/>
      <c r="AH90" s="390"/>
      <c r="AI90" s="390"/>
      <c r="AJ90" s="390"/>
      <c r="AK90" s="390"/>
      <c r="AL90" s="390"/>
      <c r="AM90" s="390"/>
      <c r="AN90" s="390"/>
      <c r="AO90" s="390"/>
      <c r="AP90" s="390"/>
      <c r="AQ90" s="390"/>
      <c r="AR90" s="390"/>
      <c r="AS90" s="390"/>
      <c r="AT90" s="390"/>
      <c r="AU90" s="390"/>
      <c r="AV90" s="390"/>
      <c r="AW90" s="390"/>
      <c r="AX90" s="390"/>
      <c r="AY90" s="390"/>
      <c r="AZ90" s="390"/>
      <c r="BA90" s="390"/>
      <c r="BB90" s="390"/>
      <c r="BC90" s="390">
        <v>1</v>
      </c>
      <c r="BD90" s="390"/>
      <c r="BE90" s="390"/>
      <c r="BF90" s="390"/>
      <c r="BG90" s="390"/>
      <c r="BH90" s="390"/>
      <c r="BI90" s="390"/>
      <c r="BJ90" s="390"/>
      <c r="BK90" s="390"/>
      <c r="BL90" s="390"/>
      <c r="BM90" s="390"/>
      <c r="BN90" s="390"/>
      <c r="BO90" s="390"/>
      <c r="BP90" s="390"/>
      <c r="BQ90" s="390"/>
      <c r="BR90" s="390"/>
      <c r="BS90" s="390"/>
      <c r="BT90" s="390"/>
      <c r="BU90" s="390"/>
      <c r="BV90" s="390"/>
      <c r="BW90" s="390"/>
      <c r="BX90" s="390"/>
      <c r="BY90" s="390"/>
      <c r="BZ90" s="390"/>
      <c r="CA90" s="390"/>
      <c r="CB90" s="390"/>
      <c r="CC90" s="390"/>
      <c r="CD90" s="390"/>
      <c r="CE90" s="390"/>
      <c r="CF90" s="390"/>
      <c r="CG90" s="390"/>
      <c r="CH90" s="390"/>
      <c r="CI90" s="390"/>
      <c r="CJ90" s="390"/>
      <c r="CK90" s="390"/>
      <c r="CL90" s="390"/>
      <c r="CM90" s="390"/>
      <c r="CN90" s="390"/>
      <c r="CO90" s="390"/>
      <c r="CP90" s="390"/>
      <c r="CQ90" s="390"/>
      <c r="CR90" s="390"/>
      <c r="CS90" s="390"/>
      <c r="CT90" s="390"/>
      <c r="CU90" s="390"/>
      <c r="CV90" s="390"/>
      <c r="CW90" s="390"/>
      <c r="CX90" s="390"/>
      <c r="CY90" s="390"/>
      <c r="CZ90" s="390"/>
      <c r="DA90" s="390"/>
      <c r="DB90" s="390"/>
      <c r="DC90" s="390"/>
      <c r="DD90" s="390"/>
      <c r="DE90" s="390"/>
      <c r="DF90" s="390"/>
      <c r="DG90" s="390"/>
      <c r="DH90" s="390"/>
      <c r="DI90" s="390"/>
      <c r="DJ90" s="390"/>
      <c r="DK90" s="390"/>
      <c r="DL90" s="390"/>
      <c r="DM90" s="390"/>
      <c r="DN90" s="390"/>
      <c r="DO90" s="390"/>
      <c r="DP90" s="390"/>
      <c r="DQ90" s="390"/>
      <c r="DR90" s="390"/>
      <c r="DS90" s="390"/>
      <c r="DT90" s="390"/>
      <c r="DU90" s="390"/>
      <c r="DV90" s="390"/>
      <c r="DW90" s="390"/>
      <c r="DX90" s="390"/>
      <c r="DY90" s="390"/>
      <c r="DZ90" s="390"/>
      <c r="EA90" s="390"/>
      <c r="EB90" s="390"/>
      <c r="EC90" s="390"/>
      <c r="ED90" s="390"/>
      <c r="EE90" s="390"/>
      <c r="EF90" s="390"/>
      <c r="EG90" s="390"/>
      <c r="EH90" s="390"/>
      <c r="EI90" s="390"/>
      <c r="EJ90" s="390"/>
      <c r="EK90" s="390"/>
      <c r="EL90" s="390"/>
      <c r="EM90" s="390"/>
      <c r="EN90" s="390"/>
      <c r="EO90" s="390"/>
      <c r="EP90" s="390"/>
      <c r="EQ90" s="390"/>
      <c r="ER90" s="390"/>
      <c r="ES90" s="390"/>
      <c r="ET90" s="390"/>
      <c r="EU90" s="390"/>
      <c r="EV90" s="390"/>
      <c r="EW90" s="390"/>
      <c r="EX90" s="390"/>
      <c r="EY90" s="390"/>
      <c r="EZ90" s="390"/>
      <c r="FA90" s="390"/>
      <c r="FB90" s="390"/>
      <c r="FC90" s="390"/>
      <c r="FD90" s="390"/>
      <c r="FE90" s="390"/>
      <c r="FF90" s="390"/>
      <c r="FG90" s="390"/>
      <c r="FH90" s="390"/>
      <c r="FI90" s="390"/>
      <c r="FJ90" s="390"/>
      <c r="FK90" s="390"/>
      <c r="FL90" s="390"/>
      <c r="FM90" s="390"/>
      <c r="FN90" s="390"/>
      <c r="FO90" s="390"/>
      <c r="FP90" s="390"/>
      <c r="FQ90" s="390"/>
      <c r="FR90" s="390"/>
      <c r="FS90" s="390"/>
      <c r="FT90" s="390"/>
      <c r="FU90" s="390"/>
      <c r="FV90" s="390"/>
      <c r="FW90" s="390"/>
      <c r="FX90" s="390"/>
      <c r="FY90" s="390"/>
      <c r="FZ90" s="390"/>
      <c r="GA90" s="390"/>
      <c r="GB90" s="390"/>
      <c r="GC90" s="390"/>
      <c r="GD90" s="390"/>
      <c r="GE90" s="390"/>
      <c r="GF90" s="390"/>
      <c r="GG90" s="390"/>
      <c r="GH90" s="390"/>
      <c r="GI90" s="390"/>
      <c r="GJ90" s="390"/>
      <c r="GK90" s="390"/>
      <c r="GL90" s="390"/>
      <c r="GM90" s="390"/>
      <c r="GN90" s="390"/>
      <c r="GO90" s="390"/>
      <c r="GP90" s="390"/>
      <c r="GQ90" s="390"/>
      <c r="GR90" s="390"/>
      <c r="GS90" s="390"/>
      <c r="GT90" s="390"/>
      <c r="GU90" s="390"/>
      <c r="GV90" s="390"/>
      <c r="GW90" s="1054"/>
      <c r="GX90" s="1054" t="s">
        <v>1233</v>
      </c>
      <c r="GY90" s="1054"/>
      <c r="GZ90" s="1336"/>
      <c r="HA90" s="1336"/>
      <c r="HB90" s="1337" t="s">
        <v>1235</v>
      </c>
      <c r="HC90" s="178"/>
      <c r="HD90" s="178"/>
      <c r="HE90" s="178"/>
      <c r="HF90" s="178"/>
      <c r="HG90" s="178"/>
      <c r="HH90" s="178"/>
      <c r="HI90" s="178"/>
      <c r="HJ90" s="178"/>
      <c r="HK90" s="178"/>
      <c r="HL90" s="178"/>
      <c r="HM90" s="178"/>
      <c r="HN90" s="178"/>
      <c r="HO90" s="178"/>
      <c r="HP90" s="178"/>
      <c r="HQ90" s="178"/>
      <c r="HR90" s="178"/>
      <c r="HS90" s="178"/>
      <c r="HT90" s="178"/>
      <c r="HU90" s="178"/>
      <c r="HV90" s="178"/>
      <c r="HW90" s="178"/>
      <c r="HX90" s="178"/>
      <c r="HY90" s="178"/>
      <c r="HZ90" s="178"/>
      <c r="IA90" s="178"/>
      <c r="IB90" s="178"/>
      <c r="IC90" s="178"/>
      <c r="ID90" s="178"/>
      <c r="IE90" s="178"/>
      <c r="IF90" s="178"/>
      <c r="IG90" s="178"/>
      <c r="IH90" s="178"/>
      <c r="II90" s="178"/>
      <c r="IJ90" s="178"/>
      <c r="IK90" s="178"/>
      <c r="IL90" s="178"/>
      <c r="IM90" s="178"/>
      <c r="IN90" s="178"/>
      <c r="IO90" s="178"/>
      <c r="IP90" s="178"/>
      <c r="IQ90" s="178"/>
      <c r="IR90" s="178"/>
      <c r="IS90" s="178"/>
      <c r="IT90" s="178"/>
      <c r="IU90" s="178"/>
      <c r="IV90" s="178"/>
      <c r="IW90" s="178"/>
      <c r="IX90" s="178"/>
      <c r="IY90" s="178"/>
      <c r="IZ90" s="178"/>
      <c r="JA90" s="178"/>
      <c r="JB90" s="178"/>
      <c r="JC90" s="178"/>
      <c r="JD90" s="178"/>
      <c r="JE90" s="178"/>
      <c r="JF90" s="178"/>
      <c r="JG90" s="178"/>
      <c r="JH90" s="178"/>
      <c r="JI90" s="178"/>
      <c r="JJ90" s="178"/>
      <c r="JK90" s="178"/>
      <c r="JL90" s="178"/>
      <c r="JM90" s="178"/>
      <c r="JN90" s="178"/>
      <c r="JO90" s="178"/>
      <c r="JP90" s="178"/>
      <c r="JQ90" s="178"/>
      <c r="JR90" s="178"/>
      <c r="JS90" s="178"/>
      <c r="JT90" s="178"/>
      <c r="JU90" s="178"/>
      <c r="JV90" s="178"/>
      <c r="JW90" s="178"/>
      <c r="JX90" s="178"/>
      <c r="JY90" s="178"/>
      <c r="JZ90" s="178"/>
      <c r="KA90" s="178"/>
    </row>
    <row r="91" spans="1:287" s="360" customFormat="1" ht="52.5" hidden="1" customHeight="1">
      <c r="A91" s="1011"/>
      <c r="B91" s="1619"/>
      <c r="C91" s="1011" t="s">
        <v>1446</v>
      </c>
      <c r="D91" s="893" t="s">
        <v>1447</v>
      </c>
      <c r="E91" s="858">
        <f t="shared" si="50"/>
        <v>1</v>
      </c>
      <c r="F91" s="1012"/>
      <c r="G91" s="1012"/>
      <c r="H91" s="1012"/>
      <c r="I91" s="1012"/>
      <c r="J91" s="1012"/>
      <c r="K91" s="1012"/>
      <c r="L91" s="858">
        <f t="shared" si="53"/>
        <v>0</v>
      </c>
      <c r="M91" s="858">
        <f t="shared" si="54"/>
        <v>0</v>
      </c>
      <c r="N91" s="858">
        <f t="shared" si="55"/>
        <v>0</v>
      </c>
      <c r="O91" s="858">
        <f t="shared" si="56"/>
        <v>0</v>
      </c>
      <c r="P91" s="858">
        <f t="shared" si="57"/>
        <v>1</v>
      </c>
      <c r="Q91" s="861">
        <f t="shared" si="58"/>
        <v>0</v>
      </c>
      <c r="R91" s="861">
        <f t="shared" si="59"/>
        <v>1</v>
      </c>
      <c r="S91" s="861">
        <f t="shared" si="60"/>
        <v>0</v>
      </c>
      <c r="T91" s="858"/>
      <c r="U91" s="858"/>
      <c r="V91" s="738"/>
      <c r="W91" s="738"/>
      <c r="X91" s="738"/>
      <c r="Y91" s="738"/>
      <c r="Z91" s="738"/>
      <c r="AA91" s="738"/>
      <c r="AB91" s="738"/>
      <c r="AC91" s="738"/>
      <c r="AD91" s="738"/>
      <c r="AE91" s="738"/>
      <c r="AF91" s="738"/>
      <c r="AG91" s="738"/>
      <c r="AH91" s="738"/>
      <c r="AI91" s="738"/>
      <c r="AJ91" s="738"/>
      <c r="AK91" s="738"/>
      <c r="AL91" s="738"/>
      <c r="AM91" s="738"/>
      <c r="AN91" s="738"/>
      <c r="AO91" s="738"/>
      <c r="AP91" s="738"/>
      <c r="AQ91" s="738"/>
      <c r="AR91" s="738"/>
      <c r="AS91" s="738"/>
      <c r="AT91" s="738"/>
      <c r="AU91" s="738"/>
      <c r="AV91" s="738"/>
      <c r="AW91" s="738"/>
      <c r="AX91" s="738"/>
      <c r="AY91" s="738"/>
      <c r="AZ91" s="738"/>
      <c r="BA91" s="738"/>
      <c r="BB91" s="738"/>
      <c r="BC91" s="738"/>
      <c r="BD91" s="738"/>
      <c r="BE91" s="738"/>
      <c r="BF91" s="738"/>
      <c r="BG91" s="738"/>
      <c r="BH91" s="738"/>
      <c r="BI91" s="738"/>
      <c r="BJ91" s="738"/>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c r="CS91" s="738"/>
      <c r="CT91" s="738"/>
      <c r="CU91" s="738"/>
      <c r="CV91" s="738"/>
      <c r="CW91" s="738"/>
      <c r="CX91" s="738"/>
      <c r="CY91" s="738"/>
      <c r="CZ91" s="738"/>
      <c r="DA91" s="738"/>
      <c r="DB91" s="738"/>
      <c r="DC91" s="738"/>
      <c r="DD91" s="738"/>
      <c r="DE91" s="738"/>
      <c r="DF91" s="738"/>
      <c r="DG91" s="738"/>
      <c r="DH91" s="738"/>
      <c r="DI91" s="738"/>
      <c r="DJ91" s="738"/>
      <c r="DK91" s="738"/>
      <c r="DL91" s="738"/>
      <c r="DM91" s="738"/>
      <c r="DN91" s="738"/>
      <c r="DO91" s="738"/>
      <c r="DP91" s="738"/>
      <c r="DQ91" s="738"/>
      <c r="DR91" s="738"/>
      <c r="DS91" s="738"/>
      <c r="DT91" s="738"/>
      <c r="DU91" s="738"/>
      <c r="DV91" s="738"/>
      <c r="DW91" s="738"/>
      <c r="DX91" s="738"/>
      <c r="DY91" s="738"/>
      <c r="DZ91" s="738"/>
      <c r="EA91" s="738"/>
      <c r="EB91" s="738"/>
      <c r="EC91" s="738"/>
      <c r="ED91" s="738"/>
      <c r="EE91" s="738"/>
      <c r="EF91" s="738"/>
      <c r="EG91" s="738"/>
      <c r="EH91" s="738"/>
      <c r="EI91" s="738"/>
      <c r="EJ91" s="738"/>
      <c r="EK91" s="738"/>
      <c r="EL91" s="738"/>
      <c r="EM91" s="738"/>
      <c r="EN91" s="738"/>
      <c r="EO91" s="738"/>
      <c r="EP91" s="738"/>
      <c r="EQ91" s="738"/>
      <c r="ER91" s="738"/>
      <c r="ES91" s="738"/>
      <c r="ET91" s="738"/>
      <c r="EU91" s="738"/>
      <c r="EV91" s="738"/>
      <c r="EW91" s="738"/>
      <c r="EX91" s="738"/>
      <c r="EY91" s="738"/>
      <c r="EZ91" s="738"/>
      <c r="FA91" s="738"/>
      <c r="FB91" s="738"/>
      <c r="FC91" s="738"/>
      <c r="FD91" s="738"/>
      <c r="FE91" s="738"/>
      <c r="FF91" s="738"/>
      <c r="FG91" s="738"/>
      <c r="FH91" s="738"/>
      <c r="FI91" s="738"/>
      <c r="FJ91" s="738"/>
      <c r="FK91" s="738"/>
      <c r="FL91" s="738"/>
      <c r="FM91" s="738"/>
      <c r="FN91" s="738"/>
      <c r="FO91" s="738"/>
      <c r="FP91" s="738"/>
      <c r="FQ91" s="738"/>
      <c r="FR91" s="738"/>
      <c r="FS91" s="738"/>
      <c r="FT91" s="738"/>
      <c r="FU91" s="738"/>
      <c r="FV91" s="738"/>
      <c r="FW91" s="738"/>
      <c r="FX91" s="738"/>
      <c r="FY91" s="738"/>
      <c r="FZ91" s="738"/>
      <c r="GA91" s="738"/>
      <c r="GB91" s="738"/>
      <c r="GC91" s="738"/>
      <c r="GD91" s="738"/>
      <c r="GE91" s="738"/>
      <c r="GF91" s="738"/>
      <c r="GG91" s="738"/>
      <c r="GH91" s="738"/>
      <c r="GI91" s="738"/>
      <c r="GJ91" s="738">
        <v>1</v>
      </c>
      <c r="GK91" s="738"/>
      <c r="GL91" s="738"/>
      <c r="GM91" s="738"/>
      <c r="GN91" s="738"/>
      <c r="GO91" s="738"/>
      <c r="GP91" s="738"/>
      <c r="GQ91" s="738"/>
      <c r="GR91" s="390"/>
      <c r="GS91" s="390"/>
      <c r="GT91" s="390"/>
      <c r="GU91" s="390"/>
      <c r="GV91" s="390"/>
      <c r="GW91" s="1054" t="s">
        <v>1449</v>
      </c>
      <c r="GX91" s="1054"/>
      <c r="GY91" s="1054"/>
      <c r="GZ91" s="1336"/>
      <c r="HA91" s="1336"/>
      <c r="HB91" s="1337" t="s">
        <v>1448</v>
      </c>
      <c r="HC91" s="178"/>
      <c r="HD91" s="178"/>
      <c r="HE91" s="178"/>
      <c r="HF91" s="178"/>
      <c r="HG91" s="178"/>
      <c r="HH91" s="178"/>
      <c r="HI91" s="178"/>
      <c r="HJ91" s="178"/>
      <c r="HK91" s="178"/>
      <c r="HL91" s="178"/>
      <c r="HM91" s="178"/>
      <c r="HN91" s="178"/>
      <c r="HO91" s="178"/>
      <c r="HP91" s="178"/>
      <c r="HQ91" s="178"/>
      <c r="HR91" s="178"/>
      <c r="HS91" s="178"/>
      <c r="HT91" s="178"/>
      <c r="HU91" s="178"/>
      <c r="HV91" s="178"/>
      <c r="HW91" s="178"/>
      <c r="HX91" s="178"/>
      <c r="HY91" s="178"/>
      <c r="HZ91" s="178"/>
      <c r="IA91" s="178"/>
      <c r="IB91" s="178"/>
      <c r="IC91" s="178"/>
      <c r="ID91" s="178"/>
      <c r="IE91" s="178"/>
      <c r="IF91" s="178"/>
      <c r="IG91" s="178"/>
      <c r="IH91" s="178"/>
      <c r="II91" s="178"/>
      <c r="IJ91" s="178"/>
      <c r="IK91" s="178"/>
      <c r="IL91" s="178"/>
      <c r="IM91" s="178"/>
      <c r="IN91" s="178"/>
      <c r="IO91" s="178"/>
      <c r="IP91" s="178"/>
      <c r="IQ91" s="178"/>
      <c r="IR91" s="178"/>
      <c r="IS91" s="178"/>
      <c r="IT91" s="178"/>
      <c r="IU91" s="178"/>
      <c r="IV91" s="178"/>
      <c r="IW91" s="178"/>
      <c r="IX91" s="178"/>
      <c r="IY91" s="178"/>
      <c r="IZ91" s="178"/>
      <c r="JA91" s="178"/>
      <c r="JB91" s="178"/>
      <c r="JC91" s="178"/>
      <c r="JD91" s="178"/>
      <c r="JE91" s="178"/>
      <c r="JF91" s="178"/>
      <c r="JG91" s="178"/>
      <c r="JH91" s="178"/>
      <c r="JI91" s="178"/>
      <c r="JJ91" s="178"/>
      <c r="JK91" s="178"/>
      <c r="JL91" s="178"/>
      <c r="JM91" s="178"/>
      <c r="JN91" s="178"/>
      <c r="JO91" s="178"/>
      <c r="JP91" s="178"/>
      <c r="JQ91" s="178"/>
      <c r="JR91" s="178"/>
      <c r="JS91" s="178"/>
      <c r="JT91" s="178"/>
      <c r="JU91" s="178"/>
      <c r="JV91" s="178"/>
      <c r="JW91" s="178"/>
      <c r="JX91" s="178"/>
      <c r="JY91" s="178"/>
      <c r="JZ91" s="178"/>
      <c r="KA91" s="178"/>
    </row>
    <row r="92" spans="1:287" s="360" customFormat="1" ht="52.5" hidden="1" customHeight="1">
      <c r="A92" s="1011"/>
      <c r="B92" s="1619"/>
      <c r="C92" s="1011" t="s">
        <v>1404</v>
      </c>
      <c r="D92" s="755" t="s">
        <v>1406</v>
      </c>
      <c r="E92" s="858">
        <f t="shared" si="50"/>
        <v>1</v>
      </c>
      <c r="F92" s="858">
        <v>0</v>
      </c>
      <c r="G92" s="858">
        <v>0</v>
      </c>
      <c r="H92" s="858">
        <v>0</v>
      </c>
      <c r="I92" s="858">
        <v>0</v>
      </c>
      <c r="J92" s="858">
        <v>0</v>
      </c>
      <c r="K92" s="858">
        <v>0</v>
      </c>
      <c r="L92" s="858">
        <v>0</v>
      </c>
      <c r="M92" s="858">
        <v>0</v>
      </c>
      <c r="N92" s="858">
        <v>0</v>
      </c>
      <c r="O92" s="861">
        <f t="shared" si="56"/>
        <v>1</v>
      </c>
      <c r="P92" s="861">
        <f t="shared" si="57"/>
        <v>0</v>
      </c>
      <c r="Q92" s="861">
        <f t="shared" si="58"/>
        <v>0</v>
      </c>
      <c r="R92" s="861">
        <f t="shared" si="59"/>
        <v>0</v>
      </c>
      <c r="S92" s="861">
        <f t="shared" si="60"/>
        <v>0</v>
      </c>
      <c r="T92" s="861"/>
      <c r="U92" s="858"/>
      <c r="V92" s="738"/>
      <c r="W92" s="738"/>
      <c r="X92" s="738"/>
      <c r="Y92" s="738"/>
      <c r="Z92" s="738"/>
      <c r="AA92" s="738"/>
      <c r="AB92" s="738"/>
      <c r="AC92" s="738"/>
      <c r="AD92" s="738"/>
      <c r="AE92" s="738"/>
      <c r="AF92" s="738"/>
      <c r="AG92" s="738"/>
      <c r="AH92" s="738"/>
      <c r="AI92" s="738"/>
      <c r="AJ92" s="738"/>
      <c r="AK92" s="738"/>
      <c r="AL92" s="738"/>
      <c r="AM92" s="738"/>
      <c r="AN92" s="738"/>
      <c r="AO92" s="738"/>
      <c r="AP92" s="738"/>
      <c r="AQ92" s="738"/>
      <c r="AR92" s="738"/>
      <c r="AS92" s="738"/>
      <c r="AT92" s="738"/>
      <c r="AU92" s="738"/>
      <c r="AV92" s="738"/>
      <c r="AW92" s="738"/>
      <c r="AX92" s="738"/>
      <c r="AY92" s="738"/>
      <c r="AZ92" s="738"/>
      <c r="BA92" s="738"/>
      <c r="BB92" s="738"/>
      <c r="BC92" s="738"/>
      <c r="BD92" s="738"/>
      <c r="BE92" s="738"/>
      <c r="BF92" s="738"/>
      <c r="BG92" s="738"/>
      <c r="BH92" s="738"/>
      <c r="BI92" s="738"/>
      <c r="BJ92" s="738"/>
      <c r="BK92" s="738"/>
      <c r="BL92" s="738"/>
      <c r="BM92" s="738"/>
      <c r="BN92" s="738"/>
      <c r="BO92" s="738"/>
      <c r="BP92" s="738"/>
      <c r="BQ92" s="738"/>
      <c r="BR92" s="738"/>
      <c r="BS92" s="738"/>
      <c r="BT92" s="738"/>
      <c r="BU92" s="738"/>
      <c r="BV92" s="738"/>
      <c r="BW92" s="738"/>
      <c r="BX92" s="738"/>
      <c r="BY92" s="738"/>
      <c r="BZ92" s="738"/>
      <c r="CA92" s="738"/>
      <c r="CB92" s="738"/>
      <c r="CC92" s="738"/>
      <c r="CD92" s="738"/>
      <c r="CE92" s="738"/>
      <c r="CF92" s="738"/>
      <c r="CG92" s="738"/>
      <c r="CH92" s="738"/>
      <c r="CI92" s="738"/>
      <c r="CJ92" s="738"/>
      <c r="CK92" s="738"/>
      <c r="CL92" s="738"/>
      <c r="CM92" s="738"/>
      <c r="CN92" s="738"/>
      <c r="CO92" s="738"/>
      <c r="CP92" s="738"/>
      <c r="CQ92" s="738"/>
      <c r="CR92" s="738"/>
      <c r="CS92" s="738"/>
      <c r="CT92" s="738"/>
      <c r="CU92" s="738"/>
      <c r="CV92" s="738"/>
      <c r="CW92" s="738"/>
      <c r="CX92" s="738"/>
      <c r="CY92" s="738"/>
      <c r="CZ92" s="738"/>
      <c r="DA92" s="738"/>
      <c r="DB92" s="738"/>
      <c r="DC92" s="738"/>
      <c r="DD92" s="738"/>
      <c r="DE92" s="738"/>
      <c r="DF92" s="738"/>
      <c r="DG92" s="738"/>
      <c r="DH92" s="738"/>
      <c r="DI92" s="738"/>
      <c r="DJ92" s="738"/>
      <c r="DK92" s="738"/>
      <c r="DL92" s="738"/>
      <c r="DM92" s="738"/>
      <c r="DN92" s="738"/>
      <c r="DO92" s="738"/>
      <c r="DP92" s="738"/>
      <c r="DQ92" s="738"/>
      <c r="DR92" s="738"/>
      <c r="DS92" s="738"/>
      <c r="DT92" s="738"/>
      <c r="DU92" s="738"/>
      <c r="DV92" s="738"/>
      <c r="DW92" s="738"/>
      <c r="DX92" s="738"/>
      <c r="DY92" s="738"/>
      <c r="DZ92" s="738"/>
      <c r="EA92" s="738"/>
      <c r="EB92" s="738"/>
      <c r="EC92" s="738"/>
      <c r="ED92" s="738"/>
      <c r="EE92" s="738"/>
      <c r="EF92" s="738"/>
      <c r="EG92" s="738"/>
      <c r="EH92" s="738"/>
      <c r="EI92" s="738"/>
      <c r="EJ92" s="738"/>
      <c r="EK92" s="738"/>
      <c r="EL92" s="738"/>
      <c r="EM92" s="738"/>
      <c r="EN92" s="738"/>
      <c r="EO92" s="738"/>
      <c r="EP92" s="738"/>
      <c r="EQ92" s="738"/>
      <c r="ER92" s="738"/>
      <c r="ES92" s="738"/>
      <c r="ET92" s="738"/>
      <c r="EU92" s="738"/>
      <c r="EV92" s="738"/>
      <c r="EW92" s="738"/>
      <c r="EX92" s="738"/>
      <c r="EY92" s="738"/>
      <c r="EZ92" s="738"/>
      <c r="FA92" s="738"/>
      <c r="FB92" s="738"/>
      <c r="FC92" s="738"/>
      <c r="FD92" s="738"/>
      <c r="FE92" s="738"/>
      <c r="FF92" s="738"/>
      <c r="FG92" s="738"/>
      <c r="FH92" s="738"/>
      <c r="FI92" s="738">
        <v>1</v>
      </c>
      <c r="FJ92" s="738"/>
      <c r="FK92" s="738"/>
      <c r="FL92" s="738"/>
      <c r="FM92" s="738"/>
      <c r="FN92" s="738"/>
      <c r="FO92" s="738"/>
      <c r="FP92" s="738"/>
      <c r="FQ92" s="738"/>
      <c r="FR92" s="738"/>
      <c r="FS92" s="738"/>
      <c r="FT92" s="738"/>
      <c r="FU92" s="738"/>
      <c r="FV92" s="738"/>
      <c r="FW92" s="738"/>
      <c r="FX92" s="738"/>
      <c r="FY92" s="738"/>
      <c r="FZ92" s="738"/>
      <c r="GA92" s="738"/>
      <c r="GB92" s="738"/>
      <c r="GC92" s="738"/>
      <c r="GD92" s="738"/>
      <c r="GE92" s="738"/>
      <c r="GF92" s="738"/>
      <c r="GG92" s="738"/>
      <c r="GH92" s="738"/>
      <c r="GI92" s="738"/>
      <c r="GJ92" s="738"/>
      <c r="GK92" s="738"/>
      <c r="GL92" s="738"/>
      <c r="GM92" s="738"/>
      <c r="GN92" s="738"/>
      <c r="GO92" s="738"/>
      <c r="GP92" s="738"/>
      <c r="GQ92" s="738"/>
      <c r="GR92" s="738"/>
      <c r="GS92" s="738"/>
      <c r="GT92" s="738"/>
      <c r="GU92" s="738"/>
      <c r="GV92" s="738"/>
      <c r="GW92" s="921"/>
      <c r="GX92" s="921"/>
      <c r="GY92" s="921"/>
      <c r="GZ92" s="889"/>
      <c r="HA92" s="889"/>
      <c r="HB92" s="864"/>
      <c r="HC92" s="178"/>
      <c r="HD92" s="178"/>
      <c r="HE92" s="178"/>
      <c r="HF92" s="178"/>
      <c r="HG92" s="178"/>
      <c r="HH92" s="178"/>
      <c r="HI92" s="178"/>
      <c r="HJ92" s="178"/>
      <c r="HK92" s="178"/>
      <c r="HL92" s="178"/>
      <c r="HM92" s="178"/>
      <c r="HN92" s="178"/>
      <c r="HO92" s="178"/>
      <c r="HP92" s="178"/>
      <c r="HQ92" s="178"/>
      <c r="HR92" s="178"/>
      <c r="HS92" s="178"/>
      <c r="HT92" s="178"/>
      <c r="HU92" s="178"/>
      <c r="HV92" s="178"/>
      <c r="HW92" s="178"/>
      <c r="HX92" s="178"/>
      <c r="HY92" s="178"/>
      <c r="HZ92" s="178"/>
      <c r="IA92" s="178"/>
      <c r="IB92" s="178"/>
      <c r="IC92" s="178"/>
      <c r="ID92" s="178"/>
      <c r="IE92" s="178"/>
      <c r="IF92" s="178"/>
      <c r="IG92" s="178"/>
      <c r="IH92" s="178"/>
      <c r="II92" s="178"/>
      <c r="IJ92" s="178"/>
      <c r="IK92" s="178"/>
      <c r="IL92" s="178"/>
      <c r="IM92" s="178"/>
      <c r="IN92" s="178"/>
      <c r="IO92" s="178"/>
      <c r="IP92" s="178"/>
      <c r="IQ92" s="178"/>
      <c r="IR92" s="178"/>
      <c r="IS92" s="178"/>
      <c r="IT92" s="178"/>
      <c r="IU92" s="178"/>
      <c r="IV92" s="178"/>
      <c r="IW92" s="178"/>
      <c r="IX92" s="178"/>
      <c r="IY92" s="178"/>
      <c r="IZ92" s="178"/>
      <c r="JA92" s="178"/>
      <c r="JB92" s="178"/>
      <c r="JC92" s="178"/>
      <c r="JD92" s="178"/>
      <c r="JE92" s="178"/>
      <c r="JF92" s="178"/>
      <c r="JG92" s="178"/>
      <c r="JH92" s="178"/>
      <c r="JI92" s="178"/>
      <c r="JJ92" s="178"/>
      <c r="JK92" s="178"/>
      <c r="JL92" s="178"/>
      <c r="JM92" s="178"/>
      <c r="JN92" s="178"/>
      <c r="JO92" s="178"/>
      <c r="JP92" s="178"/>
      <c r="JQ92" s="178"/>
      <c r="JR92" s="178"/>
      <c r="JS92" s="178"/>
      <c r="JT92" s="178"/>
      <c r="JU92" s="178"/>
      <c r="JV92" s="178"/>
      <c r="JW92" s="178"/>
      <c r="JX92" s="178"/>
      <c r="JY92" s="178"/>
      <c r="JZ92" s="178"/>
      <c r="KA92" s="178"/>
    </row>
    <row r="93" spans="1:287" s="360" customFormat="1" ht="52.5" hidden="1" customHeight="1">
      <c r="A93" s="754"/>
      <c r="B93" s="1619"/>
      <c r="C93" s="754" t="s">
        <v>843</v>
      </c>
      <c r="D93" s="893" t="s">
        <v>1405</v>
      </c>
      <c r="E93" s="858">
        <f t="shared" si="50"/>
        <v>1</v>
      </c>
      <c r="F93" s="858"/>
      <c r="G93" s="858"/>
      <c r="H93" s="858"/>
      <c r="I93" s="858"/>
      <c r="J93" s="861">
        <v>0</v>
      </c>
      <c r="K93" s="861">
        <v>0</v>
      </c>
      <c r="L93" s="861">
        <v>0</v>
      </c>
      <c r="M93" s="861">
        <f t="shared" si="54"/>
        <v>0</v>
      </c>
      <c r="N93" s="861">
        <f t="shared" si="55"/>
        <v>1</v>
      </c>
      <c r="O93" s="861">
        <f t="shared" si="56"/>
        <v>0</v>
      </c>
      <c r="P93" s="861">
        <f t="shared" si="57"/>
        <v>0</v>
      </c>
      <c r="Q93" s="861">
        <f t="shared" si="58"/>
        <v>0</v>
      </c>
      <c r="R93" s="861">
        <f t="shared" si="59"/>
        <v>0</v>
      </c>
      <c r="S93" s="861">
        <f t="shared" si="60"/>
        <v>0</v>
      </c>
      <c r="T93" s="861"/>
      <c r="U93" s="379"/>
      <c r="V93" s="390"/>
      <c r="W93" s="390"/>
      <c r="X93" s="390"/>
      <c r="Y93" s="390"/>
      <c r="Z93" s="390"/>
      <c r="AA93" s="390"/>
      <c r="AB93" s="390"/>
      <c r="AC93" s="390"/>
      <c r="AD93" s="390"/>
      <c r="AE93" s="390"/>
      <c r="AF93" s="390"/>
      <c r="AG93" s="390"/>
      <c r="AH93" s="390"/>
      <c r="AI93" s="390"/>
      <c r="AJ93" s="390"/>
      <c r="AK93" s="390"/>
      <c r="AL93" s="390"/>
      <c r="AM93" s="390"/>
      <c r="AN93" s="390"/>
      <c r="AO93" s="390"/>
      <c r="AP93" s="390"/>
      <c r="AQ93" s="390"/>
      <c r="AR93" s="390"/>
      <c r="AS93" s="390"/>
      <c r="AT93" s="390"/>
      <c r="AU93" s="390"/>
      <c r="AV93" s="390"/>
      <c r="AW93" s="390"/>
      <c r="AX93" s="390"/>
      <c r="AY93" s="390"/>
      <c r="AZ93" s="390"/>
      <c r="BA93" s="390"/>
      <c r="BB93" s="390"/>
      <c r="BC93" s="390"/>
      <c r="BD93" s="390"/>
      <c r="BE93" s="390"/>
      <c r="BF93" s="390"/>
      <c r="BG93" s="390"/>
      <c r="BH93" s="390"/>
      <c r="BI93" s="390"/>
      <c r="BJ93" s="390"/>
      <c r="BK93" s="390"/>
      <c r="BL93" s="390"/>
      <c r="BM93" s="390"/>
      <c r="BN93" s="390"/>
      <c r="BO93" s="390"/>
      <c r="BP93" s="390"/>
      <c r="BQ93" s="390"/>
      <c r="BR93" s="390"/>
      <c r="BS93" s="390"/>
      <c r="BT93" s="390"/>
      <c r="BU93" s="390"/>
      <c r="BV93" s="390"/>
      <c r="BW93" s="390"/>
      <c r="BX93" s="390"/>
      <c r="BY93" s="390"/>
      <c r="BZ93" s="390"/>
      <c r="CA93" s="390"/>
      <c r="CB93" s="390"/>
      <c r="CC93" s="390"/>
      <c r="CD93" s="390"/>
      <c r="CE93" s="390"/>
      <c r="CF93" s="390"/>
      <c r="CG93" s="390"/>
      <c r="CH93" s="390"/>
      <c r="CI93" s="390"/>
      <c r="CJ93" s="390"/>
      <c r="CK93" s="390"/>
      <c r="CL93" s="390"/>
      <c r="CM93" s="390"/>
      <c r="CN93" s="390"/>
      <c r="CO93" s="390"/>
      <c r="CP93" s="390"/>
      <c r="CQ93" s="390"/>
      <c r="CR93" s="390"/>
      <c r="CS93" s="390"/>
      <c r="CT93" s="390"/>
      <c r="CU93" s="390"/>
      <c r="CV93" s="390"/>
      <c r="CW93" s="390"/>
      <c r="CX93" s="390"/>
      <c r="CY93" s="390"/>
      <c r="CZ93" s="390"/>
      <c r="DA93" s="390"/>
      <c r="DB93" s="390"/>
      <c r="DC93" s="390"/>
      <c r="DD93" s="390"/>
      <c r="DE93" s="390"/>
      <c r="DF93" s="390"/>
      <c r="DG93" s="390"/>
      <c r="DH93" s="390"/>
      <c r="DI93" s="390"/>
      <c r="DJ93" s="390"/>
      <c r="DK93" s="390"/>
      <c r="DL93" s="390"/>
      <c r="DM93" s="390"/>
      <c r="DN93" s="390"/>
      <c r="DO93" s="390"/>
      <c r="DP93" s="390"/>
      <c r="DQ93" s="390"/>
      <c r="DR93" s="390"/>
      <c r="DS93" s="390"/>
      <c r="DT93" s="390"/>
      <c r="DU93" s="390"/>
      <c r="DV93" s="390">
        <v>1</v>
      </c>
      <c r="DW93" s="390"/>
      <c r="DX93" s="390"/>
      <c r="DY93" s="390"/>
      <c r="DZ93" s="390"/>
      <c r="EA93" s="390"/>
      <c r="EB93" s="390"/>
      <c r="EC93" s="390"/>
      <c r="ED93" s="390"/>
      <c r="EE93" s="390"/>
      <c r="EF93" s="390"/>
      <c r="EG93" s="390"/>
      <c r="EH93" s="390"/>
      <c r="EI93" s="390"/>
      <c r="EJ93" s="390"/>
      <c r="EK93" s="390"/>
      <c r="EL93" s="390"/>
      <c r="EM93" s="390"/>
      <c r="EN93" s="390"/>
      <c r="EO93" s="390"/>
      <c r="EP93" s="390"/>
      <c r="EQ93" s="390"/>
      <c r="ER93" s="390"/>
      <c r="ES93" s="390"/>
      <c r="ET93" s="390"/>
      <c r="EU93" s="390"/>
      <c r="EV93" s="390"/>
      <c r="EW93" s="390"/>
      <c r="EX93" s="390"/>
      <c r="EY93" s="390"/>
      <c r="EZ93" s="390"/>
      <c r="FA93" s="390"/>
      <c r="FB93" s="390"/>
      <c r="FC93" s="390"/>
      <c r="FD93" s="390"/>
      <c r="FE93" s="390"/>
      <c r="FF93" s="390"/>
      <c r="FG93" s="390"/>
      <c r="FH93" s="390"/>
      <c r="FI93" s="390"/>
      <c r="FJ93" s="390"/>
      <c r="FK93" s="390"/>
      <c r="FL93" s="390"/>
      <c r="FM93" s="390"/>
      <c r="FN93" s="390"/>
      <c r="FO93" s="390"/>
      <c r="FP93" s="390"/>
      <c r="FQ93" s="390"/>
      <c r="FR93" s="390"/>
      <c r="FS93" s="390"/>
      <c r="FT93" s="390"/>
      <c r="FU93" s="390"/>
      <c r="FV93" s="390"/>
      <c r="FW93" s="390"/>
      <c r="FX93" s="390"/>
      <c r="FY93" s="390"/>
      <c r="FZ93" s="390"/>
      <c r="GA93" s="390"/>
      <c r="GB93" s="390"/>
      <c r="GC93" s="390"/>
      <c r="GD93" s="390"/>
      <c r="GE93" s="390"/>
      <c r="GF93" s="390"/>
      <c r="GG93" s="390"/>
      <c r="GH93" s="390"/>
      <c r="GI93" s="390"/>
      <c r="GJ93" s="390"/>
      <c r="GK93" s="390"/>
      <c r="GL93" s="390"/>
      <c r="GM93" s="390"/>
      <c r="GN93" s="390"/>
      <c r="GO93" s="390"/>
      <c r="GP93" s="390"/>
      <c r="GQ93" s="390"/>
      <c r="GR93" s="390"/>
      <c r="GS93" s="390"/>
      <c r="GT93" s="390"/>
      <c r="GU93" s="390"/>
      <c r="GV93" s="390"/>
      <c r="GW93" s="1210"/>
      <c r="GX93" s="1210" t="s">
        <v>1325</v>
      </c>
      <c r="GY93" s="1210"/>
      <c r="GZ93" s="1183"/>
      <c r="HA93" s="1183"/>
      <c r="HB93" s="279" t="s">
        <v>1324</v>
      </c>
      <c r="HC93" s="178"/>
      <c r="HD93" s="178"/>
      <c r="HE93" s="178"/>
      <c r="HF93" s="178"/>
      <c r="HG93" s="178"/>
      <c r="HH93" s="178"/>
      <c r="HI93" s="178"/>
      <c r="HJ93" s="178"/>
      <c r="HK93" s="178"/>
      <c r="HL93" s="178"/>
      <c r="HM93" s="178"/>
      <c r="HN93" s="178"/>
      <c r="HO93" s="178"/>
      <c r="HP93" s="178"/>
      <c r="HQ93" s="178"/>
      <c r="HR93" s="178"/>
      <c r="HS93" s="178"/>
      <c r="HT93" s="178"/>
      <c r="HU93" s="178"/>
      <c r="HV93" s="178"/>
      <c r="HW93" s="178"/>
      <c r="HX93" s="178"/>
      <c r="HY93" s="178"/>
      <c r="HZ93" s="178"/>
      <c r="IA93" s="178"/>
      <c r="IB93" s="178"/>
      <c r="IC93" s="178"/>
      <c r="ID93" s="178"/>
      <c r="IE93" s="178"/>
      <c r="IF93" s="178"/>
      <c r="IG93" s="178"/>
      <c r="IH93" s="178"/>
      <c r="II93" s="178"/>
      <c r="IJ93" s="178"/>
      <c r="IK93" s="178"/>
      <c r="IL93" s="178"/>
      <c r="IM93" s="178"/>
      <c r="IN93" s="178"/>
      <c r="IO93" s="178"/>
      <c r="IP93" s="178"/>
      <c r="IQ93" s="178"/>
      <c r="IR93" s="178"/>
      <c r="IS93" s="178"/>
      <c r="IT93" s="178"/>
      <c r="IU93" s="178"/>
      <c r="IV93" s="178"/>
      <c r="IW93" s="178"/>
      <c r="IX93" s="178"/>
      <c r="IY93" s="178"/>
      <c r="IZ93" s="178"/>
      <c r="JA93" s="178"/>
      <c r="JB93" s="178"/>
      <c r="JC93" s="178"/>
      <c r="JD93" s="178"/>
      <c r="JE93" s="178"/>
      <c r="JF93" s="178"/>
      <c r="JG93" s="178"/>
      <c r="JH93" s="178"/>
      <c r="JI93" s="178"/>
      <c r="JJ93" s="178"/>
      <c r="JK93" s="178"/>
      <c r="JL93" s="178"/>
      <c r="JM93" s="178"/>
      <c r="JN93" s="178"/>
      <c r="JO93" s="178"/>
      <c r="JP93" s="178"/>
      <c r="JQ93" s="178"/>
      <c r="JR93" s="178"/>
      <c r="JS93" s="178"/>
      <c r="JT93" s="178"/>
      <c r="JU93" s="178"/>
      <c r="JV93" s="178"/>
      <c r="JW93" s="178"/>
      <c r="JX93" s="178"/>
      <c r="JY93" s="178"/>
      <c r="JZ93" s="178"/>
      <c r="KA93" s="178"/>
    </row>
    <row r="94" spans="1:287" s="360" customFormat="1" ht="52.5" hidden="1" customHeight="1">
      <c r="A94" s="754"/>
      <c r="B94" s="1617"/>
      <c r="C94" s="1202" t="s">
        <v>1339</v>
      </c>
      <c r="D94" s="755" t="s">
        <v>1341</v>
      </c>
      <c r="E94" s="861">
        <f t="shared" si="50"/>
        <v>1</v>
      </c>
      <c r="F94" s="858"/>
      <c r="G94" s="858"/>
      <c r="H94" s="858"/>
      <c r="I94" s="858"/>
      <c r="J94" s="858">
        <v>0</v>
      </c>
      <c r="K94" s="858">
        <v>0</v>
      </c>
      <c r="L94" s="858">
        <v>0</v>
      </c>
      <c r="M94" s="858">
        <f t="shared" si="54"/>
        <v>0</v>
      </c>
      <c r="N94" s="861">
        <f t="shared" si="55"/>
        <v>1</v>
      </c>
      <c r="O94" s="861">
        <f t="shared" si="56"/>
        <v>0</v>
      </c>
      <c r="P94" s="861">
        <f t="shared" si="57"/>
        <v>0</v>
      </c>
      <c r="Q94" s="861">
        <f t="shared" si="58"/>
        <v>0</v>
      </c>
      <c r="R94" s="861">
        <f t="shared" si="59"/>
        <v>0</v>
      </c>
      <c r="S94" s="861">
        <f t="shared" si="60"/>
        <v>0</v>
      </c>
      <c r="T94" s="861"/>
      <c r="U94" s="861"/>
      <c r="V94" s="738"/>
      <c r="W94" s="738"/>
      <c r="X94" s="738"/>
      <c r="Y94" s="738"/>
      <c r="Z94" s="738"/>
      <c r="AA94" s="738"/>
      <c r="AB94" s="738"/>
      <c r="AC94" s="738"/>
      <c r="AD94" s="738"/>
      <c r="AE94" s="738"/>
      <c r="AF94" s="738"/>
      <c r="AG94" s="738"/>
      <c r="AH94" s="738"/>
      <c r="AI94" s="738"/>
      <c r="AJ94" s="738"/>
      <c r="AK94" s="738"/>
      <c r="AL94" s="738"/>
      <c r="AM94" s="738"/>
      <c r="AN94" s="738"/>
      <c r="AO94" s="738"/>
      <c r="AP94" s="738"/>
      <c r="AQ94" s="738"/>
      <c r="AR94" s="738"/>
      <c r="AS94" s="738"/>
      <c r="AT94" s="738"/>
      <c r="AU94" s="738"/>
      <c r="AV94" s="738"/>
      <c r="AW94" s="738"/>
      <c r="AX94" s="738"/>
      <c r="AY94" s="738"/>
      <c r="AZ94" s="738"/>
      <c r="BA94" s="738"/>
      <c r="BB94" s="738"/>
      <c r="BC94" s="738"/>
      <c r="BD94" s="738"/>
      <c r="BE94" s="738"/>
      <c r="BF94" s="738"/>
      <c r="BG94" s="738"/>
      <c r="BH94" s="738"/>
      <c r="BI94" s="738"/>
      <c r="BJ94" s="738"/>
      <c r="BK94" s="738"/>
      <c r="BL94" s="738"/>
      <c r="BM94" s="738"/>
      <c r="BN94" s="738"/>
      <c r="BO94" s="738"/>
      <c r="BP94" s="738"/>
      <c r="BQ94" s="738"/>
      <c r="BR94" s="738"/>
      <c r="BS94" s="738"/>
      <c r="BT94" s="738"/>
      <c r="BU94" s="738"/>
      <c r="BV94" s="738"/>
      <c r="BW94" s="738"/>
      <c r="BX94" s="738"/>
      <c r="BY94" s="738"/>
      <c r="BZ94" s="738"/>
      <c r="CA94" s="738"/>
      <c r="CB94" s="738"/>
      <c r="CC94" s="738"/>
      <c r="CD94" s="738"/>
      <c r="CE94" s="738"/>
      <c r="CF94" s="738"/>
      <c r="CG94" s="738"/>
      <c r="CH94" s="738"/>
      <c r="CI94" s="738"/>
      <c r="CJ94" s="738"/>
      <c r="CK94" s="738"/>
      <c r="CL94" s="738"/>
      <c r="CM94" s="738"/>
      <c r="CN94" s="738"/>
      <c r="CO94" s="738"/>
      <c r="CP94" s="738"/>
      <c r="CQ94" s="738"/>
      <c r="CR94" s="738"/>
      <c r="CS94" s="738"/>
      <c r="CT94" s="738"/>
      <c r="CU94" s="738"/>
      <c r="CV94" s="738"/>
      <c r="CW94" s="738"/>
      <c r="CX94" s="738"/>
      <c r="CY94" s="738"/>
      <c r="CZ94" s="738"/>
      <c r="DA94" s="738"/>
      <c r="DB94" s="738"/>
      <c r="DC94" s="738"/>
      <c r="DD94" s="738"/>
      <c r="DE94" s="738"/>
      <c r="DF94" s="738"/>
      <c r="DG94" s="738"/>
      <c r="DH94" s="738"/>
      <c r="DI94" s="738"/>
      <c r="DJ94" s="738"/>
      <c r="DK94" s="738"/>
      <c r="DL94" s="738"/>
      <c r="DM94" s="738"/>
      <c r="DN94" s="738"/>
      <c r="DO94" s="738"/>
      <c r="DP94" s="738"/>
      <c r="DQ94" s="738"/>
      <c r="DR94" s="738"/>
      <c r="DS94" s="738"/>
      <c r="DT94" s="738"/>
      <c r="DU94" s="738"/>
      <c r="DV94" s="738"/>
      <c r="DW94" s="738"/>
      <c r="DX94" s="738"/>
      <c r="DY94" s="738"/>
      <c r="DZ94" s="738"/>
      <c r="EA94" s="738"/>
      <c r="EB94" s="738">
        <v>1</v>
      </c>
      <c r="EC94" s="738"/>
      <c r="ED94" s="738"/>
      <c r="EE94" s="738"/>
      <c r="EF94" s="738"/>
      <c r="EG94" s="738"/>
      <c r="EH94" s="738"/>
      <c r="EI94" s="738"/>
      <c r="EJ94" s="738"/>
      <c r="EK94" s="738"/>
      <c r="EL94" s="738"/>
      <c r="EM94" s="738"/>
      <c r="EN94" s="738"/>
      <c r="EO94" s="738"/>
      <c r="EP94" s="738"/>
      <c r="EQ94" s="738"/>
      <c r="ER94" s="738"/>
      <c r="ES94" s="738"/>
      <c r="ET94" s="738"/>
      <c r="EU94" s="738"/>
      <c r="EV94" s="738"/>
      <c r="EW94" s="738"/>
      <c r="EX94" s="738"/>
      <c r="EY94" s="738"/>
      <c r="EZ94" s="738"/>
      <c r="FA94" s="738"/>
      <c r="FB94" s="738"/>
      <c r="FC94" s="738"/>
      <c r="FD94" s="738"/>
      <c r="FE94" s="738"/>
      <c r="FF94" s="738"/>
      <c r="FG94" s="738"/>
      <c r="FH94" s="738"/>
      <c r="FI94" s="738"/>
      <c r="FJ94" s="738"/>
      <c r="FK94" s="738"/>
      <c r="FL94" s="738"/>
      <c r="FM94" s="738"/>
      <c r="FN94" s="738"/>
      <c r="FO94" s="738"/>
      <c r="FP94" s="738"/>
      <c r="FQ94" s="738"/>
      <c r="FR94" s="738"/>
      <c r="FS94" s="738"/>
      <c r="FT94" s="738"/>
      <c r="FU94" s="738"/>
      <c r="FV94" s="738"/>
      <c r="FW94" s="738"/>
      <c r="FX94" s="738"/>
      <c r="FY94" s="738"/>
      <c r="FZ94" s="738"/>
      <c r="GA94" s="738"/>
      <c r="GB94" s="738"/>
      <c r="GC94" s="738"/>
      <c r="GD94" s="738"/>
      <c r="GE94" s="738"/>
      <c r="GF94" s="738"/>
      <c r="GG94" s="738"/>
      <c r="GH94" s="738"/>
      <c r="GI94" s="738"/>
      <c r="GJ94" s="738"/>
      <c r="GK94" s="738"/>
      <c r="GL94" s="738"/>
      <c r="GM94" s="738"/>
      <c r="GN94" s="738"/>
      <c r="GO94" s="738"/>
      <c r="GP94" s="738"/>
      <c r="GQ94" s="738"/>
      <c r="GR94" s="738"/>
      <c r="GS94" s="738"/>
      <c r="GT94" s="738"/>
      <c r="GU94" s="738"/>
      <c r="GV94" s="738"/>
      <c r="GW94" s="921"/>
      <c r="GX94" s="921" t="s">
        <v>1342</v>
      </c>
      <c r="GY94" s="921"/>
      <c r="GZ94" s="889"/>
      <c r="HA94" s="889"/>
      <c r="HB94" s="864" t="s">
        <v>1343</v>
      </c>
      <c r="HC94" s="178"/>
      <c r="HD94" s="178"/>
      <c r="HE94" s="178"/>
      <c r="HF94" s="178"/>
      <c r="HG94" s="178"/>
      <c r="HH94" s="178"/>
      <c r="HI94" s="178"/>
      <c r="HJ94" s="178"/>
      <c r="HK94" s="178"/>
      <c r="HL94" s="178"/>
      <c r="HM94" s="178"/>
      <c r="HN94" s="178"/>
      <c r="HO94" s="178"/>
      <c r="HP94" s="178"/>
      <c r="HQ94" s="178"/>
      <c r="HR94" s="178"/>
      <c r="HS94" s="178"/>
      <c r="HT94" s="178"/>
      <c r="HU94" s="178"/>
      <c r="HV94" s="178"/>
      <c r="HW94" s="178"/>
      <c r="HX94" s="178"/>
      <c r="HY94" s="178"/>
      <c r="HZ94" s="178"/>
      <c r="IA94" s="178"/>
      <c r="IB94" s="178"/>
      <c r="IC94" s="178"/>
      <c r="ID94" s="178"/>
      <c r="IE94" s="178"/>
      <c r="IF94" s="178"/>
      <c r="IG94" s="178"/>
      <c r="IH94" s="178"/>
      <c r="II94" s="178"/>
      <c r="IJ94" s="178"/>
      <c r="IK94" s="178"/>
      <c r="IL94" s="178"/>
      <c r="IM94" s="178"/>
      <c r="IN94" s="178"/>
      <c r="IO94" s="178"/>
      <c r="IP94" s="178"/>
      <c r="IQ94" s="178"/>
      <c r="IR94" s="178"/>
      <c r="IS94" s="178"/>
      <c r="IT94" s="178"/>
      <c r="IU94" s="178"/>
      <c r="IV94" s="178"/>
      <c r="IW94" s="178"/>
      <c r="IX94" s="178"/>
      <c r="IY94" s="178"/>
      <c r="IZ94" s="178"/>
      <c r="JA94" s="178"/>
      <c r="JB94" s="178"/>
      <c r="JC94" s="178"/>
      <c r="JD94" s="178"/>
      <c r="JE94" s="178"/>
      <c r="JF94" s="178"/>
      <c r="JG94" s="178"/>
      <c r="JH94" s="178"/>
      <c r="JI94" s="178"/>
      <c r="JJ94" s="178"/>
      <c r="JK94" s="178"/>
      <c r="JL94" s="178"/>
      <c r="JM94" s="178"/>
      <c r="JN94" s="178"/>
      <c r="JO94" s="178"/>
      <c r="JP94" s="178"/>
      <c r="JQ94" s="178"/>
      <c r="JR94" s="178"/>
      <c r="JS94" s="178"/>
      <c r="JT94" s="178"/>
      <c r="JU94" s="178"/>
      <c r="JV94" s="178"/>
      <c r="JW94" s="178"/>
      <c r="JX94" s="178"/>
      <c r="JY94" s="178"/>
      <c r="JZ94" s="178"/>
      <c r="KA94" s="178"/>
    </row>
    <row r="95" spans="1:287" s="361" customFormat="1" ht="156" hidden="1" customHeight="1">
      <c r="A95" s="217">
        <v>31</v>
      </c>
      <c r="B95" s="1617"/>
      <c r="C95" s="1202" t="s">
        <v>843</v>
      </c>
      <c r="D95" s="1368" t="s">
        <v>1401</v>
      </c>
      <c r="E95" s="861">
        <f t="shared" si="50"/>
        <v>1</v>
      </c>
      <c r="F95" s="379">
        <v>0</v>
      </c>
      <c r="G95" s="379">
        <v>0</v>
      </c>
      <c r="H95" s="379">
        <v>0</v>
      </c>
      <c r="I95" s="858">
        <v>0</v>
      </c>
      <c r="J95" s="858">
        <f t="shared" si="51"/>
        <v>0</v>
      </c>
      <c r="K95" s="858">
        <f t="shared" si="52"/>
        <v>0</v>
      </c>
      <c r="L95" s="858">
        <f t="shared" si="53"/>
        <v>0</v>
      </c>
      <c r="M95" s="379">
        <f t="shared" si="54"/>
        <v>0</v>
      </c>
      <c r="N95" s="861">
        <f t="shared" si="55"/>
        <v>0</v>
      </c>
      <c r="O95" s="861">
        <f t="shared" si="56"/>
        <v>1</v>
      </c>
      <c r="P95" s="861">
        <f t="shared" si="57"/>
        <v>0</v>
      </c>
      <c r="Q95" s="861">
        <f t="shared" si="58"/>
        <v>0</v>
      </c>
      <c r="R95" s="861">
        <f t="shared" si="59"/>
        <v>0</v>
      </c>
      <c r="S95" s="861">
        <f t="shared" si="60"/>
        <v>0</v>
      </c>
      <c r="T95" s="861"/>
      <c r="U95" s="861"/>
      <c r="V95" s="1208"/>
      <c r="W95" s="1208"/>
      <c r="X95" s="1208"/>
      <c r="Y95" s="1208"/>
      <c r="Z95" s="1208"/>
      <c r="AA95" s="1208"/>
      <c r="AB95" s="1208"/>
      <c r="AC95" s="1208"/>
      <c r="AD95" s="1208"/>
      <c r="AE95" s="1208"/>
      <c r="AF95" s="1208"/>
      <c r="AG95" s="1208"/>
      <c r="AH95" s="1208"/>
      <c r="AI95" s="1208"/>
      <c r="AJ95" s="1208"/>
      <c r="AK95" s="1208"/>
      <c r="AL95" s="1208"/>
      <c r="AM95" s="1208"/>
      <c r="AN95" s="1208"/>
      <c r="AO95" s="1208"/>
      <c r="AP95" s="1208"/>
      <c r="AQ95" s="1208"/>
      <c r="AR95" s="1208"/>
      <c r="AS95" s="1208"/>
      <c r="AT95" s="1208"/>
      <c r="AU95" s="1208"/>
      <c r="AV95" s="1208"/>
      <c r="AW95" s="1208"/>
      <c r="AX95" s="1208"/>
      <c r="AY95" s="1208"/>
      <c r="AZ95" s="1208"/>
      <c r="BA95" s="1208"/>
      <c r="BB95" s="1208"/>
      <c r="BC95" s="1208"/>
      <c r="BD95" s="1208"/>
      <c r="BE95" s="1208"/>
      <c r="BF95" s="1208"/>
      <c r="BG95" s="1208"/>
      <c r="BH95" s="1208"/>
      <c r="BI95" s="1208"/>
      <c r="BJ95" s="1208"/>
      <c r="BK95" s="1208"/>
      <c r="BL95" s="1208"/>
      <c r="BM95" s="1208"/>
      <c r="BN95" s="1208"/>
      <c r="BO95" s="1208"/>
      <c r="BP95" s="1208"/>
      <c r="BQ95" s="1208"/>
      <c r="BR95" s="1208"/>
      <c r="BS95" s="1208"/>
      <c r="BT95" s="1208"/>
      <c r="BU95" s="1208"/>
      <c r="BV95" s="1208"/>
      <c r="BW95" s="1208"/>
      <c r="BX95" s="1208"/>
      <c r="BY95" s="1208"/>
      <c r="BZ95" s="1208"/>
      <c r="CA95" s="1208"/>
      <c r="CB95" s="1208"/>
      <c r="CC95" s="1208"/>
      <c r="CD95" s="1208"/>
      <c r="CE95" s="1208"/>
      <c r="CF95" s="1208"/>
      <c r="CG95" s="1208"/>
      <c r="CH95" s="1208"/>
      <c r="CI95" s="1208"/>
      <c r="CJ95" s="1208"/>
      <c r="CK95" s="1208"/>
      <c r="CL95" s="1208"/>
      <c r="CM95" s="1208"/>
      <c r="CN95" s="1208"/>
      <c r="CO95" s="1208"/>
      <c r="CP95" s="1208"/>
      <c r="CQ95" s="1208"/>
      <c r="CR95" s="1208"/>
      <c r="CS95" s="1208"/>
      <c r="CT95" s="1208"/>
      <c r="CU95" s="1208"/>
      <c r="CV95" s="1208"/>
      <c r="CW95" s="1208"/>
      <c r="CX95" s="1208"/>
      <c r="CY95" s="1208"/>
      <c r="CZ95" s="1208"/>
      <c r="DA95" s="1208"/>
      <c r="DB95" s="1208"/>
      <c r="DC95" s="1208"/>
      <c r="DD95" s="1208"/>
      <c r="DE95" s="1208"/>
      <c r="DF95" s="1208"/>
      <c r="DG95" s="1208"/>
      <c r="DH95" s="1208"/>
      <c r="DI95" s="1208"/>
      <c r="DJ95" s="1208"/>
      <c r="DK95" s="1208"/>
      <c r="DL95" s="1208"/>
      <c r="DM95" s="1208"/>
      <c r="DN95" s="1208"/>
      <c r="DO95" s="1208"/>
      <c r="DP95" s="1208"/>
      <c r="DQ95" s="1208"/>
      <c r="DR95" s="1208"/>
      <c r="DS95" s="1208"/>
      <c r="DT95" s="1208"/>
      <c r="DU95" s="1208"/>
      <c r="DV95" s="1208"/>
      <c r="DW95" s="1208"/>
      <c r="DX95" s="1208"/>
      <c r="DY95" s="1208"/>
      <c r="DZ95" s="1208"/>
      <c r="EA95" s="1208"/>
      <c r="EB95" s="1208"/>
      <c r="EC95" s="1208"/>
      <c r="ED95" s="1208"/>
      <c r="EE95" s="1208"/>
      <c r="EF95" s="1208"/>
      <c r="EG95" s="1208"/>
      <c r="EH95" s="1208"/>
      <c r="EI95" s="1208"/>
      <c r="EJ95" s="1208"/>
      <c r="EK95" s="1208"/>
      <c r="EL95" s="1208"/>
      <c r="EM95" s="1208"/>
      <c r="EN95" s="1208"/>
      <c r="EO95" s="1208"/>
      <c r="EP95" s="1208"/>
      <c r="EQ95" s="1208"/>
      <c r="ER95" s="1208"/>
      <c r="ES95" s="1208"/>
      <c r="ET95" s="1208"/>
      <c r="EU95" s="1208"/>
      <c r="EV95" s="1208"/>
      <c r="EW95" s="1208"/>
      <c r="EX95" s="1208"/>
      <c r="EY95" s="1208"/>
      <c r="EZ95" s="1208"/>
      <c r="FA95" s="1208"/>
      <c r="FB95" s="1208"/>
      <c r="FC95" s="1208"/>
      <c r="FD95" s="1208"/>
      <c r="FE95" s="1208"/>
      <c r="FF95" s="1208"/>
      <c r="FG95" s="1208">
        <v>1</v>
      </c>
      <c r="FH95" s="1208"/>
      <c r="FI95" s="1208"/>
      <c r="FJ95" s="1208"/>
      <c r="FK95" s="1208"/>
      <c r="FL95" s="1208"/>
      <c r="FM95" s="1208"/>
      <c r="FN95" s="1208"/>
      <c r="FO95" s="1208"/>
      <c r="FP95" s="1208"/>
      <c r="FQ95" s="1208"/>
      <c r="FR95" s="1208"/>
      <c r="FS95" s="1208"/>
      <c r="FT95" s="1208"/>
      <c r="FU95" s="1208"/>
      <c r="FV95" s="1208"/>
      <c r="FW95" s="1208"/>
      <c r="FX95" s="1208"/>
      <c r="FY95" s="1208"/>
      <c r="FZ95" s="1208"/>
      <c r="GA95" s="1208"/>
      <c r="GB95" s="1208"/>
      <c r="GC95" s="1208"/>
      <c r="GD95" s="1208"/>
      <c r="GE95" s="1208"/>
      <c r="GF95" s="1208"/>
      <c r="GG95" s="1208"/>
      <c r="GH95" s="1208"/>
      <c r="GI95" s="1208"/>
      <c r="GJ95" s="1208"/>
      <c r="GK95" s="1208"/>
      <c r="GL95" s="1208"/>
      <c r="GM95" s="1208"/>
      <c r="GN95" s="1208"/>
      <c r="GO95" s="1208"/>
      <c r="GP95" s="1208"/>
      <c r="GQ95" s="1208"/>
      <c r="GR95" s="1208"/>
      <c r="GS95" s="1208"/>
      <c r="GT95" s="1208"/>
      <c r="GU95" s="1208"/>
      <c r="GV95" s="1208"/>
      <c r="GW95" s="865" t="s">
        <v>887</v>
      </c>
      <c r="GX95" s="865" t="s">
        <v>877</v>
      </c>
      <c r="GY95" s="755" t="s">
        <v>888</v>
      </c>
      <c r="GZ95" s="987"/>
      <c r="HA95" s="1374" t="s">
        <v>872</v>
      </c>
      <c r="HB95" s="753" t="s">
        <v>847</v>
      </c>
      <c r="HC95" s="403"/>
      <c r="HD95" s="403"/>
      <c r="HE95" s="403"/>
      <c r="HF95" s="403"/>
      <c r="HG95" s="403"/>
      <c r="HH95" s="403"/>
      <c r="HI95" s="403"/>
      <c r="HJ95" s="403"/>
      <c r="HK95" s="403"/>
      <c r="HL95" s="403"/>
      <c r="HM95" s="403"/>
      <c r="HN95" s="403"/>
      <c r="HO95" s="403"/>
      <c r="HP95" s="403"/>
      <c r="HQ95" s="403"/>
      <c r="HR95" s="403"/>
      <c r="HS95" s="403"/>
      <c r="HT95" s="403"/>
      <c r="HU95" s="403"/>
      <c r="HV95" s="403"/>
      <c r="HW95" s="403"/>
      <c r="HX95" s="403"/>
      <c r="HY95" s="403"/>
      <c r="HZ95" s="403"/>
      <c r="IA95" s="403"/>
      <c r="IB95" s="403"/>
      <c r="IC95" s="403"/>
      <c r="ID95" s="403"/>
      <c r="IE95" s="403"/>
      <c r="IF95" s="403"/>
      <c r="IG95" s="403"/>
      <c r="IH95" s="403"/>
      <c r="II95" s="403"/>
      <c r="IJ95" s="403"/>
      <c r="IK95" s="403"/>
      <c r="IL95" s="403"/>
      <c r="IM95" s="403"/>
      <c r="IN95" s="403"/>
      <c r="IO95" s="403"/>
      <c r="IP95" s="403"/>
      <c r="IQ95" s="403"/>
      <c r="IR95" s="403"/>
      <c r="IS95" s="403"/>
      <c r="IT95" s="403"/>
      <c r="IU95" s="403"/>
      <c r="IV95" s="403"/>
      <c r="IW95" s="403"/>
      <c r="IX95" s="403"/>
      <c r="IY95" s="403"/>
      <c r="IZ95" s="403"/>
      <c r="JA95" s="403"/>
      <c r="JB95" s="403"/>
      <c r="JC95" s="403"/>
      <c r="JD95" s="403"/>
      <c r="JE95" s="403"/>
      <c r="JF95" s="403"/>
      <c r="JG95" s="403"/>
      <c r="JH95" s="403"/>
      <c r="JI95" s="403"/>
      <c r="JJ95" s="403"/>
      <c r="JK95" s="403"/>
      <c r="JL95" s="403"/>
      <c r="JM95" s="403"/>
      <c r="JN95" s="403"/>
      <c r="JO95" s="403"/>
      <c r="JP95" s="403"/>
      <c r="JQ95" s="403"/>
      <c r="JR95" s="403"/>
      <c r="JS95" s="403"/>
      <c r="JT95" s="403"/>
      <c r="JU95" s="403"/>
      <c r="JV95" s="403"/>
      <c r="JW95" s="403"/>
      <c r="JX95" s="403"/>
      <c r="JY95" s="403"/>
      <c r="JZ95" s="403"/>
      <c r="KA95" s="403"/>
    </row>
    <row r="96" spans="1:287" s="361" customFormat="1" ht="156" hidden="1" customHeight="1">
      <c r="A96" s="818"/>
      <c r="B96" s="1228" t="s">
        <v>1334</v>
      </c>
      <c r="C96" s="818" t="s">
        <v>1335</v>
      </c>
      <c r="D96" s="1219" t="s">
        <v>1338</v>
      </c>
      <c r="E96" s="861">
        <f t="shared" si="50"/>
        <v>4</v>
      </c>
      <c r="F96" s="858"/>
      <c r="G96" s="858"/>
      <c r="H96" s="858"/>
      <c r="I96" s="858"/>
      <c r="J96" s="861">
        <v>0</v>
      </c>
      <c r="K96" s="861">
        <v>0</v>
      </c>
      <c r="L96" s="861">
        <v>0</v>
      </c>
      <c r="M96" s="861">
        <v>0</v>
      </c>
      <c r="N96" s="861">
        <f t="shared" si="55"/>
        <v>4</v>
      </c>
      <c r="O96" s="861">
        <f t="shared" si="56"/>
        <v>0</v>
      </c>
      <c r="P96" s="861">
        <f t="shared" si="57"/>
        <v>0</v>
      </c>
      <c r="Q96" s="861">
        <f t="shared" si="58"/>
        <v>0</v>
      </c>
      <c r="R96" s="861">
        <f t="shared" si="59"/>
        <v>0</v>
      </c>
      <c r="S96" s="861">
        <f t="shared" si="60"/>
        <v>0</v>
      </c>
      <c r="T96" s="861"/>
      <c r="U96" s="861"/>
      <c r="V96" s="859"/>
      <c r="W96" s="859"/>
      <c r="X96" s="859"/>
      <c r="Y96" s="859"/>
      <c r="Z96" s="859"/>
      <c r="AA96" s="859"/>
      <c r="AB96" s="859"/>
      <c r="AC96" s="859"/>
      <c r="AD96" s="859"/>
      <c r="AE96" s="859"/>
      <c r="AF96" s="859"/>
      <c r="AG96" s="859"/>
      <c r="AH96" s="859"/>
      <c r="AI96" s="859"/>
      <c r="AJ96" s="859"/>
      <c r="AK96" s="859"/>
      <c r="AL96" s="859"/>
      <c r="AM96" s="859"/>
      <c r="AN96" s="859"/>
      <c r="AO96" s="859"/>
      <c r="AP96" s="859"/>
      <c r="AQ96" s="859"/>
      <c r="AR96" s="859"/>
      <c r="AS96" s="859"/>
      <c r="AT96" s="859"/>
      <c r="AU96" s="859"/>
      <c r="AV96" s="859"/>
      <c r="AW96" s="859"/>
      <c r="AX96" s="859"/>
      <c r="AY96" s="859"/>
      <c r="AZ96" s="859"/>
      <c r="BA96" s="859"/>
      <c r="BB96" s="859"/>
      <c r="BC96" s="859"/>
      <c r="BD96" s="859"/>
      <c r="BE96" s="859"/>
      <c r="BF96" s="859"/>
      <c r="BG96" s="859"/>
      <c r="BH96" s="859"/>
      <c r="BI96" s="859"/>
      <c r="BJ96" s="859"/>
      <c r="BK96" s="859"/>
      <c r="BL96" s="859"/>
      <c r="BM96" s="859"/>
      <c r="BN96" s="859"/>
      <c r="BO96" s="859"/>
      <c r="BP96" s="859"/>
      <c r="BQ96" s="859"/>
      <c r="BR96" s="859"/>
      <c r="BS96" s="859"/>
      <c r="BT96" s="859"/>
      <c r="BU96" s="859"/>
      <c r="BV96" s="859"/>
      <c r="BW96" s="859"/>
      <c r="BX96" s="859"/>
      <c r="BY96" s="859"/>
      <c r="BZ96" s="859"/>
      <c r="CA96" s="859"/>
      <c r="CB96" s="859"/>
      <c r="CC96" s="859"/>
      <c r="CD96" s="859"/>
      <c r="CE96" s="859"/>
      <c r="CF96" s="859"/>
      <c r="CG96" s="859"/>
      <c r="CH96" s="859"/>
      <c r="CI96" s="859"/>
      <c r="CJ96" s="859"/>
      <c r="CK96" s="859"/>
      <c r="CL96" s="859"/>
      <c r="CM96" s="859"/>
      <c r="CN96" s="859"/>
      <c r="CO96" s="859"/>
      <c r="CP96" s="859"/>
      <c r="CQ96" s="859"/>
      <c r="CR96" s="859"/>
      <c r="CS96" s="859"/>
      <c r="CT96" s="859"/>
      <c r="CU96" s="859"/>
      <c r="CV96" s="859"/>
      <c r="CW96" s="859"/>
      <c r="CX96" s="859"/>
      <c r="CY96" s="859"/>
      <c r="CZ96" s="859"/>
      <c r="DA96" s="859"/>
      <c r="DB96" s="859"/>
      <c r="DC96" s="859"/>
      <c r="DD96" s="859"/>
      <c r="DE96" s="859"/>
      <c r="DF96" s="859"/>
      <c r="DG96" s="859"/>
      <c r="DH96" s="859"/>
      <c r="DI96" s="859"/>
      <c r="DJ96" s="859"/>
      <c r="DK96" s="859"/>
      <c r="DL96" s="859"/>
      <c r="DM96" s="859"/>
      <c r="DN96" s="859"/>
      <c r="DO96" s="859"/>
      <c r="DP96" s="859"/>
      <c r="DQ96" s="859"/>
      <c r="DR96" s="859"/>
      <c r="DS96" s="859"/>
      <c r="DT96" s="859"/>
      <c r="DU96" s="859"/>
      <c r="DV96" s="859"/>
      <c r="DW96" s="859"/>
      <c r="DX96" s="859"/>
      <c r="DY96" s="859"/>
      <c r="DZ96" s="884">
        <v>3</v>
      </c>
      <c r="EA96" s="884">
        <v>1</v>
      </c>
      <c r="EB96" s="884"/>
      <c r="EC96" s="884"/>
      <c r="ED96" s="884"/>
      <c r="EE96" s="884"/>
      <c r="EF96" s="884"/>
      <c r="EG96" s="884"/>
      <c r="EH96" s="884"/>
      <c r="EI96" s="884"/>
      <c r="EJ96" s="884"/>
      <c r="EK96" s="884"/>
      <c r="EL96" s="884"/>
      <c r="EM96" s="884"/>
      <c r="EN96" s="884"/>
      <c r="EO96" s="884"/>
      <c r="EP96" s="884"/>
      <c r="EQ96" s="884"/>
      <c r="ER96" s="884"/>
      <c r="ES96" s="884"/>
      <c r="ET96" s="884"/>
      <c r="EU96" s="884"/>
      <c r="EV96" s="884"/>
      <c r="EW96" s="884"/>
      <c r="EX96" s="884"/>
      <c r="EY96" s="884"/>
      <c r="EZ96" s="884"/>
      <c r="FA96" s="884"/>
      <c r="FB96" s="884"/>
      <c r="FC96" s="884"/>
      <c r="FD96" s="884"/>
      <c r="FE96" s="884"/>
      <c r="FF96" s="884"/>
      <c r="FG96" s="884"/>
      <c r="FH96" s="884"/>
      <c r="FI96" s="884"/>
      <c r="FJ96" s="884"/>
      <c r="FK96" s="884"/>
      <c r="FL96" s="884"/>
      <c r="FM96" s="884"/>
      <c r="FN96" s="884"/>
      <c r="FO96" s="884"/>
      <c r="FP96" s="884"/>
      <c r="FQ96" s="884"/>
      <c r="FR96" s="884"/>
      <c r="FS96" s="884"/>
      <c r="FT96" s="884"/>
      <c r="FU96" s="884"/>
      <c r="FV96" s="884"/>
      <c r="FW96" s="884"/>
      <c r="FX96" s="884"/>
      <c r="FY96" s="884"/>
      <c r="FZ96" s="884"/>
      <c r="GA96" s="884"/>
      <c r="GB96" s="884"/>
      <c r="GC96" s="884"/>
      <c r="GD96" s="884"/>
      <c r="GE96" s="884"/>
      <c r="GF96" s="884"/>
      <c r="GG96" s="884"/>
      <c r="GH96" s="884"/>
      <c r="GI96" s="884"/>
      <c r="GJ96" s="884"/>
      <c r="GK96" s="884"/>
      <c r="GL96" s="884"/>
      <c r="GM96" s="884"/>
      <c r="GN96" s="884"/>
      <c r="GO96" s="884"/>
      <c r="GP96" s="884"/>
      <c r="GQ96" s="884"/>
      <c r="GR96" s="859"/>
      <c r="GS96" s="859"/>
      <c r="GT96" s="859"/>
      <c r="GU96" s="859"/>
      <c r="GV96" s="859"/>
      <c r="GW96" s="1231"/>
      <c r="GX96" s="1231" t="s">
        <v>1337</v>
      </c>
      <c r="GY96" s="780"/>
      <c r="GZ96" s="1031"/>
      <c r="HA96" s="1032"/>
      <c r="HB96" s="1137" t="s">
        <v>1336</v>
      </c>
      <c r="HC96" s="403"/>
      <c r="HD96" s="403"/>
      <c r="HE96" s="403"/>
      <c r="HF96" s="403"/>
      <c r="HG96" s="403"/>
      <c r="HH96" s="403"/>
      <c r="HI96" s="403"/>
      <c r="HJ96" s="403"/>
      <c r="HK96" s="403"/>
      <c r="HL96" s="403"/>
      <c r="HM96" s="403"/>
      <c r="HN96" s="403"/>
      <c r="HO96" s="403"/>
      <c r="HP96" s="403"/>
      <c r="HQ96" s="403"/>
      <c r="HR96" s="403"/>
      <c r="HS96" s="403"/>
      <c r="HT96" s="403"/>
      <c r="HU96" s="403"/>
      <c r="HV96" s="403"/>
      <c r="HW96" s="403"/>
      <c r="HX96" s="403"/>
      <c r="HY96" s="403"/>
      <c r="HZ96" s="403"/>
      <c r="IA96" s="403"/>
      <c r="IB96" s="403"/>
      <c r="IC96" s="403"/>
      <c r="ID96" s="403"/>
      <c r="IE96" s="403"/>
      <c r="IF96" s="403"/>
      <c r="IG96" s="403"/>
      <c r="IH96" s="403"/>
      <c r="II96" s="403"/>
      <c r="IJ96" s="403"/>
      <c r="IK96" s="403"/>
      <c r="IL96" s="403"/>
      <c r="IM96" s="403"/>
      <c r="IN96" s="403"/>
      <c r="IO96" s="403"/>
      <c r="IP96" s="403"/>
      <c r="IQ96" s="403"/>
      <c r="IR96" s="403"/>
      <c r="IS96" s="403"/>
      <c r="IT96" s="403"/>
      <c r="IU96" s="403"/>
      <c r="IV96" s="403"/>
      <c r="IW96" s="403"/>
      <c r="IX96" s="403"/>
      <c r="IY96" s="403"/>
      <c r="IZ96" s="403"/>
      <c r="JA96" s="403"/>
      <c r="JB96" s="403"/>
      <c r="JC96" s="403"/>
      <c r="JD96" s="403"/>
      <c r="JE96" s="403"/>
      <c r="JF96" s="403"/>
      <c r="JG96" s="403"/>
      <c r="JH96" s="403"/>
      <c r="JI96" s="403"/>
      <c r="JJ96" s="403"/>
      <c r="JK96" s="403"/>
      <c r="JL96" s="403"/>
      <c r="JM96" s="403"/>
      <c r="JN96" s="403"/>
      <c r="JO96" s="403"/>
      <c r="JP96" s="403"/>
      <c r="JQ96" s="403"/>
      <c r="JR96" s="403"/>
      <c r="JS96" s="403"/>
      <c r="JT96" s="403"/>
      <c r="JU96" s="403"/>
      <c r="JV96" s="403"/>
      <c r="JW96" s="403"/>
      <c r="JX96" s="403"/>
      <c r="JY96" s="403"/>
      <c r="JZ96" s="403"/>
      <c r="KA96" s="403"/>
    </row>
    <row r="97" spans="1:287" s="361" customFormat="1" ht="156" hidden="1" customHeight="1">
      <c r="A97" s="754"/>
      <c r="B97" s="1209" t="s">
        <v>1348</v>
      </c>
      <c r="C97" s="754" t="s">
        <v>1349</v>
      </c>
      <c r="D97" s="1241" t="s">
        <v>1351</v>
      </c>
      <c r="E97" s="861">
        <f t="shared" si="50"/>
        <v>3</v>
      </c>
      <c r="F97" s="1229"/>
      <c r="G97" s="861"/>
      <c r="H97" s="861"/>
      <c r="I97" s="1243"/>
      <c r="J97" s="858">
        <v>0</v>
      </c>
      <c r="K97" s="858">
        <v>0</v>
      </c>
      <c r="L97" s="858">
        <v>0</v>
      </c>
      <c r="M97" s="858">
        <v>0</v>
      </c>
      <c r="N97" s="861">
        <f t="shared" si="55"/>
        <v>3</v>
      </c>
      <c r="O97" s="861">
        <f t="shared" si="56"/>
        <v>0</v>
      </c>
      <c r="P97" s="861">
        <f t="shared" si="57"/>
        <v>0</v>
      </c>
      <c r="Q97" s="861">
        <f t="shared" si="58"/>
        <v>0</v>
      </c>
      <c r="R97" s="861">
        <f t="shared" si="59"/>
        <v>0</v>
      </c>
      <c r="S97" s="861">
        <f t="shared" si="60"/>
        <v>0</v>
      </c>
      <c r="T97" s="861"/>
      <c r="U97" s="861"/>
      <c r="V97" s="1230"/>
      <c r="W97" s="859"/>
      <c r="X97" s="859"/>
      <c r="Y97" s="859"/>
      <c r="Z97" s="859"/>
      <c r="AA97" s="859"/>
      <c r="AB97" s="859"/>
      <c r="AC97" s="859"/>
      <c r="AD97" s="859"/>
      <c r="AE97" s="859"/>
      <c r="AF97" s="859"/>
      <c r="AG97" s="859"/>
      <c r="AH97" s="859"/>
      <c r="AI97" s="859"/>
      <c r="AJ97" s="859"/>
      <c r="AK97" s="859"/>
      <c r="AL97" s="859"/>
      <c r="AM97" s="859"/>
      <c r="AN97" s="859"/>
      <c r="AO97" s="859"/>
      <c r="AP97" s="859"/>
      <c r="AQ97" s="859"/>
      <c r="AR97" s="859"/>
      <c r="AS97" s="859"/>
      <c r="AT97" s="859"/>
      <c r="AU97" s="859"/>
      <c r="AV97" s="859"/>
      <c r="AW97" s="859"/>
      <c r="AX97" s="859"/>
      <c r="AY97" s="859"/>
      <c r="AZ97" s="859"/>
      <c r="BA97" s="859"/>
      <c r="BB97" s="859"/>
      <c r="BC97" s="859"/>
      <c r="BD97" s="859"/>
      <c r="BE97" s="859"/>
      <c r="BF97" s="859"/>
      <c r="BG97" s="859"/>
      <c r="BH97" s="859"/>
      <c r="BI97" s="859"/>
      <c r="BJ97" s="859"/>
      <c r="BK97" s="859"/>
      <c r="BL97" s="859"/>
      <c r="BM97" s="859"/>
      <c r="BN97" s="859"/>
      <c r="BO97" s="859"/>
      <c r="BP97" s="859"/>
      <c r="BQ97" s="859"/>
      <c r="BR97" s="859"/>
      <c r="BS97" s="859"/>
      <c r="BT97" s="859"/>
      <c r="BU97" s="859"/>
      <c r="BV97" s="859"/>
      <c r="BW97" s="859"/>
      <c r="BX97" s="859"/>
      <c r="BY97" s="859"/>
      <c r="BZ97" s="859"/>
      <c r="CA97" s="859"/>
      <c r="CB97" s="859"/>
      <c r="CC97" s="859"/>
      <c r="CD97" s="859"/>
      <c r="CE97" s="859"/>
      <c r="CF97" s="859"/>
      <c r="CG97" s="859"/>
      <c r="CH97" s="859"/>
      <c r="CI97" s="859"/>
      <c r="CJ97" s="859"/>
      <c r="CK97" s="859"/>
      <c r="CL97" s="859"/>
      <c r="CM97" s="859"/>
      <c r="CN97" s="859"/>
      <c r="CO97" s="859"/>
      <c r="CP97" s="859"/>
      <c r="CQ97" s="859"/>
      <c r="CR97" s="859"/>
      <c r="CS97" s="859"/>
      <c r="CT97" s="859"/>
      <c r="CU97" s="859"/>
      <c r="CV97" s="859"/>
      <c r="CW97" s="859"/>
      <c r="CX97" s="859"/>
      <c r="CY97" s="859"/>
      <c r="CZ97" s="859"/>
      <c r="DA97" s="859"/>
      <c r="DB97" s="859"/>
      <c r="DC97" s="859"/>
      <c r="DD97" s="859"/>
      <c r="DE97" s="859"/>
      <c r="DF97" s="859"/>
      <c r="DG97" s="859"/>
      <c r="DH97" s="859"/>
      <c r="DI97" s="859"/>
      <c r="DJ97" s="859"/>
      <c r="DK97" s="859"/>
      <c r="DL97" s="859"/>
      <c r="DM97" s="859"/>
      <c r="DN97" s="859"/>
      <c r="DO97" s="859"/>
      <c r="DP97" s="859"/>
      <c r="DQ97" s="859"/>
      <c r="DR97" s="859"/>
      <c r="DS97" s="859"/>
      <c r="DT97" s="859"/>
      <c r="DU97" s="859"/>
      <c r="DV97" s="859"/>
      <c r="DW97" s="859"/>
      <c r="DX97" s="859"/>
      <c r="DY97" s="1244"/>
      <c r="DZ97" s="859"/>
      <c r="EA97" s="859"/>
      <c r="EB97" s="859"/>
      <c r="EC97" s="859"/>
      <c r="ED97" s="859">
        <v>1</v>
      </c>
      <c r="EE97" s="859"/>
      <c r="EF97" s="859">
        <v>2</v>
      </c>
      <c r="EG97" s="859"/>
      <c r="EH97" s="859"/>
      <c r="EI97" s="859"/>
      <c r="EJ97" s="859"/>
      <c r="EK97" s="859"/>
      <c r="EL97" s="859"/>
      <c r="EM97" s="859"/>
      <c r="EN97" s="859"/>
      <c r="EO97" s="859"/>
      <c r="EP97" s="859"/>
      <c r="EQ97" s="859"/>
      <c r="ER97" s="859"/>
      <c r="ES97" s="859"/>
      <c r="ET97" s="859"/>
      <c r="EU97" s="859"/>
      <c r="EV97" s="859"/>
      <c r="EW97" s="859"/>
      <c r="EX97" s="859"/>
      <c r="EY97" s="859"/>
      <c r="EZ97" s="859"/>
      <c r="FA97" s="859"/>
      <c r="FB97" s="859"/>
      <c r="FC97" s="859"/>
      <c r="FD97" s="859"/>
      <c r="FE97" s="859"/>
      <c r="FF97" s="859"/>
      <c r="FG97" s="859"/>
      <c r="FH97" s="859"/>
      <c r="FI97" s="859"/>
      <c r="FJ97" s="859"/>
      <c r="FK97" s="859"/>
      <c r="FL97" s="859"/>
      <c r="FM97" s="859"/>
      <c r="FN97" s="859"/>
      <c r="FO97" s="859"/>
      <c r="FP97" s="859"/>
      <c r="FQ97" s="859"/>
      <c r="FR97" s="859"/>
      <c r="FS97" s="859"/>
      <c r="FT97" s="859"/>
      <c r="FU97" s="859"/>
      <c r="FV97" s="859"/>
      <c r="FW97" s="859"/>
      <c r="FX97" s="859"/>
      <c r="FY97" s="859"/>
      <c r="FZ97" s="859"/>
      <c r="GA97" s="859"/>
      <c r="GB97" s="859"/>
      <c r="GC97" s="859"/>
      <c r="GD97" s="859"/>
      <c r="GE97" s="859"/>
      <c r="GF97" s="859"/>
      <c r="GG97" s="859"/>
      <c r="GH97" s="859"/>
      <c r="GI97" s="859"/>
      <c r="GJ97" s="859"/>
      <c r="GK97" s="859"/>
      <c r="GL97" s="859"/>
      <c r="GM97" s="859"/>
      <c r="GN97" s="859"/>
      <c r="GO97" s="859"/>
      <c r="GP97" s="859"/>
      <c r="GQ97" s="859"/>
      <c r="GR97" s="1230"/>
      <c r="GS97" s="859"/>
      <c r="GT97" s="859"/>
      <c r="GU97" s="859"/>
      <c r="GV97" s="1244"/>
      <c r="GW97" s="865"/>
      <c r="GX97" s="865" t="s">
        <v>1352</v>
      </c>
      <c r="GY97" s="755"/>
      <c r="GZ97" s="987"/>
      <c r="HA97" s="1242"/>
      <c r="HB97" s="753" t="s">
        <v>1350</v>
      </c>
      <c r="HC97" s="403"/>
      <c r="HD97" s="403"/>
      <c r="HE97" s="403"/>
      <c r="HF97" s="403"/>
      <c r="HG97" s="403"/>
      <c r="HH97" s="403"/>
      <c r="HI97" s="403"/>
      <c r="HJ97" s="403"/>
      <c r="HK97" s="403"/>
      <c r="HL97" s="403"/>
      <c r="HM97" s="403"/>
      <c r="HN97" s="403"/>
      <c r="HO97" s="403"/>
      <c r="HP97" s="403"/>
      <c r="HQ97" s="403"/>
      <c r="HR97" s="403"/>
      <c r="HS97" s="403"/>
      <c r="HT97" s="403"/>
      <c r="HU97" s="403"/>
      <c r="HV97" s="403"/>
      <c r="HW97" s="403"/>
      <c r="HX97" s="403"/>
      <c r="HY97" s="403"/>
      <c r="HZ97" s="403"/>
      <c r="IA97" s="403"/>
      <c r="IB97" s="403"/>
      <c r="IC97" s="403"/>
      <c r="ID97" s="403"/>
      <c r="IE97" s="403"/>
      <c r="IF97" s="403"/>
      <c r="IG97" s="403"/>
      <c r="IH97" s="403"/>
      <c r="II97" s="403"/>
      <c r="IJ97" s="403"/>
      <c r="IK97" s="403"/>
      <c r="IL97" s="403"/>
      <c r="IM97" s="403"/>
      <c r="IN97" s="403"/>
      <c r="IO97" s="403"/>
      <c r="IP97" s="403"/>
      <c r="IQ97" s="403"/>
      <c r="IR97" s="403"/>
      <c r="IS97" s="403"/>
      <c r="IT97" s="403"/>
      <c r="IU97" s="403"/>
      <c r="IV97" s="403"/>
      <c r="IW97" s="403"/>
      <c r="IX97" s="403"/>
      <c r="IY97" s="403"/>
      <c r="IZ97" s="403"/>
      <c r="JA97" s="403"/>
      <c r="JB97" s="403"/>
      <c r="JC97" s="403"/>
      <c r="JD97" s="403"/>
      <c r="JE97" s="403"/>
      <c r="JF97" s="403"/>
      <c r="JG97" s="403"/>
      <c r="JH97" s="403"/>
      <c r="JI97" s="403"/>
      <c r="JJ97" s="403"/>
      <c r="JK97" s="403"/>
      <c r="JL97" s="403"/>
      <c r="JM97" s="403"/>
      <c r="JN97" s="403"/>
      <c r="JO97" s="403"/>
      <c r="JP97" s="403"/>
      <c r="JQ97" s="403"/>
      <c r="JR97" s="403"/>
      <c r="JS97" s="403"/>
      <c r="JT97" s="403"/>
      <c r="JU97" s="403"/>
      <c r="JV97" s="403"/>
      <c r="JW97" s="403"/>
      <c r="JX97" s="403"/>
      <c r="JY97" s="403"/>
      <c r="JZ97" s="403"/>
      <c r="KA97" s="403"/>
    </row>
    <row r="98" spans="1:287" s="361" customFormat="1" ht="156" hidden="1" customHeight="1">
      <c r="A98" s="1011">
        <v>32</v>
      </c>
      <c r="B98" s="1601" t="s">
        <v>1243</v>
      </c>
      <c r="C98" s="1218" t="s">
        <v>843</v>
      </c>
      <c r="D98" s="771" t="s">
        <v>890</v>
      </c>
      <c r="E98" s="861">
        <f t="shared" si="50"/>
        <v>0</v>
      </c>
      <c r="F98" s="861">
        <v>0</v>
      </c>
      <c r="G98" s="861">
        <v>0</v>
      </c>
      <c r="H98" s="861">
        <v>0</v>
      </c>
      <c r="I98" s="861">
        <v>0</v>
      </c>
      <c r="J98" s="379">
        <f t="shared" si="51"/>
        <v>0</v>
      </c>
      <c r="K98" s="379">
        <f t="shared" si="52"/>
        <v>0</v>
      </c>
      <c r="L98" s="379">
        <f t="shared" si="53"/>
        <v>0</v>
      </c>
      <c r="M98" s="379">
        <f t="shared" si="54"/>
        <v>0</v>
      </c>
      <c r="N98" s="861">
        <f t="shared" si="55"/>
        <v>0</v>
      </c>
      <c r="O98" s="861">
        <f t="shared" si="56"/>
        <v>0</v>
      </c>
      <c r="P98" s="861">
        <f t="shared" si="57"/>
        <v>0</v>
      </c>
      <c r="Q98" s="861">
        <f t="shared" si="58"/>
        <v>0</v>
      </c>
      <c r="R98" s="861">
        <f t="shared" si="59"/>
        <v>0</v>
      </c>
      <c r="S98" s="861">
        <f t="shared" si="60"/>
        <v>0</v>
      </c>
      <c r="T98" s="861"/>
      <c r="U98" s="861"/>
      <c r="V98" s="884"/>
      <c r="W98" s="884"/>
      <c r="X98" s="884"/>
      <c r="Y98" s="884"/>
      <c r="Z98" s="884"/>
      <c r="AA98" s="884"/>
      <c r="AB98" s="884"/>
      <c r="AC98" s="884"/>
      <c r="AD98" s="884"/>
      <c r="AE98" s="884"/>
      <c r="AF98" s="884"/>
      <c r="AG98" s="884"/>
      <c r="AH98" s="884"/>
      <c r="AI98" s="884"/>
      <c r="AJ98" s="884"/>
      <c r="AK98" s="884"/>
      <c r="AL98" s="884"/>
      <c r="AM98" s="884"/>
      <c r="AN98" s="884"/>
      <c r="AO98" s="884"/>
      <c r="AP98" s="884"/>
      <c r="AQ98" s="884"/>
      <c r="AR98" s="884"/>
      <c r="AS98" s="884"/>
      <c r="AT98" s="884"/>
      <c r="AU98" s="884"/>
      <c r="AV98" s="884"/>
      <c r="AW98" s="884"/>
      <c r="AX98" s="884"/>
      <c r="AY98" s="884"/>
      <c r="AZ98" s="884"/>
      <c r="BA98" s="884"/>
      <c r="BB98" s="884"/>
      <c r="BC98" s="884"/>
      <c r="BD98" s="884"/>
      <c r="BE98" s="884"/>
      <c r="BF98" s="884"/>
      <c r="BG98" s="884"/>
      <c r="BH98" s="884"/>
      <c r="BI98" s="884"/>
      <c r="BJ98" s="884"/>
      <c r="BK98" s="884"/>
      <c r="BL98" s="884"/>
      <c r="BM98" s="884"/>
      <c r="BN98" s="884"/>
      <c r="BO98" s="884"/>
      <c r="BP98" s="884"/>
      <c r="BQ98" s="884"/>
      <c r="BR98" s="884"/>
      <c r="BS98" s="884"/>
      <c r="BT98" s="884"/>
      <c r="BU98" s="884"/>
      <c r="BV98" s="884"/>
      <c r="BW98" s="884"/>
      <c r="BX98" s="884"/>
      <c r="BY98" s="884"/>
      <c r="BZ98" s="884"/>
      <c r="CA98" s="884"/>
      <c r="CB98" s="884"/>
      <c r="CC98" s="884"/>
      <c r="CD98" s="884"/>
      <c r="CE98" s="884"/>
      <c r="CF98" s="884"/>
      <c r="CG98" s="884"/>
      <c r="CH98" s="884"/>
      <c r="CI98" s="884"/>
      <c r="CJ98" s="884"/>
      <c r="CK98" s="884"/>
      <c r="CL98" s="884"/>
      <c r="CM98" s="884"/>
      <c r="CN98" s="884"/>
      <c r="CO98" s="884"/>
      <c r="CP98" s="884"/>
      <c r="CQ98" s="884"/>
      <c r="CR98" s="884"/>
      <c r="CS98" s="884"/>
      <c r="CT98" s="884"/>
      <c r="CU98" s="884"/>
      <c r="CV98" s="884"/>
      <c r="CW98" s="884"/>
      <c r="CX98" s="884"/>
      <c r="CY98" s="884"/>
      <c r="CZ98" s="884"/>
      <c r="DA98" s="884"/>
      <c r="DB98" s="884"/>
      <c r="DC98" s="884"/>
      <c r="DD98" s="884"/>
      <c r="DE98" s="884"/>
      <c r="DF98" s="884"/>
      <c r="DG98" s="884"/>
      <c r="DH98" s="884"/>
      <c r="DI98" s="884"/>
      <c r="DJ98" s="884"/>
      <c r="DK98" s="884"/>
      <c r="DL98" s="884"/>
      <c r="DM98" s="884"/>
      <c r="DN98" s="884"/>
      <c r="DO98" s="884"/>
      <c r="DP98" s="884"/>
      <c r="DQ98" s="884"/>
      <c r="DR98" s="884"/>
      <c r="DS98" s="884"/>
      <c r="DT98" s="884"/>
      <c r="DU98" s="884"/>
      <c r="DV98" s="884"/>
      <c r="DW98" s="884"/>
      <c r="DX98" s="884"/>
      <c r="DY98" s="884"/>
      <c r="DZ98" s="1208"/>
      <c r="EA98" s="1208"/>
      <c r="EB98" s="1208"/>
      <c r="EC98" s="1208"/>
      <c r="ED98" s="1208"/>
      <c r="EE98" s="1208"/>
      <c r="EF98" s="1208"/>
      <c r="EG98" s="1208"/>
      <c r="EH98" s="1208"/>
      <c r="EI98" s="1208"/>
      <c r="EJ98" s="1208"/>
      <c r="EK98" s="1208"/>
      <c r="EL98" s="1208"/>
      <c r="EM98" s="1208"/>
      <c r="EN98" s="1208"/>
      <c r="EO98" s="1208"/>
      <c r="EP98" s="1208"/>
      <c r="EQ98" s="1208"/>
      <c r="ER98" s="1208"/>
      <c r="ES98" s="1208"/>
      <c r="ET98" s="1208"/>
      <c r="EU98" s="1208"/>
      <c r="EV98" s="1208"/>
      <c r="EW98" s="1208"/>
      <c r="EX98" s="1208"/>
      <c r="EY98" s="1208"/>
      <c r="EZ98" s="1208"/>
      <c r="FA98" s="1208"/>
      <c r="FB98" s="1208"/>
      <c r="FC98" s="1208"/>
      <c r="FD98" s="1208"/>
      <c r="FE98" s="1208"/>
      <c r="FF98" s="1208"/>
      <c r="FG98" s="1208"/>
      <c r="FH98" s="1208"/>
      <c r="FI98" s="1208"/>
      <c r="FJ98" s="1208"/>
      <c r="FK98" s="1208"/>
      <c r="FL98" s="1208"/>
      <c r="FM98" s="1208"/>
      <c r="FN98" s="1208"/>
      <c r="FO98" s="1208"/>
      <c r="FP98" s="1208"/>
      <c r="FQ98" s="1208"/>
      <c r="FR98" s="1208"/>
      <c r="FS98" s="1208"/>
      <c r="FT98" s="1208"/>
      <c r="FU98" s="1208"/>
      <c r="FV98" s="1208"/>
      <c r="FW98" s="1208"/>
      <c r="FX98" s="1208"/>
      <c r="FY98" s="1208"/>
      <c r="FZ98" s="1208"/>
      <c r="GA98" s="1208"/>
      <c r="GB98" s="1208"/>
      <c r="GC98" s="1208"/>
      <c r="GD98" s="1208"/>
      <c r="GE98" s="1208"/>
      <c r="GF98" s="1208"/>
      <c r="GG98" s="1208"/>
      <c r="GH98" s="1208"/>
      <c r="GI98" s="1208"/>
      <c r="GJ98" s="1208"/>
      <c r="GK98" s="1208"/>
      <c r="GL98" s="1208"/>
      <c r="GM98" s="1208"/>
      <c r="GN98" s="1208"/>
      <c r="GO98" s="1208"/>
      <c r="GP98" s="1208"/>
      <c r="GQ98" s="1208"/>
      <c r="GR98" s="411"/>
      <c r="GS98" s="411"/>
      <c r="GT98" s="411"/>
      <c r="GU98" s="411"/>
      <c r="GV98" s="411"/>
      <c r="GW98" s="1232" t="s">
        <v>1303</v>
      </c>
      <c r="GX98" s="1232" t="s">
        <v>891</v>
      </c>
      <c r="GY98" s="1233"/>
      <c r="GZ98" s="1234" t="s">
        <v>892</v>
      </c>
      <c r="HA98" s="1235"/>
      <c r="HB98" s="279" t="s">
        <v>893</v>
      </c>
      <c r="HC98" s="403"/>
      <c r="HD98" s="403"/>
      <c r="HE98" s="403"/>
      <c r="HF98" s="403"/>
      <c r="HG98" s="403"/>
      <c r="HH98" s="403"/>
      <c r="HI98" s="403"/>
      <c r="HJ98" s="403"/>
      <c r="HK98" s="403"/>
      <c r="HL98" s="403"/>
      <c r="HM98" s="403"/>
      <c r="HN98" s="403"/>
      <c r="HO98" s="403"/>
      <c r="HP98" s="403"/>
      <c r="HQ98" s="403"/>
      <c r="HR98" s="403"/>
      <c r="HS98" s="403"/>
      <c r="HT98" s="403"/>
      <c r="HU98" s="403"/>
      <c r="HV98" s="403"/>
      <c r="HW98" s="403"/>
      <c r="HX98" s="403"/>
      <c r="HY98" s="403"/>
      <c r="HZ98" s="403"/>
      <c r="IA98" s="403"/>
      <c r="IB98" s="403"/>
      <c r="IC98" s="403"/>
      <c r="ID98" s="403"/>
      <c r="IE98" s="403"/>
      <c r="IF98" s="403"/>
      <c r="IG98" s="403"/>
      <c r="IH98" s="403"/>
      <c r="II98" s="403"/>
      <c r="IJ98" s="403"/>
      <c r="IK98" s="403"/>
      <c r="IL98" s="403"/>
      <c r="IM98" s="403"/>
      <c r="IN98" s="403"/>
      <c r="IO98" s="403"/>
      <c r="IP98" s="403"/>
      <c r="IQ98" s="403"/>
      <c r="IR98" s="403"/>
      <c r="IS98" s="403"/>
      <c r="IT98" s="403"/>
      <c r="IU98" s="403"/>
      <c r="IV98" s="403"/>
      <c r="IW98" s="403"/>
      <c r="IX98" s="403"/>
      <c r="IY98" s="403"/>
      <c r="IZ98" s="403"/>
      <c r="JA98" s="403"/>
      <c r="JB98" s="403"/>
      <c r="JC98" s="403"/>
      <c r="JD98" s="403"/>
      <c r="JE98" s="403"/>
      <c r="JF98" s="403"/>
      <c r="JG98" s="403"/>
      <c r="JH98" s="403"/>
      <c r="JI98" s="403"/>
      <c r="JJ98" s="403"/>
      <c r="JK98" s="403"/>
      <c r="JL98" s="403"/>
      <c r="JM98" s="403"/>
      <c r="JN98" s="403"/>
      <c r="JO98" s="403"/>
      <c r="JP98" s="403"/>
      <c r="JQ98" s="403"/>
      <c r="JR98" s="403"/>
      <c r="JS98" s="403"/>
      <c r="JT98" s="403"/>
      <c r="JU98" s="403"/>
      <c r="JV98" s="403"/>
      <c r="JW98" s="403"/>
      <c r="JX98" s="403"/>
      <c r="JY98" s="403"/>
      <c r="JZ98" s="403"/>
      <c r="KA98" s="403"/>
    </row>
    <row r="99" spans="1:287" s="361" customFormat="1" ht="156" hidden="1" customHeight="1">
      <c r="A99" s="1011"/>
      <c r="B99" s="1600"/>
      <c r="C99" s="754"/>
      <c r="D99" s="755" t="s">
        <v>1441</v>
      </c>
      <c r="E99" s="858">
        <f t="shared" si="50"/>
        <v>1</v>
      </c>
      <c r="F99" s="858">
        <f t="shared" ref="F99" si="68">SUM(AB99:BF99)</f>
        <v>0</v>
      </c>
      <c r="G99" s="858">
        <f t="shared" ref="G99" si="69">SUM(AC99:BG99)</f>
        <v>0</v>
      </c>
      <c r="H99" s="858">
        <f t="shared" ref="H99" si="70">SUM(AD99:BH99)</f>
        <v>0</v>
      </c>
      <c r="I99" s="858">
        <f t="shared" ref="I99" si="71">SUM(AE99:BI99)</f>
        <v>0</v>
      </c>
      <c r="J99" s="858">
        <f t="shared" ref="J99" si="72">SUM(AF99:BJ99)</f>
        <v>0</v>
      </c>
      <c r="K99" s="858">
        <f t="shared" si="52"/>
        <v>0</v>
      </c>
      <c r="L99" s="858">
        <f t="shared" si="53"/>
        <v>0</v>
      </c>
      <c r="M99" s="858">
        <f t="shared" si="54"/>
        <v>0</v>
      </c>
      <c r="N99" s="858">
        <f t="shared" si="55"/>
        <v>0</v>
      </c>
      <c r="O99" s="858">
        <f t="shared" si="56"/>
        <v>0</v>
      </c>
      <c r="P99" s="858">
        <f t="shared" si="57"/>
        <v>1</v>
      </c>
      <c r="Q99" s="861">
        <f t="shared" si="58"/>
        <v>0</v>
      </c>
      <c r="R99" s="861">
        <f t="shared" si="59"/>
        <v>1</v>
      </c>
      <c r="S99" s="861">
        <f t="shared" si="60"/>
        <v>0</v>
      </c>
      <c r="T99" s="858"/>
      <c r="U99" s="858"/>
      <c r="V99" s="884"/>
      <c r="W99" s="884"/>
      <c r="X99" s="884"/>
      <c r="Y99" s="884"/>
      <c r="Z99" s="884"/>
      <c r="AA99" s="884"/>
      <c r="AB99" s="884"/>
      <c r="AC99" s="884"/>
      <c r="AD99" s="884"/>
      <c r="AE99" s="884"/>
      <c r="AF99" s="884"/>
      <c r="AG99" s="884"/>
      <c r="AH99" s="884"/>
      <c r="AI99" s="884"/>
      <c r="AJ99" s="884"/>
      <c r="AK99" s="884"/>
      <c r="AL99" s="884"/>
      <c r="AM99" s="884"/>
      <c r="AN99" s="884"/>
      <c r="AO99" s="884"/>
      <c r="AP99" s="884"/>
      <c r="AQ99" s="884"/>
      <c r="AR99" s="884"/>
      <c r="AS99" s="884"/>
      <c r="AT99" s="884"/>
      <c r="AU99" s="884"/>
      <c r="AV99" s="884"/>
      <c r="AW99" s="884"/>
      <c r="AX99" s="884"/>
      <c r="AY99" s="884"/>
      <c r="AZ99" s="884"/>
      <c r="BA99" s="884"/>
      <c r="BB99" s="884"/>
      <c r="BC99" s="884"/>
      <c r="BD99" s="884"/>
      <c r="BE99" s="884"/>
      <c r="BF99" s="884"/>
      <c r="BG99" s="884"/>
      <c r="BH99" s="884"/>
      <c r="BI99" s="884"/>
      <c r="BJ99" s="884"/>
      <c r="BK99" s="884"/>
      <c r="BL99" s="884"/>
      <c r="BM99" s="884"/>
      <c r="BN99" s="884"/>
      <c r="BO99" s="884"/>
      <c r="BP99" s="884"/>
      <c r="BQ99" s="884"/>
      <c r="BR99" s="884"/>
      <c r="BS99" s="884"/>
      <c r="BT99" s="884"/>
      <c r="BU99" s="884"/>
      <c r="BV99" s="884"/>
      <c r="BW99" s="884"/>
      <c r="BX99" s="884"/>
      <c r="BY99" s="884"/>
      <c r="BZ99" s="884"/>
      <c r="CA99" s="884"/>
      <c r="CB99" s="884"/>
      <c r="CC99" s="884"/>
      <c r="CD99" s="884"/>
      <c r="CE99" s="884"/>
      <c r="CF99" s="884"/>
      <c r="CG99" s="884"/>
      <c r="CH99" s="884"/>
      <c r="CI99" s="884"/>
      <c r="CJ99" s="884"/>
      <c r="CK99" s="884"/>
      <c r="CL99" s="884"/>
      <c r="CM99" s="884"/>
      <c r="CN99" s="884"/>
      <c r="CO99" s="884"/>
      <c r="CP99" s="884"/>
      <c r="CQ99" s="884"/>
      <c r="CR99" s="884"/>
      <c r="CS99" s="884"/>
      <c r="CT99" s="884"/>
      <c r="CU99" s="884"/>
      <c r="CV99" s="884"/>
      <c r="CW99" s="884"/>
      <c r="CX99" s="884"/>
      <c r="CY99" s="884"/>
      <c r="CZ99" s="884"/>
      <c r="DA99" s="884"/>
      <c r="DB99" s="884"/>
      <c r="DC99" s="884"/>
      <c r="DD99" s="884"/>
      <c r="DE99" s="884"/>
      <c r="DF99" s="884"/>
      <c r="DG99" s="884"/>
      <c r="DH99" s="884"/>
      <c r="DI99" s="884"/>
      <c r="DJ99" s="884"/>
      <c r="DK99" s="884"/>
      <c r="DL99" s="884"/>
      <c r="DM99" s="884"/>
      <c r="DN99" s="884"/>
      <c r="DO99" s="884"/>
      <c r="DP99" s="884"/>
      <c r="DQ99" s="884"/>
      <c r="DR99" s="884"/>
      <c r="DS99" s="884"/>
      <c r="DT99" s="884"/>
      <c r="DU99" s="884"/>
      <c r="DV99" s="884"/>
      <c r="DW99" s="884"/>
      <c r="DX99" s="884"/>
      <c r="DY99" s="884"/>
      <c r="DZ99" s="1208"/>
      <c r="EA99" s="1208"/>
      <c r="EB99" s="1208"/>
      <c r="EC99" s="1208"/>
      <c r="ED99" s="1208"/>
      <c r="EE99" s="1208"/>
      <c r="EF99" s="1208"/>
      <c r="EG99" s="1208"/>
      <c r="EH99" s="1208"/>
      <c r="EI99" s="1208"/>
      <c r="EJ99" s="1208"/>
      <c r="EK99" s="1208"/>
      <c r="EL99" s="1208"/>
      <c r="EM99" s="1208"/>
      <c r="EN99" s="1208"/>
      <c r="EO99" s="1208"/>
      <c r="EP99" s="1208"/>
      <c r="EQ99" s="1208"/>
      <c r="ER99" s="1208"/>
      <c r="ES99" s="1208"/>
      <c r="ET99" s="1208"/>
      <c r="EU99" s="1208"/>
      <c r="EV99" s="1208"/>
      <c r="EW99" s="1208"/>
      <c r="EX99" s="1208"/>
      <c r="EY99" s="1208"/>
      <c r="EZ99" s="1208"/>
      <c r="FA99" s="1208"/>
      <c r="FB99" s="1208"/>
      <c r="FC99" s="1208"/>
      <c r="FD99" s="1208"/>
      <c r="FE99" s="1208"/>
      <c r="FF99" s="1208"/>
      <c r="FG99" s="1208"/>
      <c r="FH99" s="1208"/>
      <c r="FI99" s="1208"/>
      <c r="FJ99" s="1208"/>
      <c r="FK99" s="1208"/>
      <c r="FL99" s="1208"/>
      <c r="FM99" s="1208"/>
      <c r="FN99" s="1208"/>
      <c r="FO99" s="1208"/>
      <c r="FP99" s="1208"/>
      <c r="FQ99" s="1208"/>
      <c r="FR99" s="1208"/>
      <c r="FS99" s="1208"/>
      <c r="FT99" s="1208"/>
      <c r="FU99" s="1208"/>
      <c r="FV99" s="1208"/>
      <c r="FW99" s="1208"/>
      <c r="FX99" s="1208"/>
      <c r="FY99" s="1208"/>
      <c r="FZ99" s="1208"/>
      <c r="GA99" s="1208"/>
      <c r="GB99" s="1208"/>
      <c r="GC99" s="1208"/>
      <c r="GD99" s="859"/>
      <c r="GE99" s="859"/>
      <c r="GF99" s="859"/>
      <c r="GG99" s="859"/>
      <c r="GH99" s="859">
        <v>1</v>
      </c>
      <c r="GI99" s="859"/>
      <c r="GJ99" s="859"/>
      <c r="GK99" s="859"/>
      <c r="GL99" s="859"/>
      <c r="GM99" s="859"/>
      <c r="GN99" s="859"/>
      <c r="GO99" s="859"/>
      <c r="GP99" s="859"/>
      <c r="GQ99" s="859"/>
      <c r="GR99" s="859"/>
      <c r="GS99" s="859"/>
      <c r="GT99" s="859"/>
      <c r="GU99" s="859"/>
      <c r="GV99" s="859"/>
      <c r="GW99" s="865"/>
      <c r="GX99" s="865" t="s">
        <v>1444</v>
      </c>
      <c r="GY99" s="755"/>
      <c r="GZ99" s="866" t="s">
        <v>1443</v>
      </c>
      <c r="HA99" s="866"/>
      <c r="HB99" s="864" t="s">
        <v>1442</v>
      </c>
      <c r="HC99" s="403"/>
      <c r="HD99" s="403"/>
      <c r="HE99" s="403"/>
      <c r="HF99" s="403"/>
      <c r="HG99" s="403"/>
      <c r="HH99" s="403"/>
      <c r="HI99" s="403"/>
      <c r="HJ99" s="403"/>
      <c r="HK99" s="403"/>
      <c r="HL99" s="403"/>
      <c r="HM99" s="403"/>
      <c r="HN99" s="403"/>
      <c r="HO99" s="403"/>
      <c r="HP99" s="403"/>
      <c r="HQ99" s="403"/>
      <c r="HR99" s="403"/>
      <c r="HS99" s="403"/>
      <c r="HT99" s="403"/>
      <c r="HU99" s="403"/>
      <c r="HV99" s="403"/>
      <c r="HW99" s="403"/>
      <c r="HX99" s="403"/>
      <c r="HY99" s="403"/>
      <c r="HZ99" s="403"/>
      <c r="IA99" s="403"/>
      <c r="IB99" s="403"/>
      <c r="IC99" s="403"/>
      <c r="ID99" s="403"/>
      <c r="IE99" s="403"/>
      <c r="IF99" s="403"/>
      <c r="IG99" s="403"/>
      <c r="IH99" s="403"/>
      <c r="II99" s="403"/>
      <c r="IJ99" s="403"/>
      <c r="IK99" s="403"/>
      <c r="IL99" s="403"/>
      <c r="IM99" s="403"/>
      <c r="IN99" s="403"/>
      <c r="IO99" s="403"/>
      <c r="IP99" s="403"/>
      <c r="IQ99" s="403"/>
      <c r="IR99" s="403"/>
      <c r="IS99" s="403"/>
      <c r="IT99" s="403"/>
      <c r="IU99" s="403"/>
      <c r="IV99" s="403"/>
      <c r="IW99" s="403"/>
      <c r="IX99" s="403"/>
      <c r="IY99" s="403"/>
      <c r="IZ99" s="403"/>
      <c r="JA99" s="403"/>
      <c r="JB99" s="403"/>
      <c r="JC99" s="403"/>
      <c r="JD99" s="403"/>
      <c r="JE99" s="403"/>
      <c r="JF99" s="403"/>
      <c r="JG99" s="403"/>
      <c r="JH99" s="403"/>
      <c r="JI99" s="403"/>
      <c r="JJ99" s="403"/>
      <c r="JK99" s="403"/>
      <c r="JL99" s="403"/>
      <c r="JM99" s="403"/>
      <c r="JN99" s="403"/>
      <c r="JO99" s="403"/>
      <c r="JP99" s="403"/>
      <c r="JQ99" s="403"/>
      <c r="JR99" s="403"/>
      <c r="JS99" s="403"/>
      <c r="JT99" s="403"/>
      <c r="JU99" s="403"/>
      <c r="JV99" s="403"/>
      <c r="JW99" s="403"/>
      <c r="JX99" s="403"/>
      <c r="JY99" s="403"/>
      <c r="JZ99" s="403"/>
      <c r="KA99" s="403"/>
    </row>
    <row r="100" spans="1:287" s="361" customFormat="1" ht="156" hidden="1" customHeight="1">
      <c r="A100" s="1011"/>
      <c r="B100" s="1600"/>
      <c r="C100" s="754"/>
      <c r="D100" s="893" t="s">
        <v>1391</v>
      </c>
      <c r="E100" s="379">
        <f t="shared" si="50"/>
        <v>1</v>
      </c>
      <c r="F100" s="1012"/>
      <c r="G100" s="1012"/>
      <c r="H100" s="1012"/>
      <c r="I100" s="1012"/>
      <c r="J100" s="1012">
        <v>0</v>
      </c>
      <c r="K100" s="1012">
        <v>0</v>
      </c>
      <c r="L100" s="1012">
        <v>0</v>
      </c>
      <c r="M100" s="1012">
        <v>0</v>
      </c>
      <c r="N100" s="379">
        <f t="shared" si="55"/>
        <v>0</v>
      </c>
      <c r="O100" s="379">
        <f t="shared" si="56"/>
        <v>1</v>
      </c>
      <c r="P100" s="379">
        <f t="shared" si="57"/>
        <v>0</v>
      </c>
      <c r="Q100" s="861">
        <f t="shared" si="58"/>
        <v>0</v>
      </c>
      <c r="R100" s="861">
        <f t="shared" si="59"/>
        <v>0</v>
      </c>
      <c r="S100" s="861">
        <f t="shared" si="60"/>
        <v>0</v>
      </c>
      <c r="T100" s="379"/>
      <c r="U100" s="1012"/>
      <c r="V100" s="859"/>
      <c r="W100" s="859"/>
      <c r="X100" s="859"/>
      <c r="Y100" s="859"/>
      <c r="Z100" s="859"/>
      <c r="AA100" s="859"/>
      <c r="AB100" s="859"/>
      <c r="AC100" s="859"/>
      <c r="AD100" s="859"/>
      <c r="AE100" s="859"/>
      <c r="AF100" s="859"/>
      <c r="AG100" s="859"/>
      <c r="AH100" s="859"/>
      <c r="AI100" s="859"/>
      <c r="AJ100" s="859"/>
      <c r="AK100" s="859"/>
      <c r="AL100" s="859"/>
      <c r="AM100" s="859"/>
      <c r="AN100" s="859"/>
      <c r="AO100" s="859"/>
      <c r="AP100" s="859"/>
      <c r="AQ100" s="859"/>
      <c r="AR100" s="859"/>
      <c r="AS100" s="859"/>
      <c r="AT100" s="859"/>
      <c r="AU100" s="859"/>
      <c r="AV100" s="859"/>
      <c r="AW100" s="859"/>
      <c r="AX100" s="859"/>
      <c r="AY100" s="859"/>
      <c r="AZ100" s="859"/>
      <c r="BA100" s="859"/>
      <c r="BB100" s="859"/>
      <c r="BC100" s="859"/>
      <c r="BD100" s="859"/>
      <c r="BE100" s="859"/>
      <c r="BF100" s="859"/>
      <c r="BG100" s="859"/>
      <c r="BH100" s="859"/>
      <c r="BI100" s="859"/>
      <c r="BJ100" s="859"/>
      <c r="BK100" s="859"/>
      <c r="BL100" s="859"/>
      <c r="BM100" s="859"/>
      <c r="BN100" s="859"/>
      <c r="BO100" s="859"/>
      <c r="BP100" s="859"/>
      <c r="BQ100" s="859"/>
      <c r="BR100" s="859"/>
      <c r="BS100" s="859"/>
      <c r="BT100" s="859"/>
      <c r="BU100" s="859"/>
      <c r="BV100" s="859"/>
      <c r="BW100" s="859"/>
      <c r="BX100" s="859"/>
      <c r="BY100" s="859"/>
      <c r="BZ100" s="859"/>
      <c r="CA100" s="859"/>
      <c r="CB100" s="859"/>
      <c r="CC100" s="859"/>
      <c r="CD100" s="859"/>
      <c r="CE100" s="859"/>
      <c r="CF100" s="859"/>
      <c r="CG100" s="859"/>
      <c r="CH100" s="859"/>
      <c r="CI100" s="859"/>
      <c r="CJ100" s="859"/>
      <c r="CK100" s="859"/>
      <c r="CL100" s="859"/>
      <c r="CM100" s="859"/>
      <c r="CN100" s="859"/>
      <c r="CO100" s="859"/>
      <c r="CP100" s="859"/>
      <c r="CQ100" s="859"/>
      <c r="CR100" s="859"/>
      <c r="CS100" s="859"/>
      <c r="CT100" s="859"/>
      <c r="CU100" s="859"/>
      <c r="CV100" s="859"/>
      <c r="CW100" s="859"/>
      <c r="CX100" s="859"/>
      <c r="CY100" s="859"/>
      <c r="CZ100" s="859"/>
      <c r="DA100" s="859"/>
      <c r="DB100" s="859"/>
      <c r="DC100" s="859"/>
      <c r="DD100" s="859"/>
      <c r="DE100" s="859"/>
      <c r="DF100" s="859"/>
      <c r="DG100" s="859"/>
      <c r="DH100" s="859"/>
      <c r="DI100" s="859"/>
      <c r="DJ100" s="859"/>
      <c r="DK100" s="859"/>
      <c r="DL100" s="859"/>
      <c r="DM100" s="859"/>
      <c r="DN100" s="859"/>
      <c r="DO100" s="859"/>
      <c r="DP100" s="859"/>
      <c r="DQ100" s="859"/>
      <c r="DR100" s="859"/>
      <c r="DS100" s="859"/>
      <c r="DT100" s="859"/>
      <c r="DU100" s="859"/>
      <c r="DV100" s="859"/>
      <c r="DW100" s="859"/>
      <c r="DX100" s="859"/>
      <c r="DY100" s="859"/>
      <c r="DZ100" s="859"/>
      <c r="EA100" s="859"/>
      <c r="EB100" s="859"/>
      <c r="EC100" s="859"/>
      <c r="ED100" s="859"/>
      <c r="EE100" s="859"/>
      <c r="EF100" s="859"/>
      <c r="EG100" s="859"/>
      <c r="EH100" s="859"/>
      <c r="EI100" s="859"/>
      <c r="EJ100" s="859"/>
      <c r="EK100" s="859"/>
      <c r="EL100" s="859"/>
      <c r="EM100" s="859"/>
      <c r="EN100" s="859"/>
      <c r="EO100" s="859"/>
      <c r="EP100" s="859"/>
      <c r="EQ100" s="859"/>
      <c r="ER100" s="859"/>
      <c r="ES100" s="859"/>
      <c r="ET100" s="859"/>
      <c r="EU100" s="859"/>
      <c r="EV100" s="859"/>
      <c r="EW100" s="859"/>
      <c r="EX100" s="859"/>
      <c r="EY100" s="859"/>
      <c r="EZ100" s="859"/>
      <c r="FA100" s="859"/>
      <c r="FB100" s="859"/>
      <c r="FC100" s="859"/>
      <c r="FD100" s="859">
        <v>1</v>
      </c>
      <c r="FE100" s="859"/>
      <c r="FF100" s="859"/>
      <c r="FG100" s="859"/>
      <c r="FH100" s="859"/>
      <c r="FI100" s="859"/>
      <c r="FJ100" s="859"/>
      <c r="FK100" s="859"/>
      <c r="FL100" s="859"/>
      <c r="FM100" s="859"/>
      <c r="FN100" s="859"/>
      <c r="FO100" s="859"/>
      <c r="FP100" s="859"/>
      <c r="FQ100" s="859"/>
      <c r="FR100" s="859"/>
      <c r="FS100" s="859"/>
      <c r="FT100" s="859"/>
      <c r="FU100" s="859"/>
      <c r="FV100" s="859"/>
      <c r="FW100" s="859"/>
      <c r="FX100" s="859"/>
      <c r="FY100" s="859"/>
      <c r="FZ100" s="859"/>
      <c r="GA100" s="859"/>
      <c r="GB100" s="859"/>
      <c r="GC100" s="859"/>
      <c r="GD100" s="1471"/>
      <c r="GE100" s="1471"/>
      <c r="GF100" s="1471"/>
      <c r="GG100" s="1471"/>
      <c r="GH100" s="1471"/>
      <c r="GI100" s="1471"/>
      <c r="GJ100" s="1471"/>
      <c r="GK100" s="1471"/>
      <c r="GL100" s="1471"/>
      <c r="GM100" s="1471"/>
      <c r="GN100" s="1471"/>
      <c r="GO100" s="1471"/>
      <c r="GP100" s="1471"/>
      <c r="GQ100" s="1471"/>
      <c r="GR100" s="859"/>
      <c r="GS100" s="859"/>
      <c r="GT100" s="859"/>
      <c r="GU100" s="859"/>
      <c r="GV100" s="859"/>
      <c r="GW100" s="1232"/>
      <c r="GX100" s="1232"/>
      <c r="GY100" s="1233"/>
      <c r="GZ100" s="1234"/>
      <c r="HA100" s="1235"/>
      <c r="HB100" s="279"/>
      <c r="HC100" s="403"/>
      <c r="HD100" s="403"/>
      <c r="HE100" s="403"/>
      <c r="HF100" s="403"/>
      <c r="HG100" s="403"/>
      <c r="HH100" s="403"/>
      <c r="HI100" s="403"/>
      <c r="HJ100" s="403"/>
      <c r="HK100" s="403"/>
      <c r="HL100" s="403"/>
      <c r="HM100" s="403"/>
      <c r="HN100" s="403"/>
      <c r="HO100" s="403"/>
      <c r="HP100" s="403"/>
      <c r="HQ100" s="403"/>
      <c r="HR100" s="403"/>
      <c r="HS100" s="403"/>
      <c r="HT100" s="403"/>
      <c r="HU100" s="403"/>
      <c r="HV100" s="403"/>
      <c r="HW100" s="403"/>
      <c r="HX100" s="403"/>
      <c r="HY100" s="403"/>
      <c r="HZ100" s="403"/>
      <c r="IA100" s="403"/>
      <c r="IB100" s="403"/>
      <c r="IC100" s="403"/>
      <c r="ID100" s="403"/>
      <c r="IE100" s="403"/>
      <c r="IF100" s="403"/>
      <c r="IG100" s="403"/>
      <c r="IH100" s="403"/>
      <c r="II100" s="403"/>
      <c r="IJ100" s="403"/>
      <c r="IK100" s="403"/>
      <c r="IL100" s="403"/>
      <c r="IM100" s="403"/>
      <c r="IN100" s="403"/>
      <c r="IO100" s="403"/>
      <c r="IP100" s="403"/>
      <c r="IQ100" s="403"/>
      <c r="IR100" s="403"/>
      <c r="IS100" s="403"/>
      <c r="IT100" s="403"/>
      <c r="IU100" s="403"/>
      <c r="IV100" s="403"/>
      <c r="IW100" s="403"/>
      <c r="IX100" s="403"/>
      <c r="IY100" s="403"/>
      <c r="IZ100" s="403"/>
      <c r="JA100" s="403"/>
      <c r="JB100" s="403"/>
      <c r="JC100" s="403"/>
      <c r="JD100" s="403"/>
      <c r="JE100" s="403"/>
      <c r="JF100" s="403"/>
      <c r="JG100" s="403"/>
      <c r="JH100" s="403"/>
      <c r="JI100" s="403"/>
      <c r="JJ100" s="403"/>
      <c r="JK100" s="403"/>
      <c r="JL100" s="403"/>
      <c r="JM100" s="403"/>
      <c r="JN100" s="403"/>
      <c r="JO100" s="403"/>
      <c r="JP100" s="403"/>
      <c r="JQ100" s="403"/>
      <c r="JR100" s="403"/>
      <c r="JS100" s="403"/>
      <c r="JT100" s="403"/>
      <c r="JU100" s="403"/>
      <c r="JV100" s="403"/>
      <c r="JW100" s="403"/>
      <c r="JX100" s="403"/>
      <c r="JY100" s="403"/>
      <c r="JZ100" s="403"/>
      <c r="KA100" s="403"/>
    </row>
    <row r="101" spans="1:287" s="361" customFormat="1" ht="156" hidden="1" customHeight="1">
      <c r="A101" s="754">
        <v>33</v>
      </c>
      <c r="B101" s="1600"/>
      <c r="C101" s="754" t="s">
        <v>843</v>
      </c>
      <c r="D101" s="755" t="s">
        <v>1192</v>
      </c>
      <c r="E101" s="861">
        <f t="shared" si="50"/>
        <v>0</v>
      </c>
      <c r="F101" s="858">
        <v>0</v>
      </c>
      <c r="G101" s="858">
        <v>0</v>
      </c>
      <c r="H101" s="858">
        <v>0</v>
      </c>
      <c r="I101" s="858">
        <v>0</v>
      </c>
      <c r="J101" s="858">
        <f t="shared" si="51"/>
        <v>2</v>
      </c>
      <c r="K101" s="861">
        <f t="shared" si="52"/>
        <v>1</v>
      </c>
      <c r="L101" s="861">
        <f t="shared" si="53"/>
        <v>0</v>
      </c>
      <c r="M101" s="858">
        <f t="shared" si="54"/>
        <v>0</v>
      </c>
      <c r="N101" s="861">
        <f t="shared" si="55"/>
        <v>0</v>
      </c>
      <c r="O101" s="861">
        <f t="shared" si="56"/>
        <v>0</v>
      </c>
      <c r="P101" s="861">
        <f t="shared" si="57"/>
        <v>0</v>
      </c>
      <c r="Q101" s="861">
        <f t="shared" si="58"/>
        <v>0</v>
      </c>
      <c r="R101" s="861">
        <f t="shared" si="59"/>
        <v>0</v>
      </c>
      <c r="S101" s="861">
        <f t="shared" si="60"/>
        <v>0</v>
      </c>
      <c r="T101" s="861"/>
      <c r="U101" s="861"/>
      <c r="V101" s="859"/>
      <c r="W101" s="859">
        <v>1</v>
      </c>
      <c r="X101" s="859"/>
      <c r="Y101" s="859"/>
      <c r="Z101" s="859"/>
      <c r="AA101" s="859">
        <v>1</v>
      </c>
      <c r="AB101" s="859"/>
      <c r="AC101" s="859"/>
      <c r="AD101" s="859"/>
      <c r="AE101" s="859"/>
      <c r="AF101" s="859"/>
      <c r="AG101" s="859"/>
      <c r="AH101" s="859"/>
      <c r="AI101" s="859"/>
      <c r="AJ101" s="859"/>
      <c r="AK101" s="859"/>
      <c r="AL101" s="859"/>
      <c r="AM101" s="859"/>
      <c r="AN101" s="859"/>
      <c r="AO101" s="859"/>
      <c r="AP101" s="859"/>
      <c r="AQ101" s="859"/>
      <c r="AR101" s="859"/>
      <c r="AS101" s="859"/>
      <c r="AT101" s="859"/>
      <c r="AU101" s="859"/>
      <c r="AV101" s="859"/>
      <c r="AW101" s="859"/>
      <c r="AX101" s="859"/>
      <c r="AY101" s="859"/>
      <c r="AZ101" s="859"/>
      <c r="BA101" s="859"/>
      <c r="BB101" s="859"/>
      <c r="BC101" s="859"/>
      <c r="BD101" s="859"/>
      <c r="BE101" s="859"/>
      <c r="BF101" s="859"/>
      <c r="BG101" s="859"/>
      <c r="BH101" s="859">
        <v>1</v>
      </c>
      <c r="BI101" s="859"/>
      <c r="BJ101" s="859"/>
      <c r="BK101" s="859"/>
      <c r="BL101" s="859"/>
      <c r="BM101" s="859"/>
      <c r="BN101" s="411"/>
      <c r="BO101" s="411"/>
      <c r="BP101" s="411"/>
      <c r="BQ101" s="411"/>
      <c r="BR101" s="859"/>
      <c r="BS101" s="859"/>
      <c r="BT101" s="859"/>
      <c r="BU101" s="859"/>
      <c r="BV101" s="859"/>
      <c r="BW101" s="859"/>
      <c r="BX101" s="859"/>
      <c r="BY101" s="859"/>
      <c r="BZ101" s="859"/>
      <c r="CA101" s="859"/>
      <c r="CB101" s="859"/>
      <c r="CC101" s="859"/>
      <c r="CD101" s="859"/>
      <c r="CE101" s="859"/>
      <c r="CF101" s="859"/>
      <c r="CG101" s="859"/>
      <c r="CH101" s="859"/>
      <c r="CI101" s="859"/>
      <c r="CJ101" s="859"/>
      <c r="CK101" s="859"/>
      <c r="CL101" s="859"/>
      <c r="CM101" s="859"/>
      <c r="CN101" s="859"/>
      <c r="CO101" s="859"/>
      <c r="CP101" s="859"/>
      <c r="CQ101" s="859"/>
      <c r="CR101" s="859"/>
      <c r="CS101" s="859"/>
      <c r="CT101" s="859"/>
      <c r="CU101" s="859"/>
      <c r="CV101" s="859"/>
      <c r="CW101" s="859"/>
      <c r="CX101" s="859"/>
      <c r="CY101" s="859"/>
      <c r="CZ101" s="859"/>
      <c r="DA101" s="859"/>
      <c r="DB101" s="859"/>
      <c r="DC101" s="859"/>
      <c r="DD101" s="859"/>
      <c r="DE101" s="859"/>
      <c r="DF101" s="859"/>
      <c r="DG101" s="859"/>
      <c r="DH101" s="859"/>
      <c r="DI101" s="859"/>
      <c r="DJ101" s="859"/>
      <c r="DK101" s="859"/>
      <c r="DL101" s="859"/>
      <c r="DM101" s="859"/>
      <c r="DN101" s="859"/>
      <c r="DO101" s="859"/>
      <c r="DP101" s="859"/>
      <c r="DQ101" s="859"/>
      <c r="DR101" s="859"/>
      <c r="DS101" s="859"/>
      <c r="DT101" s="859"/>
      <c r="DU101" s="859"/>
      <c r="DV101" s="859"/>
      <c r="DW101" s="859"/>
      <c r="DX101" s="859"/>
      <c r="DY101" s="859"/>
      <c r="DZ101" s="859"/>
      <c r="EA101" s="859"/>
      <c r="EB101" s="859"/>
      <c r="EC101" s="859"/>
      <c r="ED101" s="859"/>
      <c r="EE101" s="859"/>
      <c r="EF101" s="859"/>
      <c r="EG101" s="859"/>
      <c r="EH101" s="859"/>
      <c r="EI101" s="859"/>
      <c r="EJ101" s="859"/>
      <c r="EK101" s="859"/>
      <c r="EL101" s="859"/>
      <c r="EM101" s="859"/>
      <c r="EN101" s="859"/>
      <c r="EO101" s="859"/>
      <c r="EP101" s="859"/>
      <c r="EQ101" s="859"/>
      <c r="ER101" s="859"/>
      <c r="ES101" s="859"/>
      <c r="ET101" s="859"/>
      <c r="EU101" s="859"/>
      <c r="EV101" s="859"/>
      <c r="EW101" s="859"/>
      <c r="EX101" s="859"/>
      <c r="EY101" s="859"/>
      <c r="EZ101" s="859"/>
      <c r="FA101" s="859"/>
      <c r="FB101" s="859"/>
      <c r="FC101" s="859"/>
      <c r="FD101" s="859"/>
      <c r="FE101" s="859"/>
      <c r="FF101" s="859"/>
      <c r="FG101" s="859"/>
      <c r="FH101" s="859"/>
      <c r="FI101" s="859"/>
      <c r="FJ101" s="859"/>
      <c r="FK101" s="859"/>
      <c r="FL101" s="859"/>
      <c r="FM101" s="859"/>
      <c r="FN101" s="859"/>
      <c r="FO101" s="859"/>
      <c r="FP101" s="859"/>
      <c r="FQ101" s="859"/>
      <c r="FR101" s="859"/>
      <c r="FS101" s="859"/>
      <c r="FT101" s="859"/>
      <c r="FU101" s="859"/>
      <c r="FV101" s="859"/>
      <c r="FW101" s="859"/>
      <c r="FX101" s="859"/>
      <c r="FY101" s="859"/>
      <c r="FZ101" s="859"/>
      <c r="GA101" s="859"/>
      <c r="GB101" s="859"/>
      <c r="GC101" s="859"/>
      <c r="GD101" s="859"/>
      <c r="GE101" s="859"/>
      <c r="GF101" s="859"/>
      <c r="GG101" s="859"/>
      <c r="GH101" s="859"/>
      <c r="GI101" s="859"/>
      <c r="GJ101" s="859"/>
      <c r="GK101" s="859"/>
      <c r="GL101" s="859"/>
      <c r="GM101" s="859"/>
      <c r="GN101" s="859"/>
      <c r="GO101" s="859"/>
      <c r="GP101" s="859"/>
      <c r="GQ101" s="859"/>
      <c r="GR101" s="859"/>
      <c r="GS101" s="859"/>
      <c r="GT101" s="859"/>
      <c r="GU101" s="859"/>
      <c r="GV101" s="859"/>
      <c r="GW101" s="860" t="s">
        <v>1193</v>
      </c>
      <c r="GX101" s="865" t="s">
        <v>1195</v>
      </c>
      <c r="GY101" s="755"/>
      <c r="GZ101" s="866"/>
      <c r="HA101" s="866"/>
      <c r="HB101" s="864" t="s">
        <v>1196</v>
      </c>
      <c r="HC101" s="403"/>
      <c r="HD101" s="403"/>
      <c r="HE101" s="403"/>
      <c r="HF101" s="403"/>
      <c r="HG101" s="403"/>
      <c r="HH101" s="403"/>
      <c r="HI101" s="403"/>
      <c r="HJ101" s="403"/>
      <c r="HK101" s="403"/>
      <c r="HL101" s="403"/>
      <c r="HM101" s="403"/>
      <c r="HN101" s="403"/>
      <c r="HO101" s="403"/>
      <c r="HP101" s="403"/>
      <c r="HQ101" s="403"/>
      <c r="HR101" s="403"/>
      <c r="HS101" s="403"/>
      <c r="HT101" s="403"/>
      <c r="HU101" s="403"/>
      <c r="HV101" s="403"/>
      <c r="HW101" s="403"/>
      <c r="HX101" s="403"/>
      <c r="HY101" s="403"/>
      <c r="HZ101" s="403"/>
      <c r="IA101" s="403"/>
      <c r="IB101" s="403"/>
      <c r="IC101" s="403"/>
      <c r="ID101" s="403"/>
      <c r="IE101" s="403"/>
      <c r="IF101" s="403"/>
      <c r="IG101" s="403"/>
      <c r="IH101" s="403"/>
      <c r="II101" s="403"/>
      <c r="IJ101" s="403"/>
      <c r="IK101" s="403"/>
      <c r="IL101" s="403"/>
      <c r="IM101" s="403"/>
      <c r="IN101" s="403"/>
      <c r="IO101" s="403"/>
      <c r="IP101" s="403"/>
      <c r="IQ101" s="403"/>
      <c r="IR101" s="403"/>
      <c r="IS101" s="403"/>
      <c r="IT101" s="403"/>
      <c r="IU101" s="403"/>
      <c r="IV101" s="403"/>
      <c r="IW101" s="403"/>
      <c r="IX101" s="403"/>
      <c r="IY101" s="403"/>
      <c r="IZ101" s="403"/>
      <c r="JA101" s="403"/>
      <c r="JB101" s="403"/>
      <c r="JC101" s="403"/>
      <c r="JD101" s="403"/>
      <c r="JE101" s="403"/>
      <c r="JF101" s="403"/>
      <c r="JG101" s="403"/>
      <c r="JH101" s="403"/>
      <c r="JI101" s="403"/>
      <c r="JJ101" s="403"/>
      <c r="JK101" s="403"/>
      <c r="JL101" s="403"/>
      <c r="JM101" s="403"/>
      <c r="JN101" s="403"/>
      <c r="JO101" s="403"/>
      <c r="JP101" s="403"/>
      <c r="JQ101" s="403"/>
      <c r="JR101" s="403"/>
      <c r="JS101" s="403"/>
      <c r="JT101" s="403"/>
      <c r="JU101" s="403"/>
      <c r="JV101" s="403"/>
      <c r="JW101" s="403"/>
      <c r="JX101" s="403"/>
      <c r="JY101" s="403"/>
      <c r="JZ101" s="403"/>
      <c r="KA101" s="403"/>
    </row>
    <row r="102" spans="1:287" s="361" customFormat="1" ht="89.25" hidden="1" customHeight="1">
      <c r="A102" s="754">
        <v>34</v>
      </c>
      <c r="B102" s="1600"/>
      <c r="C102" s="754" t="s">
        <v>1262</v>
      </c>
      <c r="D102" s="755" t="s">
        <v>1236</v>
      </c>
      <c r="E102" s="861">
        <f t="shared" si="50"/>
        <v>4</v>
      </c>
      <c r="F102" s="858">
        <v>0</v>
      </c>
      <c r="G102" s="858">
        <v>0</v>
      </c>
      <c r="H102" s="858">
        <v>0</v>
      </c>
      <c r="I102" s="858">
        <v>0</v>
      </c>
      <c r="J102" s="858">
        <f t="shared" si="51"/>
        <v>0</v>
      </c>
      <c r="K102" s="858">
        <f>SUM(AG102:BK102)</f>
        <v>3</v>
      </c>
      <c r="L102" s="858">
        <f t="shared" si="53"/>
        <v>1</v>
      </c>
      <c r="M102" s="858">
        <f t="shared" si="54"/>
        <v>1</v>
      </c>
      <c r="N102" s="861">
        <f t="shared" si="55"/>
        <v>2</v>
      </c>
      <c r="O102" s="861">
        <f t="shared" si="56"/>
        <v>0</v>
      </c>
      <c r="P102" s="861">
        <f t="shared" si="57"/>
        <v>0</v>
      </c>
      <c r="Q102" s="861">
        <f t="shared" si="58"/>
        <v>0</v>
      </c>
      <c r="R102" s="861">
        <f t="shared" si="59"/>
        <v>0</v>
      </c>
      <c r="S102" s="861">
        <f t="shared" si="60"/>
        <v>0</v>
      </c>
      <c r="T102" s="861"/>
      <c r="U102" s="861"/>
      <c r="V102" s="411"/>
      <c r="W102" s="411"/>
      <c r="X102" s="411"/>
      <c r="Y102" s="411"/>
      <c r="Z102" s="411"/>
      <c r="AA102" s="411"/>
      <c r="AB102" s="411"/>
      <c r="AC102" s="411"/>
      <c r="AD102" s="411"/>
      <c r="AE102" s="859"/>
      <c r="AF102" s="859"/>
      <c r="AG102" s="859"/>
      <c r="AH102" s="859"/>
      <c r="AI102" s="859"/>
      <c r="AJ102" s="859"/>
      <c r="AK102" s="859"/>
      <c r="AL102" s="859"/>
      <c r="AM102" s="859"/>
      <c r="AN102" s="859"/>
      <c r="AO102" s="859"/>
      <c r="AP102" s="859"/>
      <c r="AQ102" s="859"/>
      <c r="AR102" s="859"/>
      <c r="AS102" s="859"/>
      <c r="AT102" s="859"/>
      <c r="AU102" s="859"/>
      <c r="AV102" s="859"/>
      <c r="AW102" s="859"/>
      <c r="AX102" s="859"/>
      <c r="AY102" s="859"/>
      <c r="AZ102" s="859"/>
      <c r="BA102" s="859">
        <v>2</v>
      </c>
      <c r="BB102" s="859"/>
      <c r="BC102" s="859"/>
      <c r="BD102" s="411">
        <v>1</v>
      </c>
      <c r="BE102" s="411"/>
      <c r="BF102" s="859"/>
      <c r="BG102" s="411"/>
      <c r="BH102" s="411"/>
      <c r="BI102" s="859"/>
      <c r="BJ102" s="859"/>
      <c r="BK102" s="859"/>
      <c r="BL102" s="859"/>
      <c r="BM102" s="859"/>
      <c r="BN102" s="411"/>
      <c r="BO102" s="411"/>
      <c r="BP102" s="411"/>
      <c r="BQ102" s="411"/>
      <c r="BR102" s="859"/>
      <c r="BS102" s="859"/>
      <c r="BT102" s="859"/>
      <c r="BU102" s="859"/>
      <c r="BV102" s="859"/>
      <c r="BW102" s="859"/>
      <c r="BX102" s="859"/>
      <c r="BY102" s="859"/>
      <c r="BZ102" s="859">
        <v>1</v>
      </c>
      <c r="CA102" s="859"/>
      <c r="CB102" s="859"/>
      <c r="CC102" s="859"/>
      <c r="CD102" s="859"/>
      <c r="CE102" s="859"/>
      <c r="CF102" s="859"/>
      <c r="CG102" s="859"/>
      <c r="CH102" s="859"/>
      <c r="CI102" s="859"/>
      <c r="CJ102" s="859"/>
      <c r="CK102" s="859"/>
      <c r="CL102" s="859"/>
      <c r="CM102" s="859"/>
      <c r="CN102" s="859"/>
      <c r="CO102" s="859"/>
      <c r="CP102" s="859"/>
      <c r="CQ102" s="859"/>
      <c r="CR102" s="859"/>
      <c r="CS102" s="859"/>
      <c r="CT102" s="859"/>
      <c r="CU102" s="859"/>
      <c r="CV102" s="859"/>
      <c r="CW102" s="859"/>
      <c r="CX102" s="859"/>
      <c r="CY102" s="859"/>
      <c r="CZ102" s="859"/>
      <c r="DA102" s="859"/>
      <c r="DB102" s="859"/>
      <c r="DC102" s="859"/>
      <c r="DD102" s="859"/>
      <c r="DE102" s="859"/>
      <c r="DF102" s="859">
        <v>1</v>
      </c>
      <c r="DG102" s="859"/>
      <c r="DH102" s="859"/>
      <c r="DI102" s="859"/>
      <c r="DJ102" s="859"/>
      <c r="DK102" s="859"/>
      <c r="DL102" s="859"/>
      <c r="DM102" s="859"/>
      <c r="DN102" s="859"/>
      <c r="DO102" s="859"/>
      <c r="DP102" s="859"/>
      <c r="DQ102" s="859"/>
      <c r="DR102" s="859"/>
      <c r="DS102" s="859"/>
      <c r="DT102" s="859"/>
      <c r="DU102" s="859"/>
      <c r="DV102" s="859">
        <v>1</v>
      </c>
      <c r="DW102" s="859"/>
      <c r="DX102" s="859"/>
      <c r="DY102" s="859">
        <v>1</v>
      </c>
      <c r="DZ102" s="859"/>
      <c r="EA102" s="859"/>
      <c r="EB102" s="859"/>
      <c r="EC102" s="859"/>
      <c r="ED102" s="859"/>
      <c r="EE102" s="859"/>
      <c r="EF102" s="859"/>
      <c r="EG102" s="859"/>
      <c r="EH102" s="859"/>
      <c r="EI102" s="859"/>
      <c r="EJ102" s="859"/>
      <c r="EK102" s="859"/>
      <c r="EL102" s="859"/>
      <c r="EM102" s="859"/>
      <c r="EN102" s="859"/>
      <c r="EO102" s="859"/>
      <c r="EP102" s="859"/>
      <c r="EQ102" s="859"/>
      <c r="ER102" s="859"/>
      <c r="ES102" s="859"/>
      <c r="ET102" s="859"/>
      <c r="EU102" s="859"/>
      <c r="EV102" s="859"/>
      <c r="EW102" s="859"/>
      <c r="EX102" s="859"/>
      <c r="EY102" s="859"/>
      <c r="EZ102" s="859"/>
      <c r="FA102" s="859"/>
      <c r="FB102" s="859"/>
      <c r="FC102" s="859"/>
      <c r="FD102" s="859"/>
      <c r="FE102" s="859"/>
      <c r="FF102" s="859"/>
      <c r="FG102" s="859"/>
      <c r="FH102" s="859"/>
      <c r="FI102" s="859"/>
      <c r="FJ102" s="859"/>
      <c r="FK102" s="859"/>
      <c r="FL102" s="859"/>
      <c r="FM102" s="859"/>
      <c r="FN102" s="859"/>
      <c r="FO102" s="859"/>
      <c r="FP102" s="859"/>
      <c r="FQ102" s="859"/>
      <c r="FR102" s="859"/>
      <c r="FS102" s="859"/>
      <c r="FT102" s="859"/>
      <c r="FU102" s="859"/>
      <c r="FV102" s="859"/>
      <c r="FW102" s="859"/>
      <c r="FX102" s="859"/>
      <c r="FY102" s="859"/>
      <c r="FZ102" s="859"/>
      <c r="GA102" s="859"/>
      <c r="GB102" s="859"/>
      <c r="GC102" s="859"/>
      <c r="GD102" s="859"/>
      <c r="GE102" s="859"/>
      <c r="GF102" s="859"/>
      <c r="GG102" s="859"/>
      <c r="GH102" s="859"/>
      <c r="GI102" s="859"/>
      <c r="GJ102" s="859"/>
      <c r="GK102" s="859"/>
      <c r="GL102" s="859"/>
      <c r="GM102" s="859"/>
      <c r="GN102" s="859"/>
      <c r="GO102" s="859"/>
      <c r="GP102" s="859"/>
      <c r="GQ102" s="859"/>
      <c r="GR102" s="411"/>
      <c r="GS102" s="411"/>
      <c r="GT102" s="411"/>
      <c r="GU102" s="411"/>
      <c r="GV102" s="411"/>
      <c r="GW102" s="921" t="s">
        <v>1241</v>
      </c>
      <c r="GX102" s="921" t="s">
        <v>1332</v>
      </c>
      <c r="GY102" s="755" t="s">
        <v>1333</v>
      </c>
      <c r="GZ102" s="987" t="s">
        <v>1242</v>
      </c>
      <c r="HA102" s="987"/>
      <c r="HB102" s="864" t="s">
        <v>1263</v>
      </c>
      <c r="HC102" s="403"/>
      <c r="HD102" s="403"/>
      <c r="HE102" s="403"/>
      <c r="HF102" s="403"/>
      <c r="HG102" s="403"/>
      <c r="HH102" s="403"/>
      <c r="HI102" s="403"/>
      <c r="HJ102" s="403"/>
      <c r="HK102" s="403"/>
      <c r="HL102" s="403"/>
      <c r="HM102" s="403"/>
      <c r="HN102" s="403"/>
      <c r="HO102" s="403"/>
      <c r="HP102" s="403"/>
      <c r="HQ102" s="403"/>
      <c r="HR102" s="403"/>
      <c r="HS102" s="403"/>
      <c r="HT102" s="403"/>
      <c r="HU102" s="403"/>
      <c r="HV102" s="403"/>
      <c r="HW102" s="403"/>
      <c r="HX102" s="403"/>
      <c r="HY102" s="403"/>
      <c r="HZ102" s="403"/>
      <c r="IA102" s="403"/>
      <c r="IB102" s="403"/>
      <c r="IC102" s="403"/>
      <c r="ID102" s="403"/>
      <c r="IE102" s="403"/>
      <c r="IF102" s="403"/>
      <c r="IG102" s="403"/>
      <c r="IH102" s="403"/>
      <c r="II102" s="403"/>
      <c r="IJ102" s="403"/>
      <c r="IK102" s="403"/>
      <c r="IL102" s="403"/>
      <c r="IM102" s="403"/>
      <c r="IN102" s="403"/>
      <c r="IO102" s="403"/>
      <c r="IP102" s="403"/>
      <c r="IQ102" s="403"/>
      <c r="IR102" s="403"/>
      <c r="IS102" s="403"/>
      <c r="IT102" s="403"/>
      <c r="IU102" s="403"/>
      <c r="IV102" s="403"/>
      <c r="IW102" s="403"/>
      <c r="IX102" s="403"/>
      <c r="IY102" s="403"/>
      <c r="IZ102" s="403"/>
      <c r="JA102" s="403"/>
      <c r="JB102" s="403"/>
      <c r="JC102" s="403"/>
      <c r="JD102" s="403"/>
      <c r="JE102" s="403"/>
      <c r="JF102" s="403"/>
      <c r="JG102" s="403"/>
      <c r="JH102" s="403"/>
      <c r="JI102" s="403"/>
      <c r="JJ102" s="403"/>
      <c r="JK102" s="403"/>
      <c r="JL102" s="403"/>
      <c r="JM102" s="403"/>
      <c r="JN102" s="403"/>
      <c r="JO102" s="403"/>
      <c r="JP102" s="403"/>
      <c r="JQ102" s="403"/>
      <c r="JR102" s="403"/>
      <c r="JS102" s="403"/>
      <c r="JT102" s="403"/>
      <c r="JU102" s="403"/>
      <c r="JV102" s="403"/>
      <c r="JW102" s="403"/>
      <c r="JX102" s="403"/>
      <c r="JY102" s="403"/>
      <c r="JZ102" s="403"/>
      <c r="KA102" s="403"/>
    </row>
    <row r="103" spans="1:287" s="361" customFormat="1" ht="84.75" hidden="1" customHeight="1">
      <c r="A103" s="217">
        <v>35</v>
      </c>
      <c r="B103" s="1600"/>
      <c r="C103" s="754" t="s">
        <v>843</v>
      </c>
      <c r="D103" s="1199" t="s">
        <v>1330</v>
      </c>
      <c r="E103" s="861">
        <f t="shared" si="50"/>
        <v>1</v>
      </c>
      <c r="F103" s="377">
        <v>0</v>
      </c>
      <c r="G103" s="377">
        <v>0</v>
      </c>
      <c r="H103" s="377">
        <v>0</v>
      </c>
      <c r="I103" s="377">
        <v>0</v>
      </c>
      <c r="J103" s="858">
        <f t="shared" si="51"/>
        <v>0</v>
      </c>
      <c r="K103" s="858">
        <f t="shared" si="52"/>
        <v>0</v>
      </c>
      <c r="L103" s="858">
        <f t="shared" si="53"/>
        <v>0</v>
      </c>
      <c r="M103" s="858">
        <f t="shared" si="54"/>
        <v>0</v>
      </c>
      <c r="N103" s="861">
        <f t="shared" si="55"/>
        <v>1</v>
      </c>
      <c r="O103" s="861">
        <f t="shared" si="56"/>
        <v>0</v>
      </c>
      <c r="P103" s="861">
        <f t="shared" si="57"/>
        <v>0</v>
      </c>
      <c r="Q103" s="861">
        <f t="shared" si="58"/>
        <v>0</v>
      </c>
      <c r="R103" s="861">
        <f t="shared" si="59"/>
        <v>0</v>
      </c>
      <c r="S103" s="861">
        <f t="shared" si="60"/>
        <v>0</v>
      </c>
      <c r="T103" s="861"/>
      <c r="U103" s="861"/>
      <c r="V103" s="412"/>
      <c r="W103" s="412"/>
      <c r="X103" s="412"/>
      <c r="Y103" s="412"/>
      <c r="Z103" s="412"/>
      <c r="AA103" s="412"/>
      <c r="AB103" s="412"/>
      <c r="AC103" s="412"/>
      <c r="AD103" s="412"/>
      <c r="AE103" s="884"/>
      <c r="AF103" s="884"/>
      <c r="AG103" s="884"/>
      <c r="AH103" s="884"/>
      <c r="AI103" s="884"/>
      <c r="AJ103" s="884"/>
      <c r="AK103" s="884"/>
      <c r="AL103" s="884"/>
      <c r="AM103" s="884"/>
      <c r="AN103" s="884"/>
      <c r="AO103" s="884"/>
      <c r="AP103" s="884"/>
      <c r="AQ103" s="884"/>
      <c r="AR103" s="884"/>
      <c r="AS103" s="884"/>
      <c r="AT103" s="884"/>
      <c r="AU103" s="884"/>
      <c r="AV103" s="884"/>
      <c r="AW103" s="884"/>
      <c r="AX103" s="884"/>
      <c r="AY103" s="884"/>
      <c r="AZ103" s="884"/>
      <c r="BA103" s="884"/>
      <c r="BB103" s="884"/>
      <c r="BC103" s="884"/>
      <c r="BD103" s="412"/>
      <c r="BE103" s="412"/>
      <c r="BF103" s="884"/>
      <c r="BG103" s="412"/>
      <c r="BH103" s="412"/>
      <c r="BI103" s="884"/>
      <c r="BJ103" s="884"/>
      <c r="BK103" s="884"/>
      <c r="BL103" s="884"/>
      <c r="BM103" s="884"/>
      <c r="BN103" s="412"/>
      <c r="BO103" s="412"/>
      <c r="BP103" s="412"/>
      <c r="BQ103" s="412"/>
      <c r="BR103" s="884"/>
      <c r="BS103" s="884"/>
      <c r="BT103" s="884"/>
      <c r="BU103" s="884"/>
      <c r="BV103" s="884"/>
      <c r="BW103" s="884"/>
      <c r="BX103" s="884"/>
      <c r="BY103" s="884"/>
      <c r="BZ103" s="884"/>
      <c r="CA103" s="884"/>
      <c r="CB103" s="412"/>
      <c r="CC103" s="884"/>
      <c r="CD103" s="884"/>
      <c r="CE103" s="884"/>
      <c r="CF103" s="412"/>
      <c r="CG103" s="412"/>
      <c r="CH103" s="884"/>
      <c r="CI103" s="412"/>
      <c r="CJ103" s="884"/>
      <c r="CK103" s="884"/>
      <c r="CL103" s="412"/>
      <c r="CM103" s="412"/>
      <c r="CN103" s="412"/>
      <c r="CO103" s="884"/>
      <c r="CP103" s="412"/>
      <c r="CQ103" s="884"/>
      <c r="CR103" s="884"/>
      <c r="CS103" s="884"/>
      <c r="CT103" s="884"/>
      <c r="CU103" s="884"/>
      <c r="CV103" s="884"/>
      <c r="CW103" s="884"/>
      <c r="CX103" s="884"/>
      <c r="CY103" s="884"/>
      <c r="CZ103" s="884"/>
      <c r="DA103" s="884"/>
      <c r="DB103" s="412"/>
      <c r="DC103" s="412"/>
      <c r="DD103" s="412"/>
      <c r="DE103" s="884"/>
      <c r="DF103" s="884"/>
      <c r="DG103" s="412"/>
      <c r="DH103" s="884"/>
      <c r="DI103" s="884"/>
      <c r="DJ103" s="884"/>
      <c r="DK103" s="412"/>
      <c r="DL103" s="884"/>
      <c r="DM103" s="884"/>
      <c r="DN103" s="412"/>
      <c r="DO103" s="412"/>
      <c r="DP103" s="884"/>
      <c r="DQ103" s="884"/>
      <c r="DR103" s="412"/>
      <c r="DS103" s="859"/>
      <c r="DT103" s="859"/>
      <c r="DU103" s="859"/>
      <c r="DV103" s="859"/>
      <c r="DW103" s="859"/>
      <c r="DX103" s="859"/>
      <c r="DY103" s="859">
        <v>1</v>
      </c>
      <c r="DZ103" s="859"/>
      <c r="EA103" s="859"/>
      <c r="EB103" s="859"/>
      <c r="EC103" s="859"/>
      <c r="ED103" s="859"/>
      <c r="EE103" s="859"/>
      <c r="EF103" s="859"/>
      <c r="EG103" s="859"/>
      <c r="EH103" s="859"/>
      <c r="EI103" s="859"/>
      <c r="EJ103" s="859"/>
      <c r="EK103" s="859"/>
      <c r="EL103" s="859"/>
      <c r="EM103" s="859"/>
      <c r="EN103" s="859"/>
      <c r="EO103" s="859"/>
      <c r="EP103" s="859"/>
      <c r="EQ103" s="859"/>
      <c r="ER103" s="859"/>
      <c r="ES103" s="859"/>
      <c r="ET103" s="859"/>
      <c r="EU103" s="859"/>
      <c r="EV103" s="859"/>
      <c r="EW103" s="859"/>
      <c r="EX103" s="859"/>
      <c r="EY103" s="859"/>
      <c r="EZ103" s="859"/>
      <c r="FA103" s="859"/>
      <c r="FB103" s="859"/>
      <c r="FC103" s="859"/>
      <c r="FD103" s="859"/>
      <c r="FE103" s="859"/>
      <c r="FF103" s="859"/>
      <c r="FG103" s="859"/>
      <c r="FH103" s="859"/>
      <c r="FI103" s="859"/>
      <c r="FJ103" s="859"/>
      <c r="FK103" s="859"/>
      <c r="FL103" s="859"/>
      <c r="FM103" s="859"/>
      <c r="FN103" s="859"/>
      <c r="FO103" s="859"/>
      <c r="FP103" s="859"/>
      <c r="FQ103" s="859"/>
      <c r="FR103" s="859"/>
      <c r="FS103" s="859"/>
      <c r="FT103" s="859"/>
      <c r="FU103" s="859"/>
      <c r="FV103" s="859"/>
      <c r="FW103" s="859"/>
      <c r="FX103" s="859"/>
      <c r="FY103" s="859"/>
      <c r="FZ103" s="859"/>
      <c r="GA103" s="859"/>
      <c r="GB103" s="859"/>
      <c r="GC103" s="859"/>
      <c r="GD103" s="859"/>
      <c r="GE103" s="859"/>
      <c r="GF103" s="859"/>
      <c r="GG103" s="859"/>
      <c r="GH103" s="859"/>
      <c r="GI103" s="859"/>
      <c r="GJ103" s="859"/>
      <c r="GK103" s="859"/>
      <c r="GL103" s="859"/>
      <c r="GM103" s="859"/>
      <c r="GN103" s="859"/>
      <c r="GO103" s="859"/>
      <c r="GP103" s="859"/>
      <c r="GQ103" s="859"/>
      <c r="GR103" s="412"/>
      <c r="GS103" s="412"/>
      <c r="GT103" s="412"/>
      <c r="GU103" s="412"/>
      <c r="GV103" s="412"/>
      <c r="GW103" s="244"/>
      <c r="GX103" s="244"/>
      <c r="GY103" s="225"/>
      <c r="GZ103" s="421"/>
      <c r="HA103" s="987"/>
      <c r="HB103" s="864" t="s">
        <v>1331</v>
      </c>
      <c r="HC103" s="403"/>
      <c r="HD103" s="403"/>
      <c r="HE103" s="403"/>
      <c r="HF103" s="403"/>
      <c r="HG103" s="403"/>
      <c r="HH103" s="403"/>
      <c r="HI103" s="403"/>
      <c r="HJ103" s="403"/>
      <c r="HK103" s="403"/>
      <c r="HL103" s="403"/>
      <c r="HM103" s="403"/>
      <c r="HN103" s="403"/>
      <c r="HO103" s="403"/>
      <c r="HP103" s="403"/>
      <c r="HQ103" s="403"/>
      <c r="HR103" s="403"/>
      <c r="HS103" s="403"/>
      <c r="HT103" s="403"/>
      <c r="HU103" s="403"/>
      <c r="HV103" s="403"/>
      <c r="HW103" s="403"/>
      <c r="HX103" s="403"/>
      <c r="HY103" s="403"/>
      <c r="HZ103" s="403"/>
      <c r="IA103" s="403"/>
      <c r="IB103" s="403"/>
      <c r="IC103" s="403"/>
      <c r="ID103" s="403"/>
      <c r="IE103" s="403"/>
      <c r="IF103" s="403"/>
      <c r="IG103" s="403"/>
      <c r="IH103" s="403"/>
      <c r="II103" s="403"/>
      <c r="IJ103" s="403"/>
      <c r="IK103" s="403"/>
      <c r="IL103" s="403"/>
      <c r="IM103" s="403"/>
      <c r="IN103" s="403"/>
      <c r="IO103" s="403"/>
      <c r="IP103" s="403"/>
      <c r="IQ103" s="403"/>
      <c r="IR103" s="403"/>
      <c r="IS103" s="403"/>
      <c r="IT103" s="403"/>
      <c r="IU103" s="403"/>
      <c r="IV103" s="403"/>
      <c r="IW103" s="403"/>
      <c r="IX103" s="403"/>
      <c r="IY103" s="403"/>
      <c r="IZ103" s="403"/>
      <c r="JA103" s="403"/>
      <c r="JB103" s="403"/>
      <c r="JC103" s="403"/>
      <c r="JD103" s="403"/>
      <c r="JE103" s="403"/>
      <c r="JF103" s="403"/>
      <c r="JG103" s="403"/>
      <c r="JH103" s="403"/>
      <c r="JI103" s="403"/>
      <c r="JJ103" s="403"/>
      <c r="JK103" s="403"/>
      <c r="JL103" s="403"/>
      <c r="JM103" s="403"/>
      <c r="JN103" s="403"/>
      <c r="JO103" s="403"/>
      <c r="JP103" s="403"/>
      <c r="JQ103" s="403"/>
      <c r="JR103" s="403"/>
      <c r="JS103" s="403"/>
      <c r="JT103" s="403"/>
      <c r="JU103" s="403"/>
      <c r="JV103" s="403"/>
      <c r="JW103" s="403"/>
      <c r="JX103" s="403"/>
      <c r="JY103" s="403"/>
      <c r="JZ103" s="403"/>
      <c r="KA103" s="403"/>
    </row>
    <row r="104" spans="1:287" s="361" customFormat="1" ht="61.5" hidden="1" customHeight="1">
      <c r="A104" s="754">
        <v>36</v>
      </c>
      <c r="B104" s="880"/>
      <c r="C104" s="818"/>
      <c r="D104" s="885"/>
      <c r="E104" s="861">
        <f t="shared" si="50"/>
        <v>0</v>
      </c>
      <c r="F104" s="861"/>
      <c r="G104" s="861"/>
      <c r="H104" s="861"/>
      <c r="I104" s="861"/>
      <c r="J104" s="858"/>
      <c r="K104" s="861">
        <f t="shared" si="52"/>
        <v>0</v>
      </c>
      <c r="L104" s="861">
        <f t="shared" si="53"/>
        <v>0</v>
      </c>
      <c r="M104" s="858">
        <f t="shared" si="54"/>
        <v>0</v>
      </c>
      <c r="N104" s="861">
        <f t="shared" si="55"/>
        <v>0</v>
      </c>
      <c r="O104" s="861">
        <f t="shared" si="56"/>
        <v>0</v>
      </c>
      <c r="P104" s="861">
        <f t="shared" si="57"/>
        <v>0</v>
      </c>
      <c r="Q104" s="861">
        <f t="shared" si="58"/>
        <v>0</v>
      </c>
      <c r="R104" s="861">
        <f t="shared" si="59"/>
        <v>0</v>
      </c>
      <c r="S104" s="861">
        <f t="shared" si="60"/>
        <v>0</v>
      </c>
      <c r="T104" s="861"/>
      <c r="U104" s="861"/>
      <c r="V104" s="884"/>
      <c r="W104" s="884"/>
      <c r="X104" s="884"/>
      <c r="Y104" s="884"/>
      <c r="Z104" s="884"/>
      <c r="AA104" s="884"/>
      <c r="AB104" s="884"/>
      <c r="AC104" s="884"/>
      <c r="AD104" s="884"/>
      <c r="AE104" s="884"/>
      <c r="AF104" s="884"/>
      <c r="AG104" s="884"/>
      <c r="AH104" s="884"/>
      <c r="AI104" s="884"/>
      <c r="AJ104" s="884"/>
      <c r="AK104" s="884"/>
      <c r="AL104" s="884"/>
      <c r="AM104" s="884"/>
      <c r="AN104" s="884"/>
      <c r="AO104" s="884"/>
      <c r="AP104" s="884"/>
      <c r="AQ104" s="884"/>
      <c r="AR104" s="884"/>
      <c r="AS104" s="884"/>
      <c r="AT104" s="884"/>
      <c r="AU104" s="884"/>
      <c r="AV104" s="884"/>
      <c r="AW104" s="884"/>
      <c r="AX104" s="884"/>
      <c r="AY104" s="884"/>
      <c r="AZ104" s="884"/>
      <c r="BA104" s="884"/>
      <c r="BB104" s="884"/>
      <c r="BC104" s="884"/>
      <c r="BD104" s="884"/>
      <c r="BE104" s="884"/>
      <c r="BF104" s="884"/>
      <c r="BG104" s="884"/>
      <c r="BH104" s="884"/>
      <c r="BI104" s="884"/>
      <c r="BJ104" s="884"/>
      <c r="BK104" s="884"/>
      <c r="BL104" s="884"/>
      <c r="BM104" s="884"/>
      <c r="BN104" s="412"/>
      <c r="BO104" s="412"/>
      <c r="BP104" s="412"/>
      <c r="BQ104" s="412"/>
      <c r="BR104" s="884"/>
      <c r="BS104" s="884"/>
      <c r="BT104" s="884"/>
      <c r="BU104" s="884"/>
      <c r="BV104" s="884"/>
      <c r="BW104" s="884"/>
      <c r="BX104" s="884"/>
      <c r="BY104" s="884"/>
      <c r="BZ104" s="884"/>
      <c r="CA104" s="884"/>
      <c r="CB104" s="884"/>
      <c r="CC104" s="884"/>
      <c r="CD104" s="884"/>
      <c r="CE104" s="884"/>
      <c r="CF104" s="884"/>
      <c r="CG104" s="884"/>
      <c r="CH104" s="884"/>
      <c r="CI104" s="884"/>
      <c r="CJ104" s="884"/>
      <c r="CK104" s="884"/>
      <c r="CL104" s="884"/>
      <c r="CM104" s="884"/>
      <c r="CN104" s="884"/>
      <c r="CO104" s="884"/>
      <c r="CP104" s="884"/>
      <c r="CQ104" s="884"/>
      <c r="CR104" s="884"/>
      <c r="CS104" s="884"/>
      <c r="CT104" s="884"/>
      <c r="CU104" s="884"/>
      <c r="CV104" s="884"/>
      <c r="CW104" s="884"/>
      <c r="CX104" s="884"/>
      <c r="CY104" s="884"/>
      <c r="CZ104" s="884"/>
      <c r="DA104" s="884"/>
      <c r="DB104" s="884"/>
      <c r="DC104" s="884"/>
      <c r="DD104" s="884"/>
      <c r="DE104" s="884"/>
      <c r="DF104" s="884"/>
      <c r="DG104" s="884"/>
      <c r="DH104" s="884"/>
      <c r="DI104" s="884"/>
      <c r="DJ104" s="884"/>
      <c r="DK104" s="884"/>
      <c r="DL104" s="884"/>
      <c r="DM104" s="884"/>
      <c r="DN104" s="884"/>
      <c r="DO104" s="884"/>
      <c r="DP104" s="884"/>
      <c r="DQ104" s="884"/>
      <c r="DR104" s="884"/>
      <c r="DS104" s="884"/>
      <c r="DT104" s="884"/>
      <c r="DU104" s="884"/>
      <c r="DV104" s="884"/>
      <c r="DW104" s="884"/>
      <c r="DX104" s="884"/>
      <c r="DY104" s="884"/>
      <c r="DZ104" s="884"/>
      <c r="EA104" s="884"/>
      <c r="EB104" s="884"/>
      <c r="EC104" s="884"/>
      <c r="ED104" s="884"/>
      <c r="EE104" s="884"/>
      <c r="EF104" s="884"/>
      <c r="EG104" s="884"/>
      <c r="EH104" s="884"/>
      <c r="EI104" s="884"/>
      <c r="EJ104" s="884"/>
      <c r="EK104" s="884"/>
      <c r="EL104" s="884"/>
      <c r="EM104" s="884"/>
      <c r="EN104" s="884"/>
      <c r="EO104" s="884"/>
      <c r="EP104" s="884"/>
      <c r="EQ104" s="884"/>
      <c r="ER104" s="884"/>
      <c r="ES104" s="884"/>
      <c r="ET104" s="884"/>
      <c r="EU104" s="884"/>
      <c r="EV104" s="884"/>
      <c r="EW104" s="884"/>
      <c r="EX104" s="884"/>
      <c r="EY104" s="884"/>
      <c r="EZ104" s="884"/>
      <c r="FA104" s="884"/>
      <c r="FB104" s="884"/>
      <c r="FC104" s="884"/>
      <c r="FD104" s="884"/>
      <c r="FE104" s="884"/>
      <c r="FF104" s="884"/>
      <c r="FG104" s="884"/>
      <c r="FH104" s="884"/>
      <c r="FI104" s="884"/>
      <c r="FJ104" s="884"/>
      <c r="FK104" s="884"/>
      <c r="FL104" s="884"/>
      <c r="FM104" s="884"/>
      <c r="FN104" s="884"/>
      <c r="FO104" s="884"/>
      <c r="FP104" s="884"/>
      <c r="FQ104" s="884"/>
      <c r="FR104" s="884"/>
      <c r="FS104" s="884"/>
      <c r="FT104" s="884"/>
      <c r="FU104" s="884"/>
      <c r="FV104" s="884"/>
      <c r="FW104" s="884"/>
      <c r="FX104" s="884"/>
      <c r="FY104" s="884"/>
      <c r="FZ104" s="884"/>
      <c r="GA104" s="884"/>
      <c r="GB104" s="884"/>
      <c r="GC104" s="884"/>
      <c r="GD104" s="884"/>
      <c r="GE104" s="884"/>
      <c r="GF104" s="884"/>
      <c r="GG104" s="884"/>
      <c r="GH104" s="884"/>
      <c r="GI104" s="884"/>
      <c r="GJ104" s="884"/>
      <c r="GK104" s="884"/>
      <c r="GL104" s="884"/>
      <c r="GM104" s="884"/>
      <c r="GN104" s="884"/>
      <c r="GO104" s="884"/>
      <c r="GP104" s="884"/>
      <c r="GQ104" s="884"/>
      <c r="GR104" s="884"/>
      <c r="GS104" s="884"/>
      <c r="GT104" s="884"/>
      <c r="GU104" s="884"/>
      <c r="GV104" s="884"/>
      <c r="GW104" s="886"/>
      <c r="GX104" s="886"/>
      <c r="GY104" s="812"/>
      <c r="GZ104" s="887"/>
      <c r="HA104" s="422"/>
      <c r="HB104" s="872"/>
      <c r="HC104" s="403"/>
      <c r="HD104" s="403"/>
      <c r="HE104" s="403"/>
      <c r="HF104" s="403"/>
      <c r="HG104" s="403"/>
      <c r="HH104" s="403"/>
      <c r="HI104" s="403"/>
      <c r="HJ104" s="403"/>
      <c r="HK104" s="403"/>
      <c r="HL104" s="403"/>
      <c r="HM104" s="403"/>
      <c r="HN104" s="403"/>
      <c r="HO104" s="403"/>
      <c r="HP104" s="403"/>
      <c r="HQ104" s="403"/>
      <c r="HR104" s="403"/>
      <c r="HS104" s="403"/>
      <c r="HT104" s="403"/>
      <c r="HU104" s="403"/>
      <c r="HV104" s="403"/>
      <c r="HW104" s="403"/>
      <c r="HX104" s="403"/>
      <c r="HY104" s="403"/>
      <c r="HZ104" s="403"/>
      <c r="IA104" s="403"/>
      <c r="IB104" s="403"/>
      <c r="IC104" s="403"/>
      <c r="ID104" s="403"/>
      <c r="IE104" s="403"/>
      <c r="IF104" s="403"/>
      <c r="IG104" s="403"/>
      <c r="IH104" s="403"/>
      <c r="II104" s="403"/>
      <c r="IJ104" s="403"/>
      <c r="IK104" s="403"/>
      <c r="IL104" s="403"/>
      <c r="IM104" s="403"/>
      <c r="IN104" s="403"/>
      <c r="IO104" s="403"/>
      <c r="IP104" s="403"/>
      <c r="IQ104" s="403"/>
      <c r="IR104" s="403"/>
      <c r="IS104" s="403"/>
      <c r="IT104" s="403"/>
      <c r="IU104" s="403"/>
      <c r="IV104" s="403"/>
      <c r="IW104" s="403"/>
      <c r="IX104" s="403"/>
      <c r="IY104" s="403"/>
      <c r="IZ104" s="403"/>
      <c r="JA104" s="403"/>
      <c r="JB104" s="403"/>
      <c r="JC104" s="403"/>
      <c r="JD104" s="403"/>
      <c r="JE104" s="403"/>
      <c r="JF104" s="403"/>
      <c r="JG104" s="403"/>
      <c r="JH104" s="403"/>
      <c r="JI104" s="403"/>
      <c r="JJ104" s="403"/>
      <c r="JK104" s="403"/>
      <c r="JL104" s="403"/>
      <c r="JM104" s="403"/>
      <c r="JN104" s="403"/>
      <c r="JO104" s="403"/>
      <c r="JP104" s="403"/>
      <c r="JQ104" s="403"/>
      <c r="JR104" s="403"/>
      <c r="JS104" s="403"/>
      <c r="JT104" s="403"/>
      <c r="JU104" s="403"/>
      <c r="JV104" s="403"/>
      <c r="JW104" s="403"/>
      <c r="JX104" s="403"/>
      <c r="JY104" s="403"/>
      <c r="JZ104" s="403"/>
      <c r="KA104" s="403"/>
    </row>
    <row r="105" spans="1:287" s="361" customFormat="1" ht="28.5" hidden="1" customHeight="1">
      <c r="A105" s="217">
        <v>37</v>
      </c>
      <c r="B105" s="1601" t="s">
        <v>895</v>
      </c>
      <c r="C105" s="212" t="s">
        <v>843</v>
      </c>
      <c r="D105" s="85" t="s">
        <v>896</v>
      </c>
      <c r="E105" s="861">
        <f t="shared" si="50"/>
        <v>0</v>
      </c>
      <c r="F105" s="377">
        <v>0</v>
      </c>
      <c r="G105" s="377">
        <v>0</v>
      </c>
      <c r="H105" s="377">
        <v>0</v>
      </c>
      <c r="I105" s="377">
        <v>0</v>
      </c>
      <c r="J105" s="858">
        <f t="shared" si="51"/>
        <v>0</v>
      </c>
      <c r="K105" s="861">
        <f t="shared" si="52"/>
        <v>0</v>
      </c>
      <c r="L105" s="861">
        <f t="shared" si="53"/>
        <v>0</v>
      </c>
      <c r="M105" s="858">
        <f t="shared" si="54"/>
        <v>0</v>
      </c>
      <c r="N105" s="861">
        <f t="shared" si="55"/>
        <v>0</v>
      </c>
      <c r="O105" s="861">
        <f t="shared" si="56"/>
        <v>0</v>
      </c>
      <c r="P105" s="861">
        <f t="shared" si="57"/>
        <v>0</v>
      </c>
      <c r="Q105" s="861">
        <f t="shared" si="58"/>
        <v>0</v>
      </c>
      <c r="R105" s="861">
        <f t="shared" si="59"/>
        <v>0</v>
      </c>
      <c r="S105" s="861">
        <f t="shared" si="60"/>
        <v>0</v>
      </c>
      <c r="T105" s="861"/>
      <c r="U105" s="861"/>
      <c r="V105" s="412"/>
      <c r="W105" s="412"/>
      <c r="X105" s="412"/>
      <c r="Y105" s="412"/>
      <c r="Z105" s="412"/>
      <c r="AA105" s="412"/>
      <c r="AB105" s="412"/>
      <c r="AC105" s="412"/>
      <c r="AD105" s="412"/>
      <c r="AE105" s="884"/>
      <c r="AF105" s="884"/>
      <c r="AG105" s="884"/>
      <c r="AH105" s="884"/>
      <c r="AI105" s="884"/>
      <c r="AJ105" s="884"/>
      <c r="AK105" s="884"/>
      <c r="AL105" s="884"/>
      <c r="AM105" s="884"/>
      <c r="AN105" s="884"/>
      <c r="AO105" s="884"/>
      <c r="AP105" s="884"/>
      <c r="AQ105" s="884"/>
      <c r="AR105" s="884"/>
      <c r="AS105" s="884"/>
      <c r="AT105" s="884"/>
      <c r="AU105" s="884"/>
      <c r="AV105" s="884"/>
      <c r="AW105" s="884"/>
      <c r="AX105" s="884"/>
      <c r="AY105" s="884"/>
      <c r="AZ105" s="884"/>
      <c r="BA105" s="884"/>
      <c r="BB105" s="884"/>
      <c r="BC105" s="884"/>
      <c r="BD105" s="412"/>
      <c r="BE105" s="412"/>
      <c r="BF105" s="884"/>
      <c r="BG105" s="412"/>
      <c r="BH105" s="412"/>
      <c r="BI105" s="884"/>
      <c r="BJ105" s="884"/>
      <c r="BK105" s="884"/>
      <c r="BL105" s="884"/>
      <c r="BM105" s="884"/>
      <c r="BN105" s="412"/>
      <c r="BO105" s="412"/>
      <c r="BP105" s="412"/>
      <c r="BQ105" s="412"/>
      <c r="BR105" s="884"/>
      <c r="BS105" s="884"/>
      <c r="BT105" s="884"/>
      <c r="BU105" s="884"/>
      <c r="BV105" s="884"/>
      <c r="BW105" s="884"/>
      <c r="BX105" s="884"/>
      <c r="BY105" s="884"/>
      <c r="BZ105" s="884"/>
      <c r="CA105" s="884"/>
      <c r="CB105" s="412"/>
      <c r="CC105" s="884"/>
      <c r="CD105" s="884"/>
      <c r="CE105" s="884"/>
      <c r="CF105" s="412"/>
      <c r="CG105" s="412"/>
      <c r="CH105" s="884"/>
      <c r="CI105" s="412"/>
      <c r="CJ105" s="884"/>
      <c r="CK105" s="884"/>
      <c r="CL105" s="412"/>
      <c r="CM105" s="412"/>
      <c r="CN105" s="412"/>
      <c r="CO105" s="884"/>
      <c r="CP105" s="412"/>
      <c r="CQ105" s="884"/>
      <c r="CR105" s="884"/>
      <c r="CS105" s="884"/>
      <c r="CT105" s="884"/>
      <c r="CU105" s="884"/>
      <c r="CV105" s="884"/>
      <c r="CW105" s="884"/>
      <c r="CX105" s="884"/>
      <c r="CY105" s="884"/>
      <c r="CZ105" s="884"/>
      <c r="DA105" s="884"/>
      <c r="DB105" s="412"/>
      <c r="DC105" s="412"/>
      <c r="DD105" s="412"/>
      <c r="DE105" s="884"/>
      <c r="DF105" s="884"/>
      <c r="DG105" s="412"/>
      <c r="DH105" s="884"/>
      <c r="DI105" s="884"/>
      <c r="DJ105" s="884"/>
      <c r="DK105" s="412"/>
      <c r="DL105" s="884"/>
      <c r="DM105" s="884"/>
      <c r="DN105" s="412"/>
      <c r="DO105" s="412"/>
      <c r="DP105" s="884"/>
      <c r="DQ105" s="884"/>
      <c r="DR105" s="412"/>
      <c r="DS105" s="884"/>
      <c r="DT105" s="884"/>
      <c r="DU105" s="884"/>
      <c r="DV105" s="412"/>
      <c r="DW105" s="412"/>
      <c r="DX105" s="412"/>
      <c r="DY105" s="412"/>
      <c r="DZ105" s="884"/>
      <c r="EA105" s="884"/>
      <c r="EB105" s="412"/>
      <c r="EC105" s="412"/>
      <c r="ED105" s="412"/>
      <c r="EE105" s="412"/>
      <c r="EF105" s="412"/>
      <c r="EG105" s="884"/>
      <c r="EH105" s="884"/>
      <c r="EI105" s="884"/>
      <c r="EJ105" s="412"/>
      <c r="EK105" s="412"/>
      <c r="EL105" s="884"/>
      <c r="EM105" s="884"/>
      <c r="EN105" s="884"/>
      <c r="EO105" s="884"/>
      <c r="EP105" s="884"/>
      <c r="EQ105" s="884"/>
      <c r="ER105" s="412"/>
      <c r="ES105" s="412"/>
      <c r="ET105" s="412"/>
      <c r="EU105" s="884"/>
      <c r="EV105" s="884"/>
      <c r="EW105" s="412"/>
      <c r="EX105" s="412"/>
      <c r="EY105" s="412"/>
      <c r="EZ105" s="412"/>
      <c r="FA105" s="884"/>
      <c r="FB105" s="884"/>
      <c r="FC105" s="884"/>
      <c r="FD105" s="412"/>
      <c r="FE105" s="412"/>
      <c r="FF105" s="412"/>
      <c r="FG105" s="412"/>
      <c r="FH105" s="412"/>
      <c r="FI105" s="884"/>
      <c r="FJ105" s="884"/>
      <c r="FK105" s="884"/>
      <c r="FL105" s="412"/>
      <c r="FM105" s="412"/>
      <c r="FN105" s="884"/>
      <c r="FO105" s="412"/>
      <c r="FP105" s="884"/>
      <c r="FQ105" s="884"/>
      <c r="FR105" s="884"/>
      <c r="FS105" s="412"/>
      <c r="FT105" s="412"/>
      <c r="FU105" s="884"/>
      <c r="FV105" s="412"/>
      <c r="FW105" s="884"/>
      <c r="FX105" s="412"/>
      <c r="FY105" s="884"/>
      <c r="FZ105" s="884"/>
      <c r="GA105" s="884"/>
      <c r="GB105" s="884"/>
      <c r="GC105" s="884"/>
      <c r="GD105" s="884"/>
      <c r="GE105" s="884"/>
      <c r="GF105" s="412"/>
      <c r="GG105" s="884"/>
      <c r="GH105" s="412"/>
      <c r="GI105" s="884"/>
      <c r="GJ105" s="412"/>
      <c r="GK105" s="884"/>
      <c r="GL105" s="884"/>
      <c r="GM105" s="884"/>
      <c r="GN105" s="884"/>
      <c r="GO105" s="412"/>
      <c r="GP105" s="412"/>
      <c r="GQ105" s="412"/>
      <c r="GR105" s="412"/>
      <c r="GS105" s="412"/>
      <c r="GT105" s="412"/>
      <c r="GU105" s="412"/>
      <c r="GV105" s="412"/>
      <c r="GW105" s="244" t="s">
        <v>897</v>
      </c>
      <c r="GX105" s="244"/>
      <c r="GY105" s="225"/>
      <c r="GZ105" s="421"/>
      <c r="HA105" s="422"/>
      <c r="HB105" s="408" t="s">
        <v>861</v>
      </c>
      <c r="HC105" s="403"/>
      <c r="HD105" s="403"/>
      <c r="HE105" s="403"/>
      <c r="HF105" s="403"/>
      <c r="HG105" s="403"/>
      <c r="HH105" s="403"/>
      <c r="HI105" s="403"/>
      <c r="HJ105" s="403"/>
      <c r="HK105" s="403"/>
      <c r="HL105" s="403"/>
      <c r="HM105" s="403"/>
      <c r="HN105" s="403"/>
      <c r="HO105" s="403"/>
      <c r="HP105" s="403"/>
      <c r="HQ105" s="403"/>
      <c r="HR105" s="403"/>
      <c r="HS105" s="403"/>
      <c r="HT105" s="403"/>
      <c r="HU105" s="403"/>
      <c r="HV105" s="403"/>
      <c r="HW105" s="403"/>
      <c r="HX105" s="403"/>
      <c r="HY105" s="403"/>
      <c r="HZ105" s="403"/>
      <c r="IA105" s="403"/>
      <c r="IB105" s="403"/>
      <c r="IC105" s="403"/>
      <c r="ID105" s="403"/>
      <c r="IE105" s="403"/>
      <c r="IF105" s="403"/>
      <c r="IG105" s="403"/>
      <c r="IH105" s="403"/>
      <c r="II105" s="403"/>
      <c r="IJ105" s="403"/>
      <c r="IK105" s="403"/>
      <c r="IL105" s="403"/>
      <c r="IM105" s="403"/>
      <c r="IN105" s="403"/>
      <c r="IO105" s="403"/>
      <c r="IP105" s="403"/>
      <c r="IQ105" s="403"/>
      <c r="IR105" s="403"/>
      <c r="IS105" s="403"/>
      <c r="IT105" s="403"/>
      <c r="IU105" s="403"/>
      <c r="IV105" s="403"/>
      <c r="IW105" s="403"/>
      <c r="IX105" s="403"/>
      <c r="IY105" s="403"/>
      <c r="IZ105" s="403"/>
      <c r="JA105" s="403"/>
      <c r="JB105" s="403"/>
      <c r="JC105" s="403"/>
      <c r="JD105" s="403"/>
      <c r="JE105" s="403"/>
      <c r="JF105" s="403"/>
      <c r="JG105" s="403"/>
      <c r="JH105" s="403"/>
      <c r="JI105" s="403"/>
      <c r="JJ105" s="403"/>
      <c r="JK105" s="403"/>
      <c r="JL105" s="403"/>
      <c r="JM105" s="403"/>
      <c r="JN105" s="403"/>
      <c r="JO105" s="403"/>
      <c r="JP105" s="403"/>
      <c r="JQ105" s="403"/>
      <c r="JR105" s="403"/>
      <c r="JS105" s="403"/>
      <c r="JT105" s="403"/>
      <c r="JU105" s="403"/>
      <c r="JV105" s="403"/>
      <c r="JW105" s="403"/>
      <c r="JX105" s="403"/>
      <c r="JY105" s="403"/>
      <c r="JZ105" s="403"/>
      <c r="KA105" s="403"/>
    </row>
    <row r="106" spans="1:287" s="361" customFormat="1" ht="28.5" hidden="1" customHeight="1">
      <c r="A106" s="212">
        <v>38</v>
      </c>
      <c r="B106" s="1601"/>
      <c r="C106" s="212" t="s">
        <v>843</v>
      </c>
      <c r="D106" s="84" t="s">
        <v>894</v>
      </c>
      <c r="E106" s="861">
        <f t="shared" si="50"/>
        <v>0</v>
      </c>
      <c r="F106" s="377">
        <v>0</v>
      </c>
      <c r="G106" s="377">
        <v>0</v>
      </c>
      <c r="H106" s="377">
        <v>0</v>
      </c>
      <c r="I106" s="377">
        <v>0</v>
      </c>
      <c r="J106" s="858">
        <f t="shared" si="51"/>
        <v>0</v>
      </c>
      <c r="K106" s="861">
        <f t="shared" si="52"/>
        <v>0</v>
      </c>
      <c r="L106" s="861">
        <f t="shared" si="53"/>
        <v>0</v>
      </c>
      <c r="M106" s="858">
        <f t="shared" si="54"/>
        <v>0</v>
      </c>
      <c r="N106" s="861">
        <f t="shared" si="55"/>
        <v>0</v>
      </c>
      <c r="O106" s="861">
        <f t="shared" si="56"/>
        <v>0</v>
      </c>
      <c r="P106" s="861">
        <f t="shared" si="57"/>
        <v>0</v>
      </c>
      <c r="Q106" s="861">
        <f t="shared" si="58"/>
        <v>0</v>
      </c>
      <c r="R106" s="861">
        <f t="shared" si="59"/>
        <v>0</v>
      </c>
      <c r="S106" s="861">
        <f t="shared" si="60"/>
        <v>0</v>
      </c>
      <c r="T106" s="861"/>
      <c r="U106" s="861"/>
      <c r="V106" s="412"/>
      <c r="W106" s="412"/>
      <c r="X106" s="412"/>
      <c r="Y106" s="412"/>
      <c r="Z106" s="412"/>
      <c r="AA106" s="412"/>
      <c r="AB106" s="412"/>
      <c r="AC106" s="412"/>
      <c r="AD106" s="412"/>
      <c r="AE106" s="884"/>
      <c r="AF106" s="884"/>
      <c r="AG106" s="884"/>
      <c r="AH106" s="884"/>
      <c r="AI106" s="884"/>
      <c r="AJ106" s="884"/>
      <c r="AK106" s="884"/>
      <c r="AL106" s="884"/>
      <c r="AM106" s="884"/>
      <c r="AN106" s="884"/>
      <c r="AO106" s="884"/>
      <c r="AP106" s="884"/>
      <c r="AQ106" s="884"/>
      <c r="AR106" s="884"/>
      <c r="AS106" s="884"/>
      <c r="AT106" s="884"/>
      <c r="AU106" s="884"/>
      <c r="AV106" s="884"/>
      <c r="AW106" s="884"/>
      <c r="AX106" s="884"/>
      <c r="AY106" s="884"/>
      <c r="AZ106" s="884"/>
      <c r="BA106" s="884"/>
      <c r="BB106" s="884"/>
      <c r="BC106" s="884"/>
      <c r="BD106" s="412"/>
      <c r="BE106" s="412"/>
      <c r="BF106" s="884"/>
      <c r="BG106" s="412"/>
      <c r="BH106" s="412"/>
      <c r="BI106" s="884"/>
      <c r="BJ106" s="884"/>
      <c r="BK106" s="884"/>
      <c r="BL106" s="884"/>
      <c r="BM106" s="884"/>
      <c r="BN106" s="412"/>
      <c r="BO106" s="412"/>
      <c r="BP106" s="412"/>
      <c r="BQ106" s="412"/>
      <c r="BR106" s="884"/>
      <c r="BS106" s="884"/>
      <c r="BT106" s="884"/>
      <c r="BU106" s="884"/>
      <c r="BV106" s="884"/>
      <c r="BW106" s="884"/>
      <c r="BX106" s="884"/>
      <c r="BY106" s="884"/>
      <c r="BZ106" s="884"/>
      <c r="CA106" s="884"/>
      <c r="CB106" s="412"/>
      <c r="CC106" s="884"/>
      <c r="CD106" s="884"/>
      <c r="CE106" s="884"/>
      <c r="CF106" s="412"/>
      <c r="CG106" s="412"/>
      <c r="CH106" s="884"/>
      <c r="CI106" s="412"/>
      <c r="CJ106" s="884"/>
      <c r="CK106" s="884"/>
      <c r="CL106" s="412"/>
      <c r="CM106" s="412"/>
      <c r="CN106" s="412"/>
      <c r="CO106" s="884"/>
      <c r="CP106" s="412"/>
      <c r="CQ106" s="884"/>
      <c r="CR106" s="884"/>
      <c r="CS106" s="884"/>
      <c r="CT106" s="884"/>
      <c r="CU106" s="884"/>
      <c r="CV106" s="884"/>
      <c r="CW106" s="884"/>
      <c r="CX106" s="884"/>
      <c r="CY106" s="884"/>
      <c r="CZ106" s="884"/>
      <c r="DA106" s="884"/>
      <c r="DB106" s="412"/>
      <c r="DC106" s="412"/>
      <c r="DD106" s="412"/>
      <c r="DE106" s="884"/>
      <c r="DF106" s="884"/>
      <c r="DG106" s="412"/>
      <c r="DH106" s="884"/>
      <c r="DI106" s="884"/>
      <c r="DJ106" s="884"/>
      <c r="DK106" s="412"/>
      <c r="DL106" s="884"/>
      <c r="DM106" s="884"/>
      <c r="DN106" s="412"/>
      <c r="DO106" s="412"/>
      <c r="DP106" s="884"/>
      <c r="DQ106" s="884"/>
      <c r="DR106" s="412"/>
      <c r="DS106" s="884"/>
      <c r="DT106" s="884"/>
      <c r="DU106" s="884"/>
      <c r="DV106" s="412"/>
      <c r="DW106" s="412"/>
      <c r="DX106" s="412"/>
      <c r="DY106" s="412"/>
      <c r="DZ106" s="884"/>
      <c r="EA106" s="884"/>
      <c r="EB106" s="412"/>
      <c r="EC106" s="412"/>
      <c r="ED106" s="412"/>
      <c r="EE106" s="412"/>
      <c r="EF106" s="412"/>
      <c r="EG106" s="884"/>
      <c r="EH106" s="884"/>
      <c r="EI106" s="884"/>
      <c r="EJ106" s="412"/>
      <c r="EK106" s="412"/>
      <c r="EL106" s="884"/>
      <c r="EM106" s="884"/>
      <c r="EN106" s="884"/>
      <c r="EO106" s="884"/>
      <c r="EP106" s="884"/>
      <c r="EQ106" s="884"/>
      <c r="ER106" s="412"/>
      <c r="ES106" s="412"/>
      <c r="ET106" s="412"/>
      <c r="EU106" s="884"/>
      <c r="EV106" s="884"/>
      <c r="EW106" s="412"/>
      <c r="EX106" s="412"/>
      <c r="EY106" s="412"/>
      <c r="EZ106" s="412"/>
      <c r="FA106" s="884"/>
      <c r="FB106" s="884"/>
      <c r="FC106" s="884"/>
      <c r="FD106" s="412"/>
      <c r="FE106" s="412"/>
      <c r="FF106" s="412"/>
      <c r="FG106" s="412"/>
      <c r="FH106" s="412"/>
      <c r="FI106" s="884"/>
      <c r="FJ106" s="884"/>
      <c r="FK106" s="884"/>
      <c r="FL106" s="412"/>
      <c r="FM106" s="412"/>
      <c r="FN106" s="884"/>
      <c r="FO106" s="412"/>
      <c r="FP106" s="884"/>
      <c r="FQ106" s="884"/>
      <c r="FR106" s="884"/>
      <c r="FS106" s="412"/>
      <c r="FT106" s="412"/>
      <c r="FU106" s="884"/>
      <c r="FV106" s="412"/>
      <c r="FW106" s="884"/>
      <c r="FX106" s="412"/>
      <c r="FY106" s="884"/>
      <c r="FZ106" s="884"/>
      <c r="GA106" s="884"/>
      <c r="GB106" s="884"/>
      <c r="GC106" s="884"/>
      <c r="GD106" s="884"/>
      <c r="GE106" s="884"/>
      <c r="GF106" s="412"/>
      <c r="GG106" s="884"/>
      <c r="GH106" s="412"/>
      <c r="GI106" s="884"/>
      <c r="GJ106" s="412"/>
      <c r="GK106" s="884"/>
      <c r="GL106" s="884"/>
      <c r="GM106" s="884"/>
      <c r="GN106" s="884"/>
      <c r="GO106" s="412"/>
      <c r="GP106" s="412"/>
      <c r="GQ106" s="412"/>
      <c r="GR106" s="412"/>
      <c r="GS106" s="412"/>
      <c r="GT106" s="412"/>
      <c r="GU106" s="412"/>
      <c r="GV106" s="412"/>
      <c r="GW106" s="244" t="s">
        <v>897</v>
      </c>
      <c r="GX106" s="244"/>
      <c r="GY106" s="225"/>
      <c r="GZ106" s="421"/>
      <c r="HA106" s="422"/>
      <c r="HB106" s="408" t="s">
        <v>861</v>
      </c>
      <c r="HC106" s="403"/>
      <c r="HD106" s="403"/>
      <c r="HE106" s="403"/>
      <c r="HF106" s="403"/>
      <c r="HG106" s="403"/>
      <c r="HH106" s="403"/>
      <c r="HI106" s="403"/>
      <c r="HJ106" s="403"/>
      <c r="HK106" s="403"/>
      <c r="HL106" s="403"/>
      <c r="HM106" s="403"/>
      <c r="HN106" s="403"/>
      <c r="HO106" s="403"/>
      <c r="HP106" s="403"/>
      <c r="HQ106" s="403"/>
      <c r="HR106" s="403"/>
      <c r="HS106" s="403"/>
      <c r="HT106" s="403"/>
      <c r="HU106" s="403"/>
      <c r="HV106" s="403"/>
      <c r="HW106" s="403"/>
      <c r="HX106" s="403"/>
      <c r="HY106" s="403"/>
      <c r="HZ106" s="403"/>
      <c r="IA106" s="403"/>
      <c r="IB106" s="403"/>
      <c r="IC106" s="403"/>
      <c r="ID106" s="403"/>
      <c r="IE106" s="403"/>
      <c r="IF106" s="403"/>
      <c r="IG106" s="403"/>
      <c r="IH106" s="403"/>
      <c r="II106" s="403"/>
      <c r="IJ106" s="403"/>
      <c r="IK106" s="403"/>
      <c r="IL106" s="403"/>
      <c r="IM106" s="403"/>
      <c r="IN106" s="403"/>
      <c r="IO106" s="403"/>
      <c r="IP106" s="403"/>
      <c r="IQ106" s="403"/>
      <c r="IR106" s="403"/>
      <c r="IS106" s="403"/>
      <c r="IT106" s="403"/>
      <c r="IU106" s="403"/>
      <c r="IV106" s="403"/>
      <c r="IW106" s="403"/>
      <c r="IX106" s="403"/>
      <c r="IY106" s="403"/>
      <c r="IZ106" s="403"/>
      <c r="JA106" s="403"/>
      <c r="JB106" s="403"/>
      <c r="JC106" s="403"/>
      <c r="JD106" s="403"/>
      <c r="JE106" s="403"/>
      <c r="JF106" s="403"/>
      <c r="JG106" s="403"/>
      <c r="JH106" s="403"/>
      <c r="JI106" s="403"/>
      <c r="JJ106" s="403"/>
      <c r="JK106" s="403"/>
      <c r="JL106" s="403"/>
      <c r="JM106" s="403"/>
      <c r="JN106" s="403"/>
      <c r="JO106" s="403"/>
      <c r="JP106" s="403"/>
      <c r="JQ106" s="403"/>
      <c r="JR106" s="403"/>
      <c r="JS106" s="403"/>
      <c r="JT106" s="403"/>
      <c r="JU106" s="403"/>
      <c r="JV106" s="403"/>
      <c r="JW106" s="403"/>
      <c r="JX106" s="403"/>
      <c r="JY106" s="403"/>
      <c r="JZ106" s="403"/>
      <c r="KA106" s="403"/>
    </row>
    <row r="107" spans="1:287" s="361" customFormat="1" ht="28.5" hidden="1" customHeight="1">
      <c r="A107" s="217">
        <v>39</v>
      </c>
      <c r="B107" s="1601"/>
      <c r="C107" s="212" t="s">
        <v>843</v>
      </c>
      <c r="D107" s="84" t="s">
        <v>898</v>
      </c>
      <c r="E107" s="861">
        <f t="shared" si="50"/>
        <v>0</v>
      </c>
      <c r="F107" s="377">
        <v>0</v>
      </c>
      <c r="G107" s="377">
        <v>0</v>
      </c>
      <c r="H107" s="377">
        <v>0</v>
      </c>
      <c r="I107" s="377">
        <v>0</v>
      </c>
      <c r="J107" s="858">
        <f t="shared" si="51"/>
        <v>0</v>
      </c>
      <c r="K107" s="861">
        <f t="shared" si="52"/>
        <v>0</v>
      </c>
      <c r="L107" s="861">
        <f t="shared" si="53"/>
        <v>0</v>
      </c>
      <c r="M107" s="858">
        <f t="shared" si="54"/>
        <v>0</v>
      </c>
      <c r="N107" s="861">
        <f t="shared" si="55"/>
        <v>0</v>
      </c>
      <c r="O107" s="861">
        <f t="shared" si="56"/>
        <v>0</v>
      </c>
      <c r="P107" s="861">
        <f t="shared" si="57"/>
        <v>0</v>
      </c>
      <c r="Q107" s="861">
        <f t="shared" si="58"/>
        <v>0</v>
      </c>
      <c r="R107" s="861">
        <f t="shared" si="59"/>
        <v>0</v>
      </c>
      <c r="S107" s="861">
        <f t="shared" si="60"/>
        <v>0</v>
      </c>
      <c r="T107" s="861"/>
      <c r="U107" s="861"/>
      <c r="V107" s="412"/>
      <c r="W107" s="412"/>
      <c r="X107" s="412"/>
      <c r="Y107" s="412"/>
      <c r="Z107" s="412"/>
      <c r="AA107" s="412"/>
      <c r="AB107" s="412"/>
      <c r="AC107" s="412"/>
      <c r="AD107" s="412"/>
      <c r="AE107" s="884"/>
      <c r="AF107" s="884"/>
      <c r="AG107" s="884"/>
      <c r="AH107" s="884"/>
      <c r="AI107" s="884"/>
      <c r="AJ107" s="884"/>
      <c r="AK107" s="884"/>
      <c r="AL107" s="884"/>
      <c r="AM107" s="884"/>
      <c r="AN107" s="884"/>
      <c r="AO107" s="884"/>
      <c r="AP107" s="884"/>
      <c r="AQ107" s="884"/>
      <c r="AR107" s="884"/>
      <c r="AS107" s="884"/>
      <c r="AT107" s="884"/>
      <c r="AU107" s="884"/>
      <c r="AV107" s="884"/>
      <c r="AW107" s="884"/>
      <c r="AX107" s="884"/>
      <c r="AY107" s="884"/>
      <c r="AZ107" s="884"/>
      <c r="BA107" s="884"/>
      <c r="BB107" s="884"/>
      <c r="BC107" s="884"/>
      <c r="BD107" s="412"/>
      <c r="BE107" s="412"/>
      <c r="BF107" s="884"/>
      <c r="BG107" s="412"/>
      <c r="BH107" s="412"/>
      <c r="BI107" s="884"/>
      <c r="BJ107" s="884"/>
      <c r="BK107" s="884"/>
      <c r="BL107" s="884"/>
      <c r="BM107" s="884"/>
      <c r="BN107" s="412"/>
      <c r="BO107" s="412"/>
      <c r="BP107" s="412"/>
      <c r="BQ107" s="412"/>
      <c r="BR107" s="884"/>
      <c r="BS107" s="884"/>
      <c r="BT107" s="884"/>
      <c r="BU107" s="884"/>
      <c r="BV107" s="884"/>
      <c r="BW107" s="884"/>
      <c r="BX107" s="884"/>
      <c r="BY107" s="884"/>
      <c r="BZ107" s="884"/>
      <c r="CA107" s="884"/>
      <c r="CB107" s="412"/>
      <c r="CC107" s="884"/>
      <c r="CD107" s="884"/>
      <c r="CE107" s="884"/>
      <c r="CF107" s="412"/>
      <c r="CG107" s="412"/>
      <c r="CH107" s="884"/>
      <c r="CI107" s="412"/>
      <c r="CJ107" s="884"/>
      <c r="CK107" s="884"/>
      <c r="CL107" s="412"/>
      <c r="CM107" s="412"/>
      <c r="CN107" s="412"/>
      <c r="CO107" s="884"/>
      <c r="CP107" s="412"/>
      <c r="CQ107" s="884"/>
      <c r="CR107" s="884"/>
      <c r="CS107" s="884"/>
      <c r="CT107" s="884"/>
      <c r="CU107" s="884"/>
      <c r="CV107" s="884"/>
      <c r="CW107" s="884"/>
      <c r="CX107" s="884"/>
      <c r="CY107" s="884"/>
      <c r="CZ107" s="884"/>
      <c r="DA107" s="884"/>
      <c r="DB107" s="412"/>
      <c r="DC107" s="412"/>
      <c r="DD107" s="412"/>
      <c r="DE107" s="884"/>
      <c r="DF107" s="884"/>
      <c r="DG107" s="412"/>
      <c r="DH107" s="884"/>
      <c r="DI107" s="884"/>
      <c r="DJ107" s="884"/>
      <c r="DK107" s="412"/>
      <c r="DL107" s="884"/>
      <c r="DM107" s="884"/>
      <c r="DN107" s="412"/>
      <c r="DO107" s="412"/>
      <c r="DP107" s="884"/>
      <c r="DQ107" s="884"/>
      <c r="DR107" s="412"/>
      <c r="DS107" s="884"/>
      <c r="DT107" s="884"/>
      <c r="DU107" s="884"/>
      <c r="DV107" s="412"/>
      <c r="DW107" s="412"/>
      <c r="DX107" s="412"/>
      <c r="DY107" s="412"/>
      <c r="DZ107" s="884"/>
      <c r="EA107" s="884"/>
      <c r="EB107" s="412"/>
      <c r="EC107" s="412"/>
      <c r="ED107" s="412"/>
      <c r="EE107" s="412"/>
      <c r="EF107" s="412"/>
      <c r="EG107" s="884"/>
      <c r="EH107" s="884"/>
      <c r="EI107" s="884"/>
      <c r="EJ107" s="412"/>
      <c r="EK107" s="412"/>
      <c r="EL107" s="884"/>
      <c r="EM107" s="884"/>
      <c r="EN107" s="884"/>
      <c r="EO107" s="884"/>
      <c r="EP107" s="884"/>
      <c r="EQ107" s="884"/>
      <c r="ER107" s="412"/>
      <c r="ES107" s="412"/>
      <c r="ET107" s="412"/>
      <c r="EU107" s="884"/>
      <c r="EV107" s="884"/>
      <c r="EW107" s="412"/>
      <c r="EX107" s="412"/>
      <c r="EY107" s="412"/>
      <c r="EZ107" s="412"/>
      <c r="FA107" s="884"/>
      <c r="FB107" s="884"/>
      <c r="FC107" s="884"/>
      <c r="FD107" s="412"/>
      <c r="FE107" s="412"/>
      <c r="FF107" s="412"/>
      <c r="FG107" s="412"/>
      <c r="FH107" s="412"/>
      <c r="FI107" s="884"/>
      <c r="FJ107" s="884"/>
      <c r="FK107" s="884"/>
      <c r="FL107" s="412"/>
      <c r="FM107" s="412"/>
      <c r="FN107" s="884"/>
      <c r="FO107" s="412"/>
      <c r="FP107" s="884"/>
      <c r="FQ107" s="884"/>
      <c r="FR107" s="884"/>
      <c r="FS107" s="412"/>
      <c r="FT107" s="412"/>
      <c r="FU107" s="884"/>
      <c r="FV107" s="412"/>
      <c r="FW107" s="884"/>
      <c r="FX107" s="412"/>
      <c r="FY107" s="884"/>
      <c r="FZ107" s="884"/>
      <c r="GA107" s="884"/>
      <c r="GB107" s="884"/>
      <c r="GC107" s="884"/>
      <c r="GD107" s="884"/>
      <c r="GE107" s="884"/>
      <c r="GF107" s="412"/>
      <c r="GG107" s="884"/>
      <c r="GH107" s="412"/>
      <c r="GI107" s="884"/>
      <c r="GJ107" s="412"/>
      <c r="GK107" s="884"/>
      <c r="GL107" s="884"/>
      <c r="GM107" s="884"/>
      <c r="GN107" s="884"/>
      <c r="GO107" s="412"/>
      <c r="GP107" s="412"/>
      <c r="GQ107" s="412"/>
      <c r="GR107" s="412"/>
      <c r="GS107" s="412"/>
      <c r="GT107" s="412"/>
      <c r="GU107" s="412"/>
      <c r="GV107" s="412"/>
      <c r="GW107" s="244" t="s">
        <v>899</v>
      </c>
      <c r="GX107" s="244"/>
      <c r="GY107" s="225"/>
      <c r="GZ107" s="421"/>
      <c r="HA107" s="422"/>
      <c r="HB107" s="275" t="s">
        <v>873</v>
      </c>
      <c r="HC107" s="403"/>
      <c r="HD107" s="403"/>
      <c r="HE107" s="403"/>
      <c r="HF107" s="403"/>
      <c r="HG107" s="403"/>
      <c r="HH107" s="403"/>
      <c r="HI107" s="403"/>
      <c r="HJ107" s="403"/>
      <c r="HK107" s="403"/>
      <c r="HL107" s="403"/>
      <c r="HM107" s="403"/>
      <c r="HN107" s="403"/>
      <c r="HO107" s="403"/>
      <c r="HP107" s="403"/>
      <c r="HQ107" s="403"/>
      <c r="HR107" s="403"/>
      <c r="HS107" s="403"/>
      <c r="HT107" s="403"/>
      <c r="HU107" s="403"/>
      <c r="HV107" s="403"/>
      <c r="HW107" s="403"/>
      <c r="HX107" s="403"/>
      <c r="HY107" s="403"/>
      <c r="HZ107" s="403"/>
      <c r="IA107" s="403"/>
      <c r="IB107" s="403"/>
      <c r="IC107" s="403"/>
      <c r="ID107" s="403"/>
      <c r="IE107" s="403"/>
      <c r="IF107" s="403"/>
      <c r="IG107" s="403"/>
      <c r="IH107" s="403"/>
      <c r="II107" s="403"/>
      <c r="IJ107" s="403"/>
      <c r="IK107" s="403"/>
      <c r="IL107" s="403"/>
      <c r="IM107" s="403"/>
      <c r="IN107" s="403"/>
      <c r="IO107" s="403"/>
      <c r="IP107" s="403"/>
      <c r="IQ107" s="403"/>
      <c r="IR107" s="403"/>
      <c r="IS107" s="403"/>
      <c r="IT107" s="403"/>
      <c r="IU107" s="403"/>
      <c r="IV107" s="403"/>
      <c r="IW107" s="403"/>
      <c r="IX107" s="403"/>
      <c r="IY107" s="403"/>
      <c r="IZ107" s="403"/>
      <c r="JA107" s="403"/>
      <c r="JB107" s="403"/>
      <c r="JC107" s="403"/>
      <c r="JD107" s="403"/>
      <c r="JE107" s="403"/>
      <c r="JF107" s="403"/>
      <c r="JG107" s="403"/>
      <c r="JH107" s="403"/>
      <c r="JI107" s="403"/>
      <c r="JJ107" s="403"/>
      <c r="JK107" s="403"/>
      <c r="JL107" s="403"/>
      <c r="JM107" s="403"/>
      <c r="JN107" s="403"/>
      <c r="JO107" s="403"/>
      <c r="JP107" s="403"/>
      <c r="JQ107" s="403"/>
      <c r="JR107" s="403"/>
      <c r="JS107" s="403"/>
      <c r="JT107" s="403"/>
      <c r="JU107" s="403"/>
      <c r="JV107" s="403"/>
      <c r="JW107" s="403"/>
      <c r="JX107" s="403"/>
      <c r="JY107" s="403"/>
      <c r="JZ107" s="403"/>
      <c r="KA107" s="403"/>
    </row>
    <row r="108" spans="1:287" s="361" customFormat="1" ht="41.25" hidden="1" customHeight="1">
      <c r="A108" s="217">
        <v>40</v>
      </c>
      <c r="B108" s="1599"/>
      <c r="C108" s="212" t="s">
        <v>843</v>
      </c>
      <c r="D108" s="84" t="s">
        <v>900</v>
      </c>
      <c r="E108" s="861">
        <f t="shared" si="50"/>
        <v>0</v>
      </c>
      <c r="F108" s="377">
        <v>0</v>
      </c>
      <c r="G108" s="377">
        <v>0</v>
      </c>
      <c r="H108" s="377">
        <v>0</v>
      </c>
      <c r="I108" s="377">
        <v>0</v>
      </c>
      <c r="J108" s="858">
        <f t="shared" si="51"/>
        <v>0</v>
      </c>
      <c r="K108" s="861">
        <f t="shared" si="52"/>
        <v>0</v>
      </c>
      <c r="L108" s="861">
        <f t="shared" si="53"/>
        <v>0</v>
      </c>
      <c r="M108" s="858">
        <f t="shared" si="54"/>
        <v>0</v>
      </c>
      <c r="N108" s="861">
        <f t="shared" si="55"/>
        <v>0</v>
      </c>
      <c r="O108" s="861">
        <f t="shared" si="56"/>
        <v>0</v>
      </c>
      <c r="P108" s="861">
        <f t="shared" si="57"/>
        <v>0</v>
      </c>
      <c r="Q108" s="861">
        <f t="shared" si="58"/>
        <v>0</v>
      </c>
      <c r="R108" s="861">
        <f t="shared" si="59"/>
        <v>0</v>
      </c>
      <c r="S108" s="861">
        <f t="shared" si="60"/>
        <v>0</v>
      </c>
      <c r="T108" s="861"/>
      <c r="U108" s="861"/>
      <c r="V108" s="412"/>
      <c r="W108" s="412"/>
      <c r="X108" s="412"/>
      <c r="Y108" s="412"/>
      <c r="Z108" s="412"/>
      <c r="AA108" s="412"/>
      <c r="AB108" s="412"/>
      <c r="AC108" s="412"/>
      <c r="AD108" s="412"/>
      <c r="AE108" s="884"/>
      <c r="AF108" s="884"/>
      <c r="AG108" s="884"/>
      <c r="AH108" s="884"/>
      <c r="AI108" s="884"/>
      <c r="AJ108" s="884"/>
      <c r="AK108" s="884"/>
      <c r="AL108" s="884"/>
      <c r="AM108" s="884"/>
      <c r="AN108" s="884"/>
      <c r="AO108" s="884"/>
      <c r="AP108" s="884"/>
      <c r="AQ108" s="884"/>
      <c r="AR108" s="884"/>
      <c r="AS108" s="884"/>
      <c r="AT108" s="884"/>
      <c r="AU108" s="884"/>
      <c r="AV108" s="884"/>
      <c r="AW108" s="884"/>
      <c r="AX108" s="884"/>
      <c r="AY108" s="884"/>
      <c r="AZ108" s="884"/>
      <c r="BA108" s="884"/>
      <c r="BB108" s="884"/>
      <c r="BC108" s="884"/>
      <c r="BD108" s="412"/>
      <c r="BE108" s="412"/>
      <c r="BF108" s="884"/>
      <c r="BG108" s="412"/>
      <c r="BH108" s="412"/>
      <c r="BI108" s="884"/>
      <c r="BJ108" s="884"/>
      <c r="BK108" s="884"/>
      <c r="BL108" s="884"/>
      <c r="BM108" s="884"/>
      <c r="BN108" s="412"/>
      <c r="BO108" s="412"/>
      <c r="BP108" s="412"/>
      <c r="BQ108" s="412"/>
      <c r="BR108" s="884"/>
      <c r="BS108" s="884"/>
      <c r="BT108" s="884"/>
      <c r="BU108" s="884"/>
      <c r="BV108" s="884"/>
      <c r="BW108" s="884"/>
      <c r="BX108" s="884"/>
      <c r="BY108" s="884"/>
      <c r="BZ108" s="884"/>
      <c r="CA108" s="884"/>
      <c r="CB108" s="412"/>
      <c r="CC108" s="884"/>
      <c r="CD108" s="884"/>
      <c r="CE108" s="884"/>
      <c r="CF108" s="412"/>
      <c r="CG108" s="412"/>
      <c r="CH108" s="884"/>
      <c r="CI108" s="412"/>
      <c r="CJ108" s="884"/>
      <c r="CK108" s="884"/>
      <c r="CL108" s="412"/>
      <c r="CM108" s="412"/>
      <c r="CN108" s="412"/>
      <c r="CO108" s="884"/>
      <c r="CP108" s="412"/>
      <c r="CQ108" s="884"/>
      <c r="CR108" s="884"/>
      <c r="CS108" s="884"/>
      <c r="CT108" s="884"/>
      <c r="CU108" s="884"/>
      <c r="CV108" s="884"/>
      <c r="CW108" s="884"/>
      <c r="CX108" s="884"/>
      <c r="CY108" s="884"/>
      <c r="CZ108" s="884"/>
      <c r="DA108" s="884"/>
      <c r="DB108" s="412"/>
      <c r="DC108" s="412"/>
      <c r="DD108" s="412"/>
      <c r="DE108" s="884"/>
      <c r="DF108" s="884"/>
      <c r="DG108" s="412"/>
      <c r="DH108" s="884"/>
      <c r="DI108" s="884"/>
      <c r="DJ108" s="884"/>
      <c r="DK108" s="412"/>
      <c r="DL108" s="884"/>
      <c r="DM108" s="884"/>
      <c r="DN108" s="412"/>
      <c r="DO108" s="412"/>
      <c r="DP108" s="884"/>
      <c r="DQ108" s="884"/>
      <c r="DR108" s="412"/>
      <c r="DS108" s="884"/>
      <c r="DT108" s="884"/>
      <c r="DU108" s="884"/>
      <c r="DV108" s="412"/>
      <c r="DW108" s="412"/>
      <c r="DX108" s="412"/>
      <c r="DY108" s="412"/>
      <c r="DZ108" s="884"/>
      <c r="EA108" s="884"/>
      <c r="EB108" s="412"/>
      <c r="EC108" s="412"/>
      <c r="ED108" s="412"/>
      <c r="EE108" s="412"/>
      <c r="EF108" s="412"/>
      <c r="EG108" s="884"/>
      <c r="EH108" s="884"/>
      <c r="EI108" s="884"/>
      <c r="EJ108" s="412"/>
      <c r="EK108" s="412"/>
      <c r="EL108" s="884"/>
      <c r="EM108" s="884"/>
      <c r="EN108" s="884"/>
      <c r="EO108" s="884"/>
      <c r="EP108" s="884"/>
      <c r="EQ108" s="884"/>
      <c r="ER108" s="412"/>
      <c r="ES108" s="412"/>
      <c r="ET108" s="412"/>
      <c r="EU108" s="884"/>
      <c r="EV108" s="884"/>
      <c r="EW108" s="412"/>
      <c r="EX108" s="412"/>
      <c r="EY108" s="412"/>
      <c r="EZ108" s="412"/>
      <c r="FA108" s="884"/>
      <c r="FB108" s="884"/>
      <c r="FC108" s="884"/>
      <c r="FD108" s="412"/>
      <c r="FE108" s="412"/>
      <c r="FF108" s="412"/>
      <c r="FG108" s="412"/>
      <c r="FH108" s="412"/>
      <c r="FI108" s="884"/>
      <c r="FJ108" s="884"/>
      <c r="FK108" s="884"/>
      <c r="FL108" s="412"/>
      <c r="FM108" s="412"/>
      <c r="FN108" s="884"/>
      <c r="FO108" s="412"/>
      <c r="FP108" s="884"/>
      <c r="FQ108" s="884"/>
      <c r="FR108" s="884"/>
      <c r="FS108" s="412"/>
      <c r="FT108" s="412"/>
      <c r="FU108" s="884"/>
      <c r="FV108" s="412"/>
      <c r="FW108" s="884"/>
      <c r="FX108" s="412"/>
      <c r="FY108" s="884"/>
      <c r="FZ108" s="884"/>
      <c r="GA108" s="884"/>
      <c r="GB108" s="884"/>
      <c r="GC108" s="884"/>
      <c r="GD108" s="884"/>
      <c r="GE108" s="884"/>
      <c r="GF108" s="412"/>
      <c r="GG108" s="884"/>
      <c r="GH108" s="412"/>
      <c r="GI108" s="884"/>
      <c r="GJ108" s="412"/>
      <c r="GK108" s="884"/>
      <c r="GL108" s="884"/>
      <c r="GM108" s="884"/>
      <c r="GN108" s="884"/>
      <c r="GO108" s="412"/>
      <c r="GP108" s="412"/>
      <c r="GQ108" s="412"/>
      <c r="GR108" s="412"/>
      <c r="GS108" s="412"/>
      <c r="GT108" s="412"/>
      <c r="GU108" s="412"/>
      <c r="GV108" s="412"/>
      <c r="GW108" s="244" t="s">
        <v>901</v>
      </c>
      <c r="GX108" s="244" t="s">
        <v>902</v>
      </c>
      <c r="GY108" s="225" t="s">
        <v>888</v>
      </c>
      <c r="GZ108" s="421"/>
      <c r="HA108" s="423" t="s">
        <v>123</v>
      </c>
      <c r="HB108" s="267" t="s">
        <v>847</v>
      </c>
      <c r="HC108" s="403"/>
      <c r="HD108" s="403"/>
      <c r="HE108" s="403"/>
      <c r="HF108" s="403"/>
      <c r="HG108" s="403"/>
      <c r="HH108" s="403"/>
      <c r="HI108" s="403"/>
      <c r="HJ108" s="403"/>
      <c r="HK108" s="403"/>
      <c r="HL108" s="403"/>
      <c r="HM108" s="403"/>
      <c r="HN108" s="403"/>
      <c r="HO108" s="403"/>
      <c r="HP108" s="403"/>
      <c r="HQ108" s="403"/>
      <c r="HR108" s="403"/>
      <c r="HS108" s="403"/>
      <c r="HT108" s="403"/>
      <c r="HU108" s="403"/>
      <c r="HV108" s="403"/>
      <c r="HW108" s="403"/>
      <c r="HX108" s="403"/>
      <c r="HY108" s="403"/>
      <c r="HZ108" s="403"/>
      <c r="IA108" s="403"/>
      <c r="IB108" s="403"/>
      <c r="IC108" s="403"/>
      <c r="ID108" s="403"/>
      <c r="IE108" s="403"/>
      <c r="IF108" s="403"/>
      <c r="IG108" s="403"/>
      <c r="IH108" s="403"/>
      <c r="II108" s="403"/>
      <c r="IJ108" s="403"/>
      <c r="IK108" s="403"/>
      <c r="IL108" s="403"/>
      <c r="IM108" s="403"/>
      <c r="IN108" s="403"/>
      <c r="IO108" s="403"/>
      <c r="IP108" s="403"/>
      <c r="IQ108" s="403"/>
      <c r="IR108" s="403"/>
      <c r="IS108" s="403"/>
      <c r="IT108" s="403"/>
      <c r="IU108" s="403"/>
      <c r="IV108" s="403"/>
      <c r="IW108" s="403"/>
      <c r="IX108" s="403"/>
      <c r="IY108" s="403"/>
      <c r="IZ108" s="403"/>
      <c r="JA108" s="403"/>
      <c r="JB108" s="403"/>
      <c r="JC108" s="403"/>
      <c r="JD108" s="403"/>
      <c r="JE108" s="403"/>
      <c r="JF108" s="403"/>
      <c r="JG108" s="403"/>
      <c r="JH108" s="403"/>
      <c r="JI108" s="403"/>
      <c r="JJ108" s="403"/>
      <c r="JK108" s="403"/>
      <c r="JL108" s="403"/>
      <c r="JM108" s="403"/>
      <c r="JN108" s="403"/>
      <c r="JO108" s="403"/>
      <c r="JP108" s="403"/>
      <c r="JQ108" s="403"/>
      <c r="JR108" s="403"/>
      <c r="JS108" s="403"/>
      <c r="JT108" s="403"/>
      <c r="JU108" s="403"/>
      <c r="JV108" s="403"/>
      <c r="JW108" s="403"/>
      <c r="JX108" s="403"/>
      <c r="JY108" s="403"/>
      <c r="JZ108" s="403"/>
      <c r="KA108" s="403"/>
    </row>
    <row r="109" spans="1:287" s="361" customFormat="1" ht="28.5" hidden="1" customHeight="1">
      <c r="A109" s="222">
        <v>41</v>
      </c>
      <c r="B109" s="1611"/>
      <c r="C109" s="217" t="s">
        <v>843</v>
      </c>
      <c r="D109" s="85" t="s">
        <v>903</v>
      </c>
      <c r="E109" s="861">
        <f t="shared" si="50"/>
        <v>0</v>
      </c>
      <c r="F109" s="377">
        <v>0</v>
      </c>
      <c r="G109" s="377">
        <v>0</v>
      </c>
      <c r="H109" s="377">
        <v>0</v>
      </c>
      <c r="I109" s="377">
        <v>0</v>
      </c>
      <c r="J109" s="858">
        <f t="shared" si="51"/>
        <v>0</v>
      </c>
      <c r="K109" s="861">
        <f t="shared" si="52"/>
        <v>0</v>
      </c>
      <c r="L109" s="861">
        <f t="shared" si="53"/>
        <v>0</v>
      </c>
      <c r="M109" s="858">
        <f t="shared" si="54"/>
        <v>0</v>
      </c>
      <c r="N109" s="861">
        <f t="shared" si="55"/>
        <v>0</v>
      </c>
      <c r="O109" s="861">
        <f t="shared" si="56"/>
        <v>0</v>
      </c>
      <c r="P109" s="861">
        <f t="shared" si="57"/>
        <v>0</v>
      </c>
      <c r="Q109" s="861">
        <f t="shared" si="58"/>
        <v>0</v>
      </c>
      <c r="R109" s="861">
        <f t="shared" si="59"/>
        <v>0</v>
      </c>
      <c r="S109" s="861">
        <f t="shared" si="60"/>
        <v>0</v>
      </c>
      <c r="T109" s="861"/>
      <c r="U109" s="861"/>
      <c r="V109" s="412"/>
      <c r="W109" s="412"/>
      <c r="X109" s="412"/>
      <c r="Y109" s="412"/>
      <c r="Z109" s="412"/>
      <c r="AA109" s="412"/>
      <c r="AB109" s="412"/>
      <c r="AC109" s="412"/>
      <c r="AD109" s="412"/>
      <c r="AE109" s="884"/>
      <c r="AF109" s="884"/>
      <c r="AG109" s="884"/>
      <c r="AH109" s="884"/>
      <c r="AI109" s="884"/>
      <c r="AJ109" s="884"/>
      <c r="AK109" s="884"/>
      <c r="AL109" s="884"/>
      <c r="AM109" s="884"/>
      <c r="AN109" s="884"/>
      <c r="AO109" s="884"/>
      <c r="AP109" s="884"/>
      <c r="AQ109" s="884"/>
      <c r="AR109" s="884"/>
      <c r="AS109" s="884"/>
      <c r="AT109" s="884"/>
      <c r="AU109" s="884"/>
      <c r="AV109" s="884"/>
      <c r="AW109" s="884"/>
      <c r="AX109" s="884"/>
      <c r="AY109" s="884"/>
      <c r="AZ109" s="884"/>
      <c r="BA109" s="884"/>
      <c r="BB109" s="884"/>
      <c r="BC109" s="884"/>
      <c r="BD109" s="412"/>
      <c r="BE109" s="412"/>
      <c r="BF109" s="884"/>
      <c r="BG109" s="412"/>
      <c r="BH109" s="412"/>
      <c r="BI109" s="884"/>
      <c r="BJ109" s="884"/>
      <c r="BK109" s="884"/>
      <c r="BL109" s="884"/>
      <c r="BM109" s="884"/>
      <c r="BN109" s="412"/>
      <c r="BO109" s="412"/>
      <c r="BP109" s="412"/>
      <c r="BQ109" s="412"/>
      <c r="BR109" s="884"/>
      <c r="BS109" s="884"/>
      <c r="BT109" s="884"/>
      <c r="BU109" s="884"/>
      <c r="BV109" s="884"/>
      <c r="BW109" s="884"/>
      <c r="BX109" s="884"/>
      <c r="BY109" s="884"/>
      <c r="BZ109" s="884"/>
      <c r="CA109" s="884"/>
      <c r="CB109" s="412"/>
      <c r="CC109" s="884"/>
      <c r="CD109" s="884"/>
      <c r="CE109" s="884"/>
      <c r="CF109" s="412"/>
      <c r="CG109" s="412"/>
      <c r="CH109" s="884"/>
      <c r="CI109" s="412"/>
      <c r="CJ109" s="884"/>
      <c r="CK109" s="884"/>
      <c r="CL109" s="412"/>
      <c r="CM109" s="412"/>
      <c r="CN109" s="412"/>
      <c r="CO109" s="884"/>
      <c r="CP109" s="412"/>
      <c r="CQ109" s="884"/>
      <c r="CR109" s="884"/>
      <c r="CS109" s="884"/>
      <c r="CT109" s="884"/>
      <c r="CU109" s="884"/>
      <c r="CV109" s="884"/>
      <c r="CW109" s="884"/>
      <c r="CX109" s="884"/>
      <c r="CY109" s="884"/>
      <c r="CZ109" s="884"/>
      <c r="DA109" s="884"/>
      <c r="DB109" s="412"/>
      <c r="DC109" s="412"/>
      <c r="DD109" s="412"/>
      <c r="DE109" s="884"/>
      <c r="DF109" s="884"/>
      <c r="DG109" s="412"/>
      <c r="DH109" s="884"/>
      <c r="DI109" s="884"/>
      <c r="DJ109" s="884"/>
      <c r="DK109" s="412"/>
      <c r="DL109" s="884"/>
      <c r="DM109" s="884"/>
      <c r="DN109" s="412"/>
      <c r="DO109" s="412"/>
      <c r="DP109" s="884"/>
      <c r="DQ109" s="884"/>
      <c r="DR109" s="412"/>
      <c r="DS109" s="884"/>
      <c r="DT109" s="884"/>
      <c r="DU109" s="884"/>
      <c r="DV109" s="412"/>
      <c r="DW109" s="412"/>
      <c r="DX109" s="412"/>
      <c r="DY109" s="412"/>
      <c r="DZ109" s="884"/>
      <c r="EA109" s="884"/>
      <c r="EB109" s="412"/>
      <c r="EC109" s="412"/>
      <c r="ED109" s="412"/>
      <c r="EE109" s="412"/>
      <c r="EF109" s="412"/>
      <c r="EG109" s="884"/>
      <c r="EH109" s="884"/>
      <c r="EI109" s="884"/>
      <c r="EJ109" s="412"/>
      <c r="EK109" s="412"/>
      <c r="EL109" s="884"/>
      <c r="EM109" s="884"/>
      <c r="EN109" s="884"/>
      <c r="EO109" s="884"/>
      <c r="EP109" s="884"/>
      <c r="EQ109" s="884"/>
      <c r="ER109" s="412"/>
      <c r="ES109" s="412"/>
      <c r="ET109" s="412"/>
      <c r="EU109" s="884"/>
      <c r="EV109" s="884"/>
      <c r="EW109" s="412"/>
      <c r="EX109" s="412"/>
      <c r="EY109" s="412"/>
      <c r="EZ109" s="412"/>
      <c r="FA109" s="884"/>
      <c r="FB109" s="884"/>
      <c r="FC109" s="884"/>
      <c r="FD109" s="412"/>
      <c r="FE109" s="412"/>
      <c r="FF109" s="412"/>
      <c r="FG109" s="412"/>
      <c r="FH109" s="412"/>
      <c r="FI109" s="884"/>
      <c r="FJ109" s="884"/>
      <c r="FK109" s="884"/>
      <c r="FL109" s="412"/>
      <c r="FM109" s="412"/>
      <c r="FN109" s="884"/>
      <c r="FO109" s="412"/>
      <c r="FP109" s="884"/>
      <c r="FQ109" s="884"/>
      <c r="FR109" s="884"/>
      <c r="FS109" s="412"/>
      <c r="FT109" s="412"/>
      <c r="FU109" s="884"/>
      <c r="FV109" s="412"/>
      <c r="FW109" s="884"/>
      <c r="FX109" s="412"/>
      <c r="FY109" s="884"/>
      <c r="FZ109" s="884"/>
      <c r="GA109" s="884"/>
      <c r="GB109" s="884"/>
      <c r="GC109" s="884"/>
      <c r="GD109" s="884"/>
      <c r="GE109" s="884"/>
      <c r="GF109" s="412"/>
      <c r="GG109" s="884"/>
      <c r="GH109" s="412"/>
      <c r="GI109" s="884"/>
      <c r="GJ109" s="412"/>
      <c r="GK109" s="884"/>
      <c r="GL109" s="884"/>
      <c r="GM109" s="884"/>
      <c r="GN109" s="884"/>
      <c r="GO109" s="412"/>
      <c r="GP109" s="412"/>
      <c r="GQ109" s="412"/>
      <c r="GR109" s="412"/>
      <c r="GS109" s="412"/>
      <c r="GT109" s="412"/>
      <c r="GU109" s="412"/>
      <c r="GV109" s="412"/>
      <c r="GW109" s="244"/>
      <c r="GX109" s="244"/>
      <c r="GY109" s="225"/>
      <c r="GZ109" s="421"/>
      <c r="HA109" s="422"/>
      <c r="HB109" s="275" t="s">
        <v>844</v>
      </c>
      <c r="HC109" s="403"/>
      <c r="HD109" s="403"/>
      <c r="HE109" s="403"/>
      <c r="HF109" s="403"/>
      <c r="HG109" s="403"/>
      <c r="HH109" s="403"/>
      <c r="HI109" s="403"/>
      <c r="HJ109" s="403"/>
      <c r="HK109" s="403"/>
      <c r="HL109" s="403"/>
      <c r="HM109" s="403"/>
      <c r="HN109" s="403"/>
      <c r="HO109" s="403"/>
      <c r="HP109" s="403"/>
      <c r="HQ109" s="403"/>
      <c r="HR109" s="403"/>
      <c r="HS109" s="403"/>
      <c r="HT109" s="403"/>
      <c r="HU109" s="403"/>
      <c r="HV109" s="403"/>
      <c r="HW109" s="403"/>
      <c r="HX109" s="403"/>
      <c r="HY109" s="403"/>
      <c r="HZ109" s="403"/>
      <c r="IA109" s="403"/>
      <c r="IB109" s="403"/>
      <c r="IC109" s="403"/>
      <c r="ID109" s="403"/>
      <c r="IE109" s="403"/>
      <c r="IF109" s="403"/>
      <c r="IG109" s="403"/>
      <c r="IH109" s="403"/>
      <c r="II109" s="403"/>
      <c r="IJ109" s="403"/>
      <c r="IK109" s="403"/>
      <c r="IL109" s="403"/>
      <c r="IM109" s="403"/>
      <c r="IN109" s="403"/>
      <c r="IO109" s="403"/>
      <c r="IP109" s="403"/>
      <c r="IQ109" s="403"/>
      <c r="IR109" s="403"/>
      <c r="IS109" s="403"/>
      <c r="IT109" s="403"/>
      <c r="IU109" s="403"/>
      <c r="IV109" s="403"/>
      <c r="IW109" s="403"/>
      <c r="IX109" s="403"/>
      <c r="IY109" s="403"/>
      <c r="IZ109" s="403"/>
      <c r="JA109" s="403"/>
      <c r="JB109" s="403"/>
      <c r="JC109" s="403"/>
      <c r="JD109" s="403"/>
      <c r="JE109" s="403"/>
      <c r="JF109" s="403"/>
      <c r="JG109" s="403"/>
      <c r="JH109" s="403"/>
      <c r="JI109" s="403"/>
      <c r="JJ109" s="403"/>
      <c r="JK109" s="403"/>
      <c r="JL109" s="403"/>
      <c r="JM109" s="403"/>
      <c r="JN109" s="403"/>
      <c r="JO109" s="403"/>
      <c r="JP109" s="403"/>
      <c r="JQ109" s="403"/>
      <c r="JR109" s="403"/>
      <c r="JS109" s="403"/>
      <c r="JT109" s="403"/>
      <c r="JU109" s="403"/>
      <c r="JV109" s="403"/>
      <c r="JW109" s="403"/>
      <c r="JX109" s="403"/>
      <c r="JY109" s="403"/>
      <c r="JZ109" s="403"/>
      <c r="KA109" s="403"/>
    </row>
    <row r="110" spans="1:287" s="361" customFormat="1" ht="122.25" hidden="1" customHeight="1">
      <c r="A110" s="217">
        <v>42</v>
      </c>
      <c r="B110" s="1600"/>
      <c r="C110" s="217" t="s">
        <v>904</v>
      </c>
      <c r="D110" s="85" t="s">
        <v>905</v>
      </c>
      <c r="E110" s="861">
        <f t="shared" si="50"/>
        <v>0</v>
      </c>
      <c r="F110" s="377">
        <v>0</v>
      </c>
      <c r="G110" s="377">
        <v>0</v>
      </c>
      <c r="H110" s="377">
        <v>0</v>
      </c>
      <c r="I110" s="377">
        <v>0</v>
      </c>
      <c r="J110" s="858">
        <f t="shared" si="51"/>
        <v>0</v>
      </c>
      <c r="K110" s="861">
        <f t="shared" si="52"/>
        <v>1</v>
      </c>
      <c r="L110" s="861">
        <f t="shared" si="53"/>
        <v>0</v>
      </c>
      <c r="M110" s="858">
        <f t="shared" si="54"/>
        <v>0</v>
      </c>
      <c r="N110" s="861">
        <f t="shared" si="55"/>
        <v>0</v>
      </c>
      <c r="O110" s="861">
        <f t="shared" si="56"/>
        <v>0</v>
      </c>
      <c r="P110" s="861">
        <f t="shared" si="57"/>
        <v>0</v>
      </c>
      <c r="Q110" s="861">
        <f t="shared" si="58"/>
        <v>0</v>
      </c>
      <c r="R110" s="861">
        <f t="shared" si="59"/>
        <v>0</v>
      </c>
      <c r="S110" s="861">
        <f t="shared" si="60"/>
        <v>0</v>
      </c>
      <c r="T110" s="861"/>
      <c r="U110" s="861"/>
      <c r="V110" s="411"/>
      <c r="W110" s="411"/>
      <c r="X110" s="411"/>
      <c r="Y110" s="411"/>
      <c r="Z110" s="411"/>
      <c r="AA110" s="411"/>
      <c r="AB110" s="411"/>
      <c r="AC110" s="411"/>
      <c r="AD110" s="411"/>
      <c r="AE110" s="859"/>
      <c r="AF110" s="859"/>
      <c r="AG110" s="859"/>
      <c r="AH110" s="859"/>
      <c r="AI110" s="859"/>
      <c r="AJ110" s="859"/>
      <c r="AK110" s="859"/>
      <c r="AL110" s="859"/>
      <c r="AM110" s="859"/>
      <c r="AN110" s="859"/>
      <c r="AO110" s="859"/>
      <c r="AP110" s="859"/>
      <c r="AQ110" s="859"/>
      <c r="AR110" s="859"/>
      <c r="AS110" s="859"/>
      <c r="AT110" s="859"/>
      <c r="AU110" s="859"/>
      <c r="AV110" s="859"/>
      <c r="AW110" s="859"/>
      <c r="AX110" s="859"/>
      <c r="AY110" s="859"/>
      <c r="AZ110" s="859"/>
      <c r="BA110" s="859"/>
      <c r="BB110" s="859"/>
      <c r="BC110" s="859"/>
      <c r="BD110" s="411"/>
      <c r="BE110" s="411"/>
      <c r="BF110" s="859"/>
      <c r="BG110" s="411"/>
      <c r="BH110" s="411"/>
      <c r="BI110" s="859">
        <v>1</v>
      </c>
      <c r="BJ110" s="859"/>
      <c r="BK110" s="859"/>
      <c r="BL110" s="859"/>
      <c r="BM110" s="859"/>
      <c r="BN110" s="411"/>
      <c r="BO110" s="411"/>
      <c r="BP110" s="411"/>
      <c r="BQ110" s="411"/>
      <c r="BR110" s="859"/>
      <c r="BS110" s="859"/>
      <c r="BT110" s="859"/>
      <c r="BU110" s="859"/>
      <c r="BV110" s="859"/>
      <c r="BW110" s="859"/>
      <c r="BX110" s="859"/>
      <c r="BY110" s="859"/>
      <c r="BZ110" s="859"/>
      <c r="CA110" s="859"/>
      <c r="CB110" s="411"/>
      <c r="CC110" s="859"/>
      <c r="CD110" s="859"/>
      <c r="CE110" s="859"/>
      <c r="CF110" s="411"/>
      <c r="CG110" s="411"/>
      <c r="CH110" s="859"/>
      <c r="CI110" s="411"/>
      <c r="CJ110" s="859"/>
      <c r="CK110" s="859"/>
      <c r="CL110" s="411"/>
      <c r="CM110" s="411"/>
      <c r="CN110" s="411"/>
      <c r="CO110" s="859"/>
      <c r="CP110" s="411"/>
      <c r="CQ110" s="859"/>
      <c r="CR110" s="859"/>
      <c r="CS110" s="859"/>
      <c r="CT110" s="859"/>
      <c r="CU110" s="859"/>
      <c r="CV110" s="859"/>
      <c r="CW110" s="859"/>
      <c r="CX110" s="859"/>
      <c r="CY110" s="859"/>
      <c r="CZ110" s="859"/>
      <c r="DA110" s="859"/>
      <c r="DB110" s="411"/>
      <c r="DC110" s="411"/>
      <c r="DD110" s="411"/>
      <c r="DE110" s="859"/>
      <c r="DF110" s="859"/>
      <c r="DG110" s="411"/>
      <c r="DH110" s="859"/>
      <c r="DI110" s="859"/>
      <c r="DJ110" s="859"/>
      <c r="DK110" s="411"/>
      <c r="DL110" s="859"/>
      <c r="DM110" s="859"/>
      <c r="DN110" s="411"/>
      <c r="DO110" s="411"/>
      <c r="DP110" s="859"/>
      <c r="DQ110" s="859"/>
      <c r="DR110" s="411"/>
      <c r="DS110" s="859"/>
      <c r="DT110" s="859"/>
      <c r="DU110" s="859"/>
      <c r="DV110" s="411"/>
      <c r="DW110" s="411"/>
      <c r="DX110" s="411"/>
      <c r="DY110" s="411"/>
      <c r="DZ110" s="859"/>
      <c r="EA110" s="859"/>
      <c r="EB110" s="411"/>
      <c r="EC110" s="411"/>
      <c r="ED110" s="411"/>
      <c r="EE110" s="411"/>
      <c r="EF110" s="411"/>
      <c r="EG110" s="859"/>
      <c r="EH110" s="859"/>
      <c r="EI110" s="859"/>
      <c r="EJ110" s="411"/>
      <c r="EK110" s="411"/>
      <c r="EL110" s="859"/>
      <c r="EM110" s="859"/>
      <c r="EN110" s="859"/>
      <c r="EO110" s="859"/>
      <c r="EP110" s="859"/>
      <c r="EQ110" s="859"/>
      <c r="ER110" s="411"/>
      <c r="ES110" s="411"/>
      <c r="ET110" s="411"/>
      <c r="EU110" s="859"/>
      <c r="EV110" s="859"/>
      <c r="EW110" s="411"/>
      <c r="EX110" s="411"/>
      <c r="EY110" s="411"/>
      <c r="EZ110" s="411"/>
      <c r="FA110" s="859"/>
      <c r="FB110" s="859"/>
      <c r="FC110" s="859"/>
      <c r="FD110" s="411"/>
      <c r="FE110" s="411"/>
      <c r="FF110" s="411"/>
      <c r="FG110" s="411"/>
      <c r="FH110" s="411"/>
      <c r="FI110" s="859"/>
      <c r="FJ110" s="859"/>
      <c r="FK110" s="859"/>
      <c r="FL110" s="411"/>
      <c r="FM110" s="411"/>
      <c r="FN110" s="859"/>
      <c r="FO110" s="411"/>
      <c r="FP110" s="859"/>
      <c r="FQ110" s="859"/>
      <c r="FR110" s="859"/>
      <c r="FS110" s="411"/>
      <c r="FT110" s="411"/>
      <c r="FU110" s="859"/>
      <c r="FV110" s="411"/>
      <c r="FW110" s="859"/>
      <c r="FX110" s="411"/>
      <c r="FY110" s="859"/>
      <c r="FZ110" s="859"/>
      <c r="GA110" s="859"/>
      <c r="GB110" s="859"/>
      <c r="GC110" s="859"/>
      <c r="GD110" s="859"/>
      <c r="GE110" s="859"/>
      <c r="GF110" s="411"/>
      <c r="GG110" s="859"/>
      <c r="GH110" s="411"/>
      <c r="GI110" s="859"/>
      <c r="GJ110" s="411"/>
      <c r="GK110" s="859"/>
      <c r="GL110" s="859"/>
      <c r="GM110" s="859"/>
      <c r="GN110" s="859"/>
      <c r="GO110" s="411"/>
      <c r="GP110" s="411"/>
      <c r="GQ110" s="411"/>
      <c r="GR110" s="411"/>
      <c r="GS110" s="411"/>
      <c r="GT110" s="411"/>
      <c r="GU110" s="411"/>
      <c r="GV110" s="411"/>
      <c r="GW110" s="1030" t="s">
        <v>1284</v>
      </c>
      <c r="GX110" s="1030" t="s">
        <v>906</v>
      </c>
      <c r="GY110" s="780" t="s">
        <v>907</v>
      </c>
      <c r="GZ110" s="1031" t="s">
        <v>908</v>
      </c>
      <c r="HA110" s="1032" t="s">
        <v>872</v>
      </c>
      <c r="HB110" s="267" t="s">
        <v>909</v>
      </c>
      <c r="HC110" s="403"/>
      <c r="HD110" s="403"/>
      <c r="HE110" s="403"/>
      <c r="HF110" s="403"/>
      <c r="HG110" s="403"/>
      <c r="HH110" s="403"/>
      <c r="HI110" s="403"/>
      <c r="HJ110" s="403"/>
      <c r="HK110" s="403"/>
      <c r="HL110" s="403"/>
      <c r="HM110" s="403"/>
      <c r="HN110" s="403"/>
      <c r="HO110" s="403"/>
      <c r="HP110" s="403"/>
      <c r="HQ110" s="403"/>
      <c r="HR110" s="403"/>
      <c r="HS110" s="403"/>
      <c r="HT110" s="403"/>
      <c r="HU110" s="403"/>
      <c r="HV110" s="403"/>
      <c r="HW110" s="403"/>
      <c r="HX110" s="403"/>
      <c r="HY110" s="403"/>
      <c r="HZ110" s="403"/>
      <c r="IA110" s="403"/>
      <c r="IB110" s="403"/>
      <c r="IC110" s="403"/>
      <c r="ID110" s="403"/>
      <c r="IE110" s="403"/>
      <c r="IF110" s="403"/>
      <c r="IG110" s="403"/>
      <c r="IH110" s="403"/>
      <c r="II110" s="403"/>
      <c r="IJ110" s="403"/>
      <c r="IK110" s="403"/>
      <c r="IL110" s="403"/>
      <c r="IM110" s="403"/>
      <c r="IN110" s="403"/>
      <c r="IO110" s="403"/>
      <c r="IP110" s="403"/>
      <c r="IQ110" s="403"/>
      <c r="IR110" s="403"/>
      <c r="IS110" s="403"/>
      <c r="IT110" s="403"/>
      <c r="IU110" s="403"/>
      <c r="IV110" s="403"/>
      <c r="IW110" s="403"/>
      <c r="IX110" s="403"/>
      <c r="IY110" s="403"/>
      <c r="IZ110" s="403"/>
      <c r="JA110" s="403"/>
      <c r="JB110" s="403"/>
      <c r="JC110" s="403"/>
      <c r="JD110" s="403"/>
      <c r="JE110" s="403"/>
      <c r="JF110" s="403"/>
      <c r="JG110" s="403"/>
      <c r="JH110" s="403"/>
      <c r="JI110" s="403"/>
      <c r="JJ110" s="403"/>
      <c r="JK110" s="403"/>
      <c r="JL110" s="403"/>
      <c r="JM110" s="403"/>
      <c r="JN110" s="403"/>
      <c r="JO110" s="403"/>
      <c r="JP110" s="403"/>
      <c r="JQ110" s="403"/>
      <c r="JR110" s="403"/>
      <c r="JS110" s="403"/>
      <c r="JT110" s="403"/>
      <c r="JU110" s="403"/>
      <c r="JV110" s="403"/>
      <c r="JW110" s="403"/>
      <c r="JX110" s="403"/>
      <c r="JY110" s="403"/>
      <c r="JZ110" s="403"/>
      <c r="KA110" s="403"/>
    </row>
    <row r="111" spans="1:287" s="361" customFormat="1" ht="43.5" hidden="1" customHeight="1">
      <c r="A111" s="231">
        <v>43</v>
      </c>
      <c r="B111" s="1601"/>
      <c r="C111" s="818" t="s">
        <v>843</v>
      </c>
      <c r="D111" s="780" t="s">
        <v>910</v>
      </c>
      <c r="E111" s="861">
        <f t="shared" si="50"/>
        <v>0</v>
      </c>
      <c r="F111" s="861">
        <v>0</v>
      </c>
      <c r="G111" s="861">
        <v>0</v>
      </c>
      <c r="H111" s="861">
        <v>0</v>
      </c>
      <c r="I111" s="861">
        <v>0</v>
      </c>
      <c r="J111" s="861">
        <f t="shared" si="51"/>
        <v>0</v>
      </c>
      <c r="K111" s="861">
        <f t="shared" si="52"/>
        <v>0</v>
      </c>
      <c r="L111" s="861">
        <f t="shared" si="53"/>
        <v>0</v>
      </c>
      <c r="M111" s="858">
        <f t="shared" si="54"/>
        <v>0</v>
      </c>
      <c r="N111" s="861">
        <f t="shared" si="55"/>
        <v>0</v>
      </c>
      <c r="O111" s="861">
        <f t="shared" si="56"/>
        <v>0</v>
      </c>
      <c r="P111" s="861">
        <f t="shared" si="57"/>
        <v>0</v>
      </c>
      <c r="Q111" s="861">
        <f t="shared" si="58"/>
        <v>0</v>
      </c>
      <c r="R111" s="861">
        <f t="shared" si="59"/>
        <v>0</v>
      </c>
      <c r="S111" s="861">
        <f t="shared" si="60"/>
        <v>0</v>
      </c>
      <c r="T111" s="861"/>
      <c r="U111" s="861"/>
      <c r="V111" s="411"/>
      <c r="W111" s="411"/>
      <c r="X111" s="411"/>
      <c r="Y111" s="411"/>
      <c r="Z111" s="411"/>
      <c r="AA111" s="411"/>
      <c r="AB111" s="411"/>
      <c r="AC111" s="411"/>
      <c r="AD111" s="411"/>
      <c r="AE111" s="859"/>
      <c r="AF111" s="859"/>
      <c r="AG111" s="859"/>
      <c r="AH111" s="859"/>
      <c r="AI111" s="859"/>
      <c r="AJ111" s="859"/>
      <c r="AK111" s="859"/>
      <c r="AL111" s="859"/>
      <c r="AM111" s="859"/>
      <c r="AN111" s="859"/>
      <c r="AO111" s="859"/>
      <c r="AP111" s="859"/>
      <c r="AQ111" s="859"/>
      <c r="AR111" s="859"/>
      <c r="AS111" s="859"/>
      <c r="AT111" s="859"/>
      <c r="AU111" s="859"/>
      <c r="AV111" s="859"/>
      <c r="AW111" s="859"/>
      <c r="AX111" s="859"/>
      <c r="AY111" s="859"/>
      <c r="AZ111" s="859"/>
      <c r="BA111" s="859"/>
      <c r="BB111" s="859"/>
      <c r="BC111" s="859"/>
      <c r="BD111" s="411"/>
      <c r="BE111" s="411"/>
      <c r="BF111" s="859"/>
      <c r="BG111" s="411"/>
      <c r="BH111" s="411"/>
      <c r="BI111" s="859"/>
      <c r="BJ111" s="859"/>
      <c r="BK111" s="859"/>
      <c r="BL111" s="859"/>
      <c r="BM111" s="859"/>
      <c r="BN111" s="411"/>
      <c r="BO111" s="411"/>
      <c r="BP111" s="411"/>
      <c r="BQ111" s="411"/>
      <c r="BR111" s="859"/>
      <c r="BS111" s="859"/>
      <c r="BT111" s="859"/>
      <c r="BU111" s="859"/>
      <c r="BV111" s="859"/>
      <c r="BW111" s="859"/>
      <c r="BX111" s="859"/>
      <c r="BY111" s="859"/>
      <c r="BZ111" s="859"/>
      <c r="CA111" s="859"/>
      <c r="CB111" s="411"/>
      <c r="CC111" s="884"/>
      <c r="CD111" s="884"/>
      <c r="CE111" s="884"/>
      <c r="CF111" s="884"/>
      <c r="CG111" s="884"/>
      <c r="CH111" s="884"/>
      <c r="CI111" s="884"/>
      <c r="CJ111" s="884"/>
      <c r="CK111" s="884"/>
      <c r="CL111" s="884"/>
      <c r="CM111" s="884"/>
      <c r="CN111" s="884"/>
      <c r="CO111" s="884"/>
      <c r="CP111" s="884"/>
      <c r="CQ111" s="884"/>
      <c r="CR111" s="884"/>
      <c r="CS111" s="884"/>
      <c r="CT111" s="884"/>
      <c r="CU111" s="884"/>
      <c r="CV111" s="884"/>
      <c r="CW111" s="884"/>
      <c r="CX111" s="884"/>
      <c r="CY111" s="884"/>
      <c r="CZ111" s="884"/>
      <c r="DA111" s="884"/>
      <c r="DB111" s="884"/>
      <c r="DC111" s="884"/>
      <c r="DD111" s="884"/>
      <c r="DE111" s="884"/>
      <c r="DF111" s="884"/>
      <c r="DG111" s="884"/>
      <c r="DH111" s="884"/>
      <c r="DI111" s="884"/>
      <c r="DJ111" s="884"/>
      <c r="DK111" s="884"/>
      <c r="DL111" s="884"/>
      <c r="DM111" s="884"/>
      <c r="DN111" s="884"/>
      <c r="DO111" s="884"/>
      <c r="DP111" s="884"/>
      <c r="DQ111" s="884"/>
      <c r="DR111" s="884"/>
      <c r="DS111" s="884"/>
      <c r="DT111" s="884"/>
      <c r="DU111" s="884"/>
      <c r="DV111" s="884"/>
      <c r="DW111" s="884"/>
      <c r="DX111" s="884"/>
      <c r="DY111" s="884"/>
      <c r="DZ111" s="884"/>
      <c r="EA111" s="884"/>
      <c r="EB111" s="884"/>
      <c r="EC111" s="884"/>
      <c r="ED111" s="884"/>
      <c r="EE111" s="884"/>
      <c r="EF111" s="884"/>
      <c r="EG111" s="884"/>
      <c r="EH111" s="884"/>
      <c r="EI111" s="884"/>
      <c r="EJ111" s="884"/>
      <c r="EK111" s="884"/>
      <c r="EL111" s="884"/>
      <c r="EM111" s="884"/>
      <c r="EN111" s="884"/>
      <c r="EO111" s="884"/>
      <c r="EP111" s="884"/>
      <c r="EQ111" s="884"/>
      <c r="ER111" s="884"/>
      <c r="ES111" s="884"/>
      <c r="ET111" s="884"/>
      <c r="EU111" s="884"/>
      <c r="EV111" s="884"/>
      <c r="EW111" s="884"/>
      <c r="EX111" s="884"/>
      <c r="EY111" s="884"/>
      <c r="EZ111" s="884"/>
      <c r="FA111" s="884"/>
      <c r="FB111" s="884"/>
      <c r="FC111" s="884"/>
      <c r="FD111" s="884"/>
      <c r="FE111" s="884"/>
      <c r="FF111" s="884"/>
      <c r="FG111" s="884"/>
      <c r="FH111" s="884"/>
      <c r="FI111" s="884"/>
      <c r="FJ111" s="884"/>
      <c r="FK111" s="884"/>
      <c r="FL111" s="884"/>
      <c r="FM111" s="884"/>
      <c r="FN111" s="884"/>
      <c r="FO111" s="884"/>
      <c r="FP111" s="884"/>
      <c r="FQ111" s="884"/>
      <c r="FR111" s="884"/>
      <c r="FS111" s="884"/>
      <c r="FT111" s="884"/>
      <c r="FU111" s="884"/>
      <c r="FV111" s="884"/>
      <c r="FW111" s="884"/>
      <c r="FX111" s="884"/>
      <c r="FY111" s="884"/>
      <c r="FZ111" s="884"/>
      <c r="GA111" s="884"/>
      <c r="GB111" s="884"/>
      <c r="GC111" s="884"/>
      <c r="GD111" s="884"/>
      <c r="GE111" s="884"/>
      <c r="GF111" s="884"/>
      <c r="GG111" s="884"/>
      <c r="GH111" s="884"/>
      <c r="GI111" s="884"/>
      <c r="GJ111" s="884"/>
      <c r="GK111" s="884"/>
      <c r="GL111" s="884"/>
      <c r="GM111" s="884"/>
      <c r="GN111" s="884"/>
      <c r="GO111" s="884"/>
      <c r="GP111" s="884"/>
      <c r="GQ111" s="884"/>
      <c r="GR111" s="411"/>
      <c r="GS111" s="411"/>
      <c r="GT111" s="411"/>
      <c r="GU111" s="411"/>
      <c r="GV111" s="411"/>
      <c r="GW111" s="1030"/>
      <c r="GX111" s="1030"/>
      <c r="GY111" s="780"/>
      <c r="GZ111" s="1031"/>
      <c r="HA111" s="1031"/>
      <c r="HB111" s="279" t="s">
        <v>844</v>
      </c>
      <c r="HC111" s="403"/>
      <c r="HD111" s="403"/>
      <c r="HE111" s="403"/>
      <c r="HF111" s="403"/>
      <c r="HG111" s="403"/>
      <c r="HH111" s="403"/>
      <c r="HI111" s="403"/>
      <c r="HJ111" s="403"/>
      <c r="HK111" s="403"/>
      <c r="HL111" s="403"/>
      <c r="HM111" s="403"/>
      <c r="HN111" s="403"/>
      <c r="HO111" s="403"/>
      <c r="HP111" s="403"/>
      <c r="HQ111" s="403"/>
      <c r="HR111" s="403"/>
      <c r="HS111" s="403"/>
      <c r="HT111" s="403"/>
      <c r="HU111" s="403"/>
      <c r="HV111" s="403"/>
      <c r="HW111" s="403"/>
      <c r="HX111" s="403"/>
      <c r="HY111" s="403"/>
      <c r="HZ111" s="403"/>
      <c r="IA111" s="403"/>
      <c r="IB111" s="403"/>
      <c r="IC111" s="403"/>
      <c r="ID111" s="403"/>
      <c r="IE111" s="403"/>
      <c r="IF111" s="403"/>
      <c r="IG111" s="403"/>
      <c r="IH111" s="403"/>
      <c r="II111" s="403"/>
      <c r="IJ111" s="403"/>
      <c r="IK111" s="403"/>
      <c r="IL111" s="403"/>
      <c r="IM111" s="403"/>
      <c r="IN111" s="403"/>
      <c r="IO111" s="403"/>
      <c r="IP111" s="403"/>
      <c r="IQ111" s="403"/>
      <c r="IR111" s="403"/>
      <c r="IS111" s="403"/>
      <c r="IT111" s="403"/>
      <c r="IU111" s="403"/>
      <c r="IV111" s="403"/>
      <c r="IW111" s="403"/>
      <c r="IX111" s="403"/>
      <c r="IY111" s="403"/>
      <c r="IZ111" s="403"/>
      <c r="JA111" s="403"/>
      <c r="JB111" s="403"/>
      <c r="JC111" s="403"/>
      <c r="JD111" s="403"/>
      <c r="JE111" s="403"/>
      <c r="JF111" s="403"/>
      <c r="JG111" s="403"/>
      <c r="JH111" s="403"/>
      <c r="JI111" s="403"/>
      <c r="JJ111" s="403"/>
      <c r="JK111" s="403"/>
      <c r="JL111" s="403"/>
      <c r="JM111" s="403"/>
      <c r="JN111" s="403"/>
      <c r="JO111" s="403"/>
      <c r="JP111" s="403"/>
      <c r="JQ111" s="403"/>
      <c r="JR111" s="403"/>
      <c r="JS111" s="403"/>
      <c r="JT111" s="403"/>
      <c r="JU111" s="403"/>
      <c r="JV111" s="403"/>
      <c r="JW111" s="403"/>
      <c r="JX111" s="403"/>
      <c r="JY111" s="403"/>
      <c r="JZ111" s="403"/>
      <c r="KA111" s="403"/>
    </row>
    <row r="112" spans="1:287" s="361" customFormat="1" ht="43.5" hidden="1" customHeight="1">
      <c r="A112" s="1321"/>
      <c r="B112" s="1600"/>
      <c r="C112" s="754" t="s">
        <v>843</v>
      </c>
      <c r="D112" s="755" t="s">
        <v>1387</v>
      </c>
      <c r="E112" s="861">
        <f t="shared" si="50"/>
        <v>1</v>
      </c>
      <c r="F112" s="861"/>
      <c r="G112" s="861"/>
      <c r="H112" s="861"/>
      <c r="I112" s="861"/>
      <c r="J112" s="858">
        <f t="shared" si="51"/>
        <v>0</v>
      </c>
      <c r="K112" s="858">
        <f t="shared" si="52"/>
        <v>0</v>
      </c>
      <c r="L112" s="858">
        <f t="shared" si="53"/>
        <v>0</v>
      </c>
      <c r="M112" s="858">
        <f t="shared" si="54"/>
        <v>0</v>
      </c>
      <c r="N112" s="858">
        <f t="shared" si="55"/>
        <v>0</v>
      </c>
      <c r="O112" s="861">
        <f t="shared" si="56"/>
        <v>1</v>
      </c>
      <c r="P112" s="861">
        <f t="shared" si="57"/>
        <v>0</v>
      </c>
      <c r="Q112" s="861">
        <f t="shared" si="58"/>
        <v>0</v>
      </c>
      <c r="R112" s="861">
        <f t="shared" si="59"/>
        <v>0</v>
      </c>
      <c r="S112" s="861">
        <f t="shared" si="60"/>
        <v>0</v>
      </c>
      <c r="T112" s="861"/>
      <c r="U112" s="858"/>
      <c r="V112" s="884"/>
      <c r="W112" s="884"/>
      <c r="X112" s="884"/>
      <c r="Y112" s="859"/>
      <c r="Z112" s="859"/>
      <c r="AA112" s="859"/>
      <c r="AB112" s="859"/>
      <c r="AC112" s="859"/>
      <c r="AD112" s="859"/>
      <c r="AE112" s="859"/>
      <c r="AF112" s="859"/>
      <c r="AG112" s="859"/>
      <c r="AH112" s="859"/>
      <c r="AI112" s="859"/>
      <c r="AJ112" s="859"/>
      <c r="AK112" s="859"/>
      <c r="AL112" s="859"/>
      <c r="AM112" s="859"/>
      <c r="AN112" s="859"/>
      <c r="AO112" s="859"/>
      <c r="AP112" s="859"/>
      <c r="AQ112" s="859"/>
      <c r="AR112" s="859"/>
      <c r="AS112" s="859"/>
      <c r="AT112" s="859"/>
      <c r="AU112" s="859"/>
      <c r="AV112" s="859"/>
      <c r="AW112" s="859"/>
      <c r="AX112" s="859"/>
      <c r="AY112" s="859"/>
      <c r="AZ112" s="859"/>
      <c r="BA112" s="859"/>
      <c r="BB112" s="859"/>
      <c r="BC112" s="859"/>
      <c r="BD112" s="859"/>
      <c r="BE112" s="859"/>
      <c r="BF112" s="859"/>
      <c r="BG112" s="859"/>
      <c r="BH112" s="859"/>
      <c r="BI112" s="859"/>
      <c r="BJ112" s="859"/>
      <c r="BK112" s="859"/>
      <c r="BL112" s="859"/>
      <c r="BM112" s="859"/>
      <c r="BN112" s="859"/>
      <c r="BO112" s="859"/>
      <c r="BP112" s="859"/>
      <c r="BQ112" s="859"/>
      <c r="BR112" s="859"/>
      <c r="BS112" s="859"/>
      <c r="BT112" s="859"/>
      <c r="BU112" s="859"/>
      <c r="BV112" s="859"/>
      <c r="BW112" s="859"/>
      <c r="BX112" s="859"/>
      <c r="BY112" s="859"/>
      <c r="BZ112" s="859"/>
      <c r="CA112" s="859"/>
      <c r="CB112" s="859"/>
      <c r="CC112" s="884"/>
      <c r="CD112" s="884"/>
      <c r="CE112" s="884"/>
      <c r="CF112" s="884"/>
      <c r="CG112" s="884"/>
      <c r="CH112" s="884"/>
      <c r="CI112" s="884"/>
      <c r="CJ112" s="884"/>
      <c r="CK112" s="884"/>
      <c r="CL112" s="884"/>
      <c r="CM112" s="884"/>
      <c r="CN112" s="884"/>
      <c r="CO112" s="884"/>
      <c r="CP112" s="884"/>
      <c r="CQ112" s="884"/>
      <c r="CR112" s="884"/>
      <c r="CS112" s="884"/>
      <c r="CT112" s="884"/>
      <c r="CU112" s="884"/>
      <c r="CV112" s="884"/>
      <c r="CW112" s="884"/>
      <c r="CX112" s="884"/>
      <c r="CY112" s="884"/>
      <c r="CZ112" s="884"/>
      <c r="DA112" s="884"/>
      <c r="DB112" s="884"/>
      <c r="DC112" s="884"/>
      <c r="DD112" s="884"/>
      <c r="DE112" s="884"/>
      <c r="DF112" s="884"/>
      <c r="DG112" s="884"/>
      <c r="DH112" s="884"/>
      <c r="DI112" s="884"/>
      <c r="DJ112" s="884"/>
      <c r="DK112" s="884"/>
      <c r="DL112" s="884"/>
      <c r="DM112" s="884"/>
      <c r="DN112" s="884"/>
      <c r="DO112" s="884"/>
      <c r="DP112" s="884"/>
      <c r="DQ112" s="884"/>
      <c r="DR112" s="884"/>
      <c r="DS112" s="884"/>
      <c r="DT112" s="884"/>
      <c r="DU112" s="884"/>
      <c r="DV112" s="884"/>
      <c r="DW112" s="884"/>
      <c r="DX112" s="884"/>
      <c r="DY112" s="884"/>
      <c r="DZ112" s="884"/>
      <c r="EA112" s="884"/>
      <c r="EB112" s="884"/>
      <c r="EC112" s="884"/>
      <c r="ED112" s="884"/>
      <c r="EE112" s="884"/>
      <c r="EF112" s="884"/>
      <c r="EG112" s="884"/>
      <c r="EH112" s="884"/>
      <c r="EI112" s="884"/>
      <c r="EJ112" s="884"/>
      <c r="EK112" s="884"/>
      <c r="EL112" s="884"/>
      <c r="EM112" s="884"/>
      <c r="EN112" s="884"/>
      <c r="EO112" s="884"/>
      <c r="EP112" s="884"/>
      <c r="EQ112" s="884"/>
      <c r="ER112" s="884"/>
      <c r="ES112" s="884"/>
      <c r="ET112" s="884"/>
      <c r="EU112" s="859"/>
      <c r="EV112" s="859"/>
      <c r="EW112" s="859"/>
      <c r="EX112" s="859">
        <v>1</v>
      </c>
      <c r="EY112" s="859"/>
      <c r="EZ112" s="859"/>
      <c r="FA112" s="859"/>
      <c r="FB112" s="859"/>
      <c r="FC112" s="859"/>
      <c r="FD112" s="859"/>
      <c r="FE112" s="859"/>
      <c r="FF112" s="859"/>
      <c r="FG112" s="859"/>
      <c r="FH112" s="859"/>
      <c r="FI112" s="859"/>
      <c r="FJ112" s="859"/>
      <c r="FK112" s="859"/>
      <c r="FL112" s="859"/>
      <c r="FM112" s="859"/>
      <c r="FN112" s="859"/>
      <c r="FO112" s="859"/>
      <c r="FP112" s="859"/>
      <c r="FQ112" s="859"/>
      <c r="FR112" s="859"/>
      <c r="FS112" s="859"/>
      <c r="FT112" s="859"/>
      <c r="FU112" s="859"/>
      <c r="FV112" s="859"/>
      <c r="FW112" s="859"/>
      <c r="FX112" s="859"/>
      <c r="FY112" s="859"/>
      <c r="FZ112" s="859"/>
      <c r="GA112" s="859"/>
      <c r="GB112" s="859"/>
      <c r="GC112" s="859"/>
      <c r="GD112" s="859"/>
      <c r="GE112" s="859"/>
      <c r="GF112" s="859"/>
      <c r="GG112" s="859"/>
      <c r="GH112" s="859"/>
      <c r="GI112" s="859"/>
      <c r="GJ112" s="859"/>
      <c r="GK112" s="859"/>
      <c r="GL112" s="859"/>
      <c r="GM112" s="859"/>
      <c r="GN112" s="859"/>
      <c r="GO112" s="859"/>
      <c r="GP112" s="859"/>
      <c r="GQ112" s="859"/>
      <c r="GR112" s="884"/>
      <c r="GS112" s="884"/>
      <c r="GT112" s="884"/>
      <c r="GU112" s="884"/>
      <c r="GV112" s="884"/>
      <c r="GW112" s="921"/>
      <c r="GX112" s="921"/>
      <c r="GY112" s="755"/>
      <c r="GZ112" s="987"/>
      <c r="HA112" s="878" t="s">
        <v>1381</v>
      </c>
      <c r="HB112" s="864" t="s">
        <v>1154</v>
      </c>
      <c r="HC112" s="403"/>
      <c r="HD112" s="403"/>
      <c r="HE112" s="403"/>
      <c r="HF112" s="403"/>
      <c r="HG112" s="403"/>
      <c r="HH112" s="403"/>
      <c r="HI112" s="403"/>
      <c r="HJ112" s="403"/>
      <c r="HK112" s="403"/>
      <c r="HL112" s="403"/>
      <c r="HM112" s="403"/>
      <c r="HN112" s="403"/>
      <c r="HO112" s="403"/>
      <c r="HP112" s="403"/>
      <c r="HQ112" s="403"/>
      <c r="HR112" s="403"/>
      <c r="HS112" s="403"/>
      <c r="HT112" s="403"/>
      <c r="HU112" s="403"/>
      <c r="HV112" s="403"/>
      <c r="HW112" s="403"/>
      <c r="HX112" s="403"/>
      <c r="HY112" s="403"/>
      <c r="HZ112" s="403"/>
      <c r="IA112" s="403"/>
      <c r="IB112" s="403"/>
      <c r="IC112" s="403"/>
      <c r="ID112" s="403"/>
      <c r="IE112" s="403"/>
      <c r="IF112" s="403"/>
      <c r="IG112" s="403"/>
      <c r="IH112" s="403"/>
      <c r="II112" s="403"/>
      <c r="IJ112" s="403"/>
      <c r="IK112" s="403"/>
      <c r="IL112" s="403"/>
      <c r="IM112" s="403"/>
      <c r="IN112" s="403"/>
      <c r="IO112" s="403"/>
      <c r="IP112" s="403"/>
      <c r="IQ112" s="403"/>
      <c r="IR112" s="403"/>
      <c r="IS112" s="403"/>
      <c r="IT112" s="403"/>
      <c r="IU112" s="403"/>
      <c r="IV112" s="403"/>
      <c r="IW112" s="403"/>
      <c r="IX112" s="403"/>
      <c r="IY112" s="403"/>
      <c r="IZ112" s="403"/>
      <c r="JA112" s="403"/>
      <c r="JB112" s="403"/>
      <c r="JC112" s="403"/>
      <c r="JD112" s="403"/>
      <c r="JE112" s="403"/>
      <c r="JF112" s="403"/>
      <c r="JG112" s="403"/>
      <c r="JH112" s="403"/>
      <c r="JI112" s="403"/>
      <c r="JJ112" s="403"/>
      <c r="JK112" s="403"/>
      <c r="JL112" s="403"/>
      <c r="JM112" s="403"/>
      <c r="JN112" s="403"/>
      <c r="JO112" s="403"/>
      <c r="JP112" s="403"/>
      <c r="JQ112" s="403"/>
      <c r="JR112" s="403"/>
      <c r="JS112" s="403"/>
      <c r="JT112" s="403"/>
      <c r="JU112" s="403"/>
      <c r="JV112" s="403"/>
      <c r="JW112" s="403"/>
      <c r="JX112" s="403"/>
      <c r="JY112" s="403"/>
      <c r="JZ112" s="403"/>
      <c r="KA112" s="403"/>
    </row>
    <row r="113" spans="1:287" s="361" customFormat="1" ht="43.5" hidden="1" customHeight="1">
      <c r="A113" s="1408"/>
      <c r="B113" s="1610"/>
      <c r="C113" s="818" t="s">
        <v>843</v>
      </c>
      <c r="D113" s="755" t="s">
        <v>1422</v>
      </c>
      <c r="E113" s="861">
        <f t="shared" si="50"/>
        <v>1</v>
      </c>
      <c r="F113" s="861"/>
      <c r="G113" s="861"/>
      <c r="H113" s="861"/>
      <c r="I113" s="861"/>
      <c r="J113" s="858">
        <v>0</v>
      </c>
      <c r="K113" s="858">
        <v>0</v>
      </c>
      <c r="L113" s="858">
        <v>0</v>
      </c>
      <c r="M113" s="858">
        <v>0</v>
      </c>
      <c r="N113" s="858">
        <f t="shared" si="55"/>
        <v>0</v>
      </c>
      <c r="O113" s="861">
        <f t="shared" si="56"/>
        <v>1</v>
      </c>
      <c r="P113" s="861">
        <f t="shared" si="57"/>
        <v>0</v>
      </c>
      <c r="Q113" s="861">
        <f t="shared" si="58"/>
        <v>0</v>
      </c>
      <c r="R113" s="861">
        <f t="shared" si="59"/>
        <v>0</v>
      </c>
      <c r="S113" s="861">
        <f t="shared" si="60"/>
        <v>0</v>
      </c>
      <c r="T113" s="861"/>
      <c r="U113" s="858"/>
      <c r="V113" s="884"/>
      <c r="W113" s="884"/>
      <c r="X113" s="884"/>
      <c r="Y113" s="859"/>
      <c r="Z113" s="859"/>
      <c r="AA113" s="859"/>
      <c r="AB113" s="859"/>
      <c r="AC113" s="859"/>
      <c r="AD113" s="859"/>
      <c r="AE113" s="859"/>
      <c r="AF113" s="859"/>
      <c r="AG113" s="859"/>
      <c r="AH113" s="859"/>
      <c r="AI113" s="859"/>
      <c r="AJ113" s="859"/>
      <c r="AK113" s="859"/>
      <c r="AL113" s="859"/>
      <c r="AM113" s="859"/>
      <c r="AN113" s="859"/>
      <c r="AO113" s="859"/>
      <c r="AP113" s="859"/>
      <c r="AQ113" s="859"/>
      <c r="AR113" s="859"/>
      <c r="AS113" s="859"/>
      <c r="AT113" s="859"/>
      <c r="AU113" s="859"/>
      <c r="AV113" s="859"/>
      <c r="AW113" s="859"/>
      <c r="AX113" s="859"/>
      <c r="AY113" s="859"/>
      <c r="AZ113" s="859"/>
      <c r="BA113" s="859"/>
      <c r="BB113" s="859"/>
      <c r="BC113" s="859"/>
      <c r="BD113" s="859"/>
      <c r="BE113" s="859"/>
      <c r="BF113" s="859"/>
      <c r="BG113" s="859"/>
      <c r="BH113" s="859"/>
      <c r="BI113" s="859"/>
      <c r="BJ113" s="859"/>
      <c r="BK113" s="859"/>
      <c r="BL113" s="859"/>
      <c r="BM113" s="859"/>
      <c r="BN113" s="859"/>
      <c r="BO113" s="859"/>
      <c r="BP113" s="859"/>
      <c r="BQ113" s="859"/>
      <c r="BR113" s="859"/>
      <c r="BS113" s="859"/>
      <c r="BT113" s="859"/>
      <c r="BU113" s="859"/>
      <c r="BV113" s="859"/>
      <c r="BW113" s="859"/>
      <c r="BX113" s="859"/>
      <c r="BY113" s="859"/>
      <c r="BZ113" s="859"/>
      <c r="CA113" s="859"/>
      <c r="CB113" s="859"/>
      <c r="CC113" s="884"/>
      <c r="CD113" s="884"/>
      <c r="CE113" s="884"/>
      <c r="CF113" s="884"/>
      <c r="CG113" s="884"/>
      <c r="CH113" s="884"/>
      <c r="CI113" s="884"/>
      <c r="CJ113" s="884"/>
      <c r="CK113" s="884"/>
      <c r="CL113" s="884"/>
      <c r="CM113" s="884"/>
      <c r="CN113" s="884"/>
      <c r="CO113" s="884"/>
      <c r="CP113" s="884"/>
      <c r="CQ113" s="884"/>
      <c r="CR113" s="884"/>
      <c r="CS113" s="884"/>
      <c r="CT113" s="884"/>
      <c r="CU113" s="884"/>
      <c r="CV113" s="884"/>
      <c r="CW113" s="884"/>
      <c r="CX113" s="884"/>
      <c r="CY113" s="884"/>
      <c r="CZ113" s="884"/>
      <c r="DA113" s="884"/>
      <c r="DB113" s="884"/>
      <c r="DC113" s="884"/>
      <c r="DD113" s="884"/>
      <c r="DE113" s="884"/>
      <c r="DF113" s="884"/>
      <c r="DG113" s="884"/>
      <c r="DH113" s="884"/>
      <c r="DI113" s="884"/>
      <c r="DJ113" s="884"/>
      <c r="DK113" s="884"/>
      <c r="DL113" s="884"/>
      <c r="DM113" s="884"/>
      <c r="DN113" s="884"/>
      <c r="DO113" s="884"/>
      <c r="DP113" s="884"/>
      <c r="DQ113" s="884"/>
      <c r="DR113" s="884"/>
      <c r="DS113" s="884"/>
      <c r="DT113" s="884"/>
      <c r="DU113" s="884"/>
      <c r="DV113" s="884"/>
      <c r="DW113" s="884"/>
      <c r="DX113" s="884"/>
      <c r="DY113" s="884"/>
      <c r="DZ113" s="884"/>
      <c r="EA113" s="884"/>
      <c r="EB113" s="884"/>
      <c r="EC113" s="884"/>
      <c r="ED113" s="884"/>
      <c r="EE113" s="884"/>
      <c r="EF113" s="884"/>
      <c r="EG113" s="884"/>
      <c r="EH113" s="884"/>
      <c r="EI113" s="884"/>
      <c r="EJ113" s="884"/>
      <c r="EK113" s="884"/>
      <c r="EL113" s="884"/>
      <c r="EM113" s="884"/>
      <c r="EN113" s="884"/>
      <c r="EO113" s="884"/>
      <c r="EP113" s="884"/>
      <c r="EQ113" s="884"/>
      <c r="ER113" s="884"/>
      <c r="ES113" s="884"/>
      <c r="ET113" s="884"/>
      <c r="EU113" s="859"/>
      <c r="EV113" s="859"/>
      <c r="EW113" s="859"/>
      <c r="EX113" s="859"/>
      <c r="EY113" s="859"/>
      <c r="EZ113" s="859"/>
      <c r="FA113" s="859"/>
      <c r="FB113" s="859"/>
      <c r="FC113" s="859"/>
      <c r="FD113" s="859"/>
      <c r="FE113" s="859"/>
      <c r="FF113" s="859"/>
      <c r="FG113" s="859"/>
      <c r="FH113" s="859"/>
      <c r="FI113" s="859"/>
      <c r="FJ113" s="859"/>
      <c r="FK113" s="859"/>
      <c r="FL113" s="859"/>
      <c r="FM113" s="859"/>
      <c r="FN113" s="859"/>
      <c r="FO113" s="859">
        <v>1</v>
      </c>
      <c r="FP113" s="859"/>
      <c r="FQ113" s="859"/>
      <c r="FR113" s="859"/>
      <c r="FS113" s="859"/>
      <c r="FT113" s="859"/>
      <c r="FU113" s="859"/>
      <c r="FV113" s="859"/>
      <c r="FW113" s="859"/>
      <c r="FX113" s="859"/>
      <c r="FY113" s="859"/>
      <c r="FZ113" s="859"/>
      <c r="GA113" s="859"/>
      <c r="GB113" s="859"/>
      <c r="GC113" s="859"/>
      <c r="GD113" s="859"/>
      <c r="GE113" s="859"/>
      <c r="GF113" s="859"/>
      <c r="GG113" s="859"/>
      <c r="GH113" s="859"/>
      <c r="GI113" s="859"/>
      <c r="GJ113" s="859"/>
      <c r="GK113" s="859"/>
      <c r="GL113" s="859"/>
      <c r="GM113" s="859"/>
      <c r="GN113" s="859"/>
      <c r="GO113" s="859"/>
      <c r="GP113" s="859"/>
      <c r="GQ113" s="859"/>
      <c r="GR113" s="884"/>
      <c r="GS113" s="884"/>
      <c r="GT113" s="884"/>
      <c r="GU113" s="884"/>
      <c r="GV113" s="884"/>
      <c r="GW113" s="921"/>
      <c r="GX113" s="921"/>
      <c r="GY113" s="755"/>
      <c r="GZ113" s="987"/>
      <c r="HA113" s="878"/>
      <c r="HB113" s="864" t="s">
        <v>1423</v>
      </c>
      <c r="HC113" s="403"/>
      <c r="HD113" s="403"/>
      <c r="HE113" s="403"/>
      <c r="HF113" s="403"/>
      <c r="HG113" s="403"/>
      <c r="HH113" s="403"/>
      <c r="HI113" s="403"/>
      <c r="HJ113" s="403"/>
      <c r="HK113" s="403"/>
      <c r="HL113" s="403"/>
      <c r="HM113" s="403"/>
      <c r="HN113" s="403"/>
      <c r="HO113" s="403"/>
      <c r="HP113" s="403"/>
      <c r="HQ113" s="403"/>
      <c r="HR113" s="403"/>
      <c r="HS113" s="403"/>
      <c r="HT113" s="403"/>
      <c r="HU113" s="403"/>
      <c r="HV113" s="403"/>
      <c r="HW113" s="403"/>
      <c r="HX113" s="403"/>
      <c r="HY113" s="403"/>
      <c r="HZ113" s="403"/>
      <c r="IA113" s="403"/>
      <c r="IB113" s="403"/>
      <c r="IC113" s="403"/>
      <c r="ID113" s="403"/>
      <c r="IE113" s="403"/>
      <c r="IF113" s="403"/>
      <c r="IG113" s="403"/>
      <c r="IH113" s="403"/>
      <c r="II113" s="403"/>
      <c r="IJ113" s="403"/>
      <c r="IK113" s="403"/>
      <c r="IL113" s="403"/>
      <c r="IM113" s="403"/>
      <c r="IN113" s="403"/>
      <c r="IO113" s="403"/>
      <c r="IP113" s="403"/>
      <c r="IQ113" s="403"/>
      <c r="IR113" s="403"/>
      <c r="IS113" s="403"/>
      <c r="IT113" s="403"/>
      <c r="IU113" s="403"/>
      <c r="IV113" s="403"/>
      <c r="IW113" s="403"/>
      <c r="IX113" s="403"/>
      <c r="IY113" s="403"/>
      <c r="IZ113" s="403"/>
      <c r="JA113" s="403"/>
      <c r="JB113" s="403"/>
      <c r="JC113" s="403"/>
      <c r="JD113" s="403"/>
      <c r="JE113" s="403"/>
      <c r="JF113" s="403"/>
      <c r="JG113" s="403"/>
      <c r="JH113" s="403"/>
      <c r="JI113" s="403"/>
      <c r="JJ113" s="403"/>
      <c r="JK113" s="403"/>
      <c r="JL113" s="403"/>
      <c r="JM113" s="403"/>
      <c r="JN113" s="403"/>
      <c r="JO113" s="403"/>
      <c r="JP113" s="403"/>
      <c r="JQ113" s="403"/>
      <c r="JR113" s="403"/>
      <c r="JS113" s="403"/>
      <c r="JT113" s="403"/>
      <c r="JU113" s="403"/>
      <c r="JV113" s="403"/>
      <c r="JW113" s="403"/>
      <c r="JX113" s="403"/>
      <c r="JY113" s="403"/>
      <c r="JZ113" s="403"/>
      <c r="KA113" s="403"/>
    </row>
    <row r="114" spans="1:287" s="361" customFormat="1" ht="43.5" hidden="1" customHeight="1">
      <c r="A114" s="754"/>
      <c r="B114" s="1600"/>
      <c r="C114" s="754" t="s">
        <v>843</v>
      </c>
      <c r="D114" s="755" t="s">
        <v>1434</v>
      </c>
      <c r="E114" s="858">
        <f t="shared" si="50"/>
        <v>3</v>
      </c>
      <c r="F114" s="861"/>
      <c r="G114" s="861"/>
      <c r="H114" s="861"/>
      <c r="I114" s="861"/>
      <c r="J114" s="858">
        <v>0</v>
      </c>
      <c r="K114" s="858">
        <v>0</v>
      </c>
      <c r="L114" s="858">
        <v>0</v>
      </c>
      <c r="M114" s="858">
        <v>0</v>
      </c>
      <c r="N114" s="858">
        <f t="shared" si="55"/>
        <v>0</v>
      </c>
      <c r="O114" s="858">
        <f t="shared" si="56"/>
        <v>2</v>
      </c>
      <c r="P114" s="858">
        <f t="shared" si="57"/>
        <v>1</v>
      </c>
      <c r="Q114" s="858">
        <f t="shared" ref="Q114:Q154" si="73">SUM(FW114:GC114)</f>
        <v>2</v>
      </c>
      <c r="R114" s="858">
        <f t="shared" ref="R114:R154" si="74">SUM(GD114:GJ114)</f>
        <v>0</v>
      </c>
      <c r="S114" s="858">
        <f t="shared" ref="S114:S154" si="75">SUM(GK114:GQ114)</f>
        <v>1</v>
      </c>
      <c r="T114" s="858"/>
      <c r="U114" s="858"/>
      <c r="V114" s="884"/>
      <c r="W114" s="884"/>
      <c r="X114" s="884"/>
      <c r="Y114" s="859"/>
      <c r="Z114" s="859"/>
      <c r="AA114" s="859"/>
      <c r="AB114" s="859"/>
      <c r="AC114" s="859"/>
      <c r="AD114" s="859"/>
      <c r="AE114" s="859"/>
      <c r="AF114" s="859"/>
      <c r="AG114" s="859"/>
      <c r="AH114" s="859"/>
      <c r="AI114" s="859"/>
      <c r="AJ114" s="859"/>
      <c r="AK114" s="859"/>
      <c r="AL114" s="859"/>
      <c r="AM114" s="859"/>
      <c r="AN114" s="859"/>
      <c r="AO114" s="859"/>
      <c r="AP114" s="859"/>
      <c r="AQ114" s="859"/>
      <c r="AR114" s="859"/>
      <c r="AS114" s="859"/>
      <c r="AT114" s="859"/>
      <c r="AU114" s="859"/>
      <c r="AV114" s="859"/>
      <c r="AW114" s="859"/>
      <c r="AX114" s="859"/>
      <c r="AY114" s="859"/>
      <c r="AZ114" s="859"/>
      <c r="BA114" s="859"/>
      <c r="BB114" s="859"/>
      <c r="BC114" s="859"/>
      <c r="BD114" s="859"/>
      <c r="BE114" s="859"/>
      <c r="BF114" s="859"/>
      <c r="BG114" s="859"/>
      <c r="BH114" s="859"/>
      <c r="BI114" s="859"/>
      <c r="BJ114" s="859"/>
      <c r="BK114" s="859"/>
      <c r="BL114" s="859"/>
      <c r="BM114" s="859"/>
      <c r="BN114" s="859"/>
      <c r="BO114" s="859"/>
      <c r="BP114" s="859"/>
      <c r="BQ114" s="859"/>
      <c r="BR114" s="859"/>
      <c r="BS114" s="859"/>
      <c r="BT114" s="859"/>
      <c r="BU114" s="859"/>
      <c r="BV114" s="859"/>
      <c r="BW114" s="859"/>
      <c r="BX114" s="859"/>
      <c r="BY114" s="859"/>
      <c r="BZ114" s="859"/>
      <c r="CA114" s="859"/>
      <c r="CB114" s="859"/>
      <c r="CC114" s="884"/>
      <c r="CD114" s="884"/>
      <c r="CE114" s="884"/>
      <c r="CF114" s="884"/>
      <c r="CG114" s="884"/>
      <c r="CH114" s="884"/>
      <c r="CI114" s="884"/>
      <c r="CJ114" s="884"/>
      <c r="CK114" s="884"/>
      <c r="CL114" s="884"/>
      <c r="CM114" s="884"/>
      <c r="CN114" s="884"/>
      <c r="CO114" s="884"/>
      <c r="CP114" s="884"/>
      <c r="CQ114" s="884"/>
      <c r="CR114" s="884"/>
      <c r="CS114" s="884"/>
      <c r="CT114" s="884"/>
      <c r="CU114" s="884"/>
      <c r="CV114" s="884"/>
      <c r="CW114" s="884"/>
      <c r="CX114" s="884"/>
      <c r="CY114" s="884"/>
      <c r="CZ114" s="884"/>
      <c r="DA114" s="884"/>
      <c r="DB114" s="884"/>
      <c r="DC114" s="884"/>
      <c r="DD114" s="884"/>
      <c r="DE114" s="884"/>
      <c r="DF114" s="884"/>
      <c r="DG114" s="884"/>
      <c r="DH114" s="884"/>
      <c r="DI114" s="884"/>
      <c r="DJ114" s="884"/>
      <c r="DK114" s="884"/>
      <c r="DL114" s="884"/>
      <c r="DM114" s="884"/>
      <c r="DN114" s="884"/>
      <c r="DO114" s="884"/>
      <c r="DP114" s="884"/>
      <c r="DQ114" s="884"/>
      <c r="DR114" s="884"/>
      <c r="DS114" s="884"/>
      <c r="DT114" s="884"/>
      <c r="DU114" s="884"/>
      <c r="DV114" s="884"/>
      <c r="DW114" s="884"/>
      <c r="DX114" s="884"/>
      <c r="DY114" s="884"/>
      <c r="DZ114" s="884"/>
      <c r="EA114" s="884"/>
      <c r="EB114" s="884"/>
      <c r="EC114" s="884"/>
      <c r="ED114" s="884"/>
      <c r="EE114" s="884"/>
      <c r="EF114" s="884"/>
      <c r="EG114" s="884"/>
      <c r="EH114" s="884"/>
      <c r="EI114" s="884"/>
      <c r="EJ114" s="884"/>
      <c r="EK114" s="884"/>
      <c r="EL114" s="884"/>
      <c r="EM114" s="884"/>
      <c r="EN114" s="884"/>
      <c r="EO114" s="884"/>
      <c r="EP114" s="884"/>
      <c r="EQ114" s="884"/>
      <c r="ER114" s="884"/>
      <c r="ES114" s="884"/>
      <c r="ET114" s="884"/>
      <c r="EU114" s="859"/>
      <c r="EV114" s="859"/>
      <c r="EW114" s="859"/>
      <c r="EX114" s="859"/>
      <c r="EY114" s="859"/>
      <c r="EZ114" s="859"/>
      <c r="FA114" s="859"/>
      <c r="FB114" s="859"/>
      <c r="FC114" s="859"/>
      <c r="FD114" s="859"/>
      <c r="FE114" s="859"/>
      <c r="FF114" s="859"/>
      <c r="FG114" s="859"/>
      <c r="FH114" s="859"/>
      <c r="FI114" s="859"/>
      <c r="FJ114" s="859"/>
      <c r="FK114" s="859"/>
      <c r="FL114" s="859"/>
      <c r="FM114" s="859"/>
      <c r="FN114" s="859"/>
      <c r="FO114" s="859"/>
      <c r="FP114" s="859"/>
      <c r="FQ114" s="859"/>
      <c r="FR114" s="859"/>
      <c r="FS114" s="859"/>
      <c r="FT114" s="859"/>
      <c r="FU114" s="859"/>
      <c r="FV114" s="859"/>
      <c r="FW114" s="859"/>
      <c r="FX114" s="859">
        <v>2</v>
      </c>
      <c r="FY114" s="859"/>
      <c r="FZ114" s="859"/>
      <c r="GA114" s="859"/>
      <c r="GB114" s="859"/>
      <c r="GC114" s="859"/>
      <c r="GD114" s="859"/>
      <c r="GE114" s="859"/>
      <c r="GF114" s="859"/>
      <c r="GG114" s="859"/>
      <c r="GH114" s="859"/>
      <c r="GI114" s="859"/>
      <c r="GJ114" s="859"/>
      <c r="GK114" s="859"/>
      <c r="GL114" s="859"/>
      <c r="GM114" s="859"/>
      <c r="GN114" s="859"/>
      <c r="GO114" s="859">
        <v>1</v>
      </c>
      <c r="GP114" s="859"/>
      <c r="GQ114" s="859"/>
      <c r="GR114" s="884"/>
      <c r="GS114" s="884"/>
      <c r="GT114" s="884"/>
      <c r="GU114" s="884"/>
      <c r="GV114" s="884"/>
      <c r="GW114" s="921" t="s">
        <v>1437</v>
      </c>
      <c r="GX114" s="921" t="s">
        <v>1436</v>
      </c>
      <c r="GY114" s="755"/>
      <c r="GZ114" s="987"/>
      <c r="HA114" s="1510"/>
      <c r="HB114" s="864" t="s">
        <v>1438</v>
      </c>
      <c r="HC114" s="403"/>
      <c r="HD114" s="403"/>
      <c r="HE114" s="403"/>
      <c r="HF114" s="403"/>
      <c r="HG114" s="403"/>
      <c r="HH114" s="403"/>
      <c r="HI114" s="403"/>
      <c r="HJ114" s="403"/>
      <c r="HK114" s="403"/>
      <c r="HL114" s="403"/>
      <c r="HM114" s="403"/>
      <c r="HN114" s="403"/>
      <c r="HO114" s="403"/>
      <c r="HP114" s="403"/>
      <c r="HQ114" s="403"/>
      <c r="HR114" s="403"/>
      <c r="HS114" s="403"/>
      <c r="HT114" s="403"/>
      <c r="HU114" s="403"/>
      <c r="HV114" s="403"/>
      <c r="HW114" s="403"/>
      <c r="HX114" s="403"/>
      <c r="HY114" s="403"/>
      <c r="HZ114" s="403"/>
      <c r="IA114" s="403"/>
      <c r="IB114" s="403"/>
      <c r="IC114" s="403"/>
      <c r="ID114" s="403"/>
      <c r="IE114" s="403"/>
      <c r="IF114" s="403"/>
      <c r="IG114" s="403"/>
      <c r="IH114" s="403"/>
      <c r="II114" s="403"/>
      <c r="IJ114" s="403"/>
      <c r="IK114" s="403"/>
      <c r="IL114" s="403"/>
      <c r="IM114" s="403"/>
      <c r="IN114" s="403"/>
      <c r="IO114" s="403"/>
      <c r="IP114" s="403"/>
      <c r="IQ114" s="403"/>
      <c r="IR114" s="403"/>
      <c r="IS114" s="403"/>
      <c r="IT114" s="403"/>
      <c r="IU114" s="403"/>
      <c r="IV114" s="403"/>
      <c r="IW114" s="403"/>
      <c r="IX114" s="403"/>
      <c r="IY114" s="403"/>
      <c r="IZ114" s="403"/>
      <c r="JA114" s="403"/>
      <c r="JB114" s="403"/>
      <c r="JC114" s="403"/>
      <c r="JD114" s="403"/>
      <c r="JE114" s="403"/>
      <c r="JF114" s="403"/>
      <c r="JG114" s="403"/>
      <c r="JH114" s="403"/>
      <c r="JI114" s="403"/>
      <c r="JJ114" s="403"/>
      <c r="JK114" s="403"/>
      <c r="JL114" s="403"/>
      <c r="JM114" s="403"/>
      <c r="JN114" s="403"/>
      <c r="JO114" s="403"/>
      <c r="JP114" s="403"/>
      <c r="JQ114" s="403"/>
      <c r="JR114" s="403"/>
      <c r="JS114" s="403"/>
      <c r="JT114" s="403"/>
      <c r="JU114" s="403"/>
      <c r="JV114" s="403"/>
      <c r="JW114" s="403"/>
      <c r="JX114" s="403"/>
      <c r="JY114" s="403"/>
      <c r="JZ114" s="403"/>
      <c r="KA114" s="403"/>
    </row>
    <row r="115" spans="1:287" s="361" customFormat="1" ht="71.25" hidden="1" customHeight="1">
      <c r="A115" s="1020">
        <v>44</v>
      </c>
      <c r="B115" s="1609"/>
      <c r="C115" s="1011" t="s">
        <v>843</v>
      </c>
      <c r="D115" s="755" t="s">
        <v>1278</v>
      </c>
      <c r="E115" s="861">
        <f t="shared" si="50"/>
        <v>2</v>
      </c>
      <c r="F115" s="858">
        <v>0</v>
      </c>
      <c r="G115" s="858">
        <v>0</v>
      </c>
      <c r="H115" s="858">
        <v>0</v>
      </c>
      <c r="I115" s="858">
        <v>0</v>
      </c>
      <c r="J115" s="858">
        <v>0</v>
      </c>
      <c r="K115" s="858">
        <v>0</v>
      </c>
      <c r="L115" s="861">
        <f t="shared" si="53"/>
        <v>1</v>
      </c>
      <c r="M115" s="858">
        <f t="shared" si="54"/>
        <v>1</v>
      </c>
      <c r="N115" s="861">
        <f t="shared" si="55"/>
        <v>0</v>
      </c>
      <c r="O115" s="861">
        <f t="shared" si="56"/>
        <v>0</v>
      </c>
      <c r="P115" s="861">
        <f t="shared" si="57"/>
        <v>0</v>
      </c>
      <c r="Q115" s="861">
        <f t="shared" si="73"/>
        <v>0</v>
      </c>
      <c r="R115" s="861">
        <f t="shared" si="74"/>
        <v>0</v>
      </c>
      <c r="S115" s="861">
        <f t="shared" si="75"/>
        <v>0</v>
      </c>
      <c r="T115" s="861"/>
      <c r="U115" s="861"/>
      <c r="V115" s="884"/>
      <c r="W115" s="884"/>
      <c r="X115" s="884"/>
      <c r="Y115" s="859"/>
      <c r="Z115" s="859"/>
      <c r="AA115" s="859"/>
      <c r="AB115" s="859"/>
      <c r="AC115" s="859"/>
      <c r="AD115" s="859"/>
      <c r="AE115" s="859"/>
      <c r="AF115" s="859"/>
      <c r="AG115" s="859"/>
      <c r="AH115" s="859"/>
      <c r="AI115" s="859"/>
      <c r="AJ115" s="859"/>
      <c r="AK115" s="859"/>
      <c r="AL115" s="859"/>
      <c r="AM115" s="859"/>
      <c r="AN115" s="859"/>
      <c r="AO115" s="859"/>
      <c r="AP115" s="859"/>
      <c r="AQ115" s="859"/>
      <c r="AR115" s="859"/>
      <c r="AS115" s="859"/>
      <c r="AT115" s="859"/>
      <c r="AU115" s="859"/>
      <c r="AV115" s="859"/>
      <c r="AW115" s="859"/>
      <c r="AX115" s="859"/>
      <c r="AY115" s="859"/>
      <c r="AZ115" s="859"/>
      <c r="BA115" s="859"/>
      <c r="BB115" s="859"/>
      <c r="BC115" s="859"/>
      <c r="BD115" s="859"/>
      <c r="BE115" s="859"/>
      <c r="BF115" s="859"/>
      <c r="BG115" s="859"/>
      <c r="BH115" s="859"/>
      <c r="BI115" s="859"/>
      <c r="BJ115" s="859"/>
      <c r="BK115" s="859"/>
      <c r="BL115" s="859"/>
      <c r="BM115" s="859"/>
      <c r="BN115" s="859"/>
      <c r="BO115" s="859"/>
      <c r="BP115" s="859"/>
      <c r="BQ115" s="859"/>
      <c r="BR115" s="859"/>
      <c r="BS115" s="859"/>
      <c r="BT115" s="859"/>
      <c r="BU115" s="859"/>
      <c r="BV115" s="859"/>
      <c r="BW115" s="859"/>
      <c r="BX115" s="859"/>
      <c r="BY115" s="859"/>
      <c r="BZ115" s="859"/>
      <c r="CA115" s="859"/>
      <c r="CB115" s="859"/>
      <c r="CC115" s="859"/>
      <c r="CD115" s="859"/>
      <c r="CE115" s="859"/>
      <c r="CF115" s="859"/>
      <c r="CG115" s="859">
        <v>1</v>
      </c>
      <c r="CH115" s="859"/>
      <c r="CI115" s="859"/>
      <c r="CJ115" s="859"/>
      <c r="CK115" s="859"/>
      <c r="CL115" s="859"/>
      <c r="CM115" s="859"/>
      <c r="CN115" s="859"/>
      <c r="CO115" s="859"/>
      <c r="CP115" s="859"/>
      <c r="CQ115" s="859"/>
      <c r="CR115" s="859"/>
      <c r="CS115" s="859"/>
      <c r="CT115" s="859"/>
      <c r="CU115" s="859"/>
      <c r="CV115" s="859"/>
      <c r="CW115" s="859"/>
      <c r="CX115" s="859"/>
      <c r="CY115" s="859"/>
      <c r="CZ115" s="859"/>
      <c r="DA115" s="859"/>
      <c r="DB115" s="859"/>
      <c r="DC115" s="859"/>
      <c r="DD115" s="859"/>
      <c r="DE115" s="859"/>
      <c r="DF115" s="859"/>
      <c r="DG115" s="859"/>
      <c r="DH115" s="859"/>
      <c r="DI115" s="859"/>
      <c r="DJ115" s="859"/>
      <c r="DK115" s="859">
        <v>1</v>
      </c>
      <c r="DL115" s="859"/>
      <c r="DM115" s="859"/>
      <c r="DN115" s="859"/>
      <c r="DO115" s="859"/>
      <c r="DP115" s="859"/>
      <c r="DQ115" s="859"/>
      <c r="DR115" s="859"/>
      <c r="DS115" s="859"/>
      <c r="DT115" s="859"/>
      <c r="DU115" s="859"/>
      <c r="DV115" s="859"/>
      <c r="DW115" s="859"/>
      <c r="DX115" s="859"/>
      <c r="DY115" s="859"/>
      <c r="DZ115" s="859"/>
      <c r="EA115" s="859"/>
      <c r="EB115" s="859"/>
      <c r="EC115" s="859"/>
      <c r="ED115" s="859"/>
      <c r="EE115" s="859"/>
      <c r="EF115" s="859"/>
      <c r="EG115" s="859"/>
      <c r="EH115" s="859"/>
      <c r="EI115" s="859"/>
      <c r="EJ115" s="859"/>
      <c r="EK115" s="859"/>
      <c r="EL115" s="859"/>
      <c r="EM115" s="859"/>
      <c r="EN115" s="859"/>
      <c r="EO115" s="859"/>
      <c r="EP115" s="859"/>
      <c r="EQ115" s="859"/>
      <c r="ER115" s="859"/>
      <c r="ES115" s="859"/>
      <c r="ET115" s="859"/>
      <c r="EU115" s="859"/>
      <c r="EV115" s="859"/>
      <c r="EW115" s="859"/>
      <c r="EX115" s="859"/>
      <c r="EY115" s="859"/>
      <c r="EZ115" s="859"/>
      <c r="FA115" s="859"/>
      <c r="FB115" s="859"/>
      <c r="FC115" s="859"/>
      <c r="FD115" s="859"/>
      <c r="FE115" s="859"/>
      <c r="FF115" s="859"/>
      <c r="FG115" s="859"/>
      <c r="FH115" s="859"/>
      <c r="FI115" s="859"/>
      <c r="FJ115" s="859"/>
      <c r="FK115" s="859"/>
      <c r="FL115" s="859"/>
      <c r="FM115" s="859"/>
      <c r="FN115" s="859"/>
      <c r="FO115" s="859"/>
      <c r="FP115" s="859"/>
      <c r="FQ115" s="859"/>
      <c r="FR115" s="859"/>
      <c r="FS115" s="859"/>
      <c r="FT115" s="859"/>
      <c r="FU115" s="859"/>
      <c r="FV115" s="859"/>
      <c r="FW115" s="859"/>
      <c r="FX115" s="859"/>
      <c r="FY115" s="859"/>
      <c r="FZ115" s="859"/>
      <c r="GA115" s="859"/>
      <c r="GB115" s="859"/>
      <c r="GC115" s="859"/>
      <c r="GD115" s="859"/>
      <c r="GE115" s="859"/>
      <c r="GF115" s="859"/>
      <c r="GG115" s="859"/>
      <c r="GH115" s="859"/>
      <c r="GI115" s="859"/>
      <c r="GJ115" s="859"/>
      <c r="GK115" s="859"/>
      <c r="GL115" s="859"/>
      <c r="GM115" s="859"/>
      <c r="GN115" s="859"/>
      <c r="GO115" s="859"/>
      <c r="GP115" s="859"/>
      <c r="GQ115" s="859"/>
      <c r="GR115" s="884"/>
      <c r="GS115" s="884"/>
      <c r="GT115" s="884"/>
      <c r="GU115" s="884"/>
      <c r="GV115" s="884"/>
      <c r="GW115" s="921" t="s">
        <v>1279</v>
      </c>
      <c r="GX115" s="921" t="s">
        <v>1280</v>
      </c>
      <c r="GY115" s="755"/>
      <c r="GZ115" s="987"/>
      <c r="HA115" s="987"/>
      <c r="HB115" s="864" t="s">
        <v>1281</v>
      </c>
      <c r="HC115" s="403"/>
      <c r="HD115" s="403"/>
      <c r="HE115" s="403"/>
      <c r="HF115" s="403"/>
      <c r="HG115" s="403"/>
      <c r="HH115" s="403"/>
      <c r="HI115" s="403"/>
      <c r="HJ115" s="403"/>
      <c r="HK115" s="403"/>
      <c r="HL115" s="403"/>
      <c r="HM115" s="403"/>
      <c r="HN115" s="403"/>
      <c r="HO115" s="403"/>
      <c r="HP115" s="403"/>
      <c r="HQ115" s="403"/>
      <c r="HR115" s="403"/>
      <c r="HS115" s="403"/>
      <c r="HT115" s="403"/>
      <c r="HU115" s="403"/>
      <c r="HV115" s="403"/>
      <c r="HW115" s="403"/>
      <c r="HX115" s="403"/>
      <c r="HY115" s="403"/>
      <c r="HZ115" s="403"/>
      <c r="IA115" s="403"/>
      <c r="IB115" s="403"/>
      <c r="IC115" s="403"/>
      <c r="ID115" s="403"/>
      <c r="IE115" s="403"/>
      <c r="IF115" s="403"/>
      <c r="IG115" s="403"/>
      <c r="IH115" s="403"/>
      <c r="II115" s="403"/>
      <c r="IJ115" s="403"/>
      <c r="IK115" s="403"/>
      <c r="IL115" s="403"/>
      <c r="IM115" s="403"/>
      <c r="IN115" s="403"/>
      <c r="IO115" s="403"/>
      <c r="IP115" s="403"/>
      <c r="IQ115" s="403"/>
      <c r="IR115" s="403"/>
      <c r="IS115" s="403"/>
      <c r="IT115" s="403"/>
      <c r="IU115" s="403"/>
      <c r="IV115" s="403"/>
      <c r="IW115" s="403"/>
      <c r="IX115" s="403"/>
      <c r="IY115" s="403"/>
      <c r="IZ115" s="403"/>
      <c r="JA115" s="403"/>
      <c r="JB115" s="403"/>
      <c r="JC115" s="403"/>
      <c r="JD115" s="403"/>
      <c r="JE115" s="403"/>
      <c r="JF115" s="403"/>
      <c r="JG115" s="403"/>
      <c r="JH115" s="403"/>
      <c r="JI115" s="403"/>
      <c r="JJ115" s="403"/>
      <c r="JK115" s="403"/>
      <c r="JL115" s="403"/>
      <c r="JM115" s="403"/>
      <c r="JN115" s="403"/>
      <c r="JO115" s="403"/>
      <c r="JP115" s="403"/>
      <c r="JQ115" s="403"/>
      <c r="JR115" s="403"/>
      <c r="JS115" s="403"/>
      <c r="JT115" s="403"/>
      <c r="JU115" s="403"/>
      <c r="JV115" s="403"/>
      <c r="JW115" s="403"/>
      <c r="JX115" s="403"/>
      <c r="JY115" s="403"/>
      <c r="JZ115" s="403"/>
      <c r="KA115" s="403"/>
    </row>
    <row r="116" spans="1:287" s="360" customFormat="1" ht="95.25" hidden="1" customHeight="1">
      <c r="A116" s="217">
        <v>45</v>
      </c>
      <c r="B116" s="1599"/>
      <c r="C116" s="754" t="s">
        <v>843</v>
      </c>
      <c r="D116" s="755" t="s">
        <v>1390</v>
      </c>
      <c r="E116" s="861">
        <f t="shared" ref="E116:E154" si="76">SUM(L116:P116)</f>
        <v>5</v>
      </c>
      <c r="F116" s="858">
        <v>0</v>
      </c>
      <c r="G116" s="858">
        <v>0</v>
      </c>
      <c r="H116" s="858">
        <v>0</v>
      </c>
      <c r="I116" s="858">
        <v>0</v>
      </c>
      <c r="J116" s="858">
        <f t="shared" si="51"/>
        <v>1</v>
      </c>
      <c r="K116" s="858">
        <f t="shared" si="52"/>
        <v>0</v>
      </c>
      <c r="L116" s="858">
        <f t="shared" si="53"/>
        <v>0</v>
      </c>
      <c r="M116" s="858">
        <f t="shared" si="54"/>
        <v>0</v>
      </c>
      <c r="N116" s="861">
        <f t="shared" si="55"/>
        <v>4</v>
      </c>
      <c r="O116" s="861">
        <f t="shared" ref="O116:O154" si="77">SUM(EX116:GA116)</f>
        <v>1</v>
      </c>
      <c r="P116" s="861">
        <f t="shared" ref="P116:P154" si="78">SUM(GB116:GQ116)</f>
        <v>0</v>
      </c>
      <c r="Q116" s="861">
        <f t="shared" si="73"/>
        <v>0</v>
      </c>
      <c r="R116" s="861">
        <f t="shared" si="74"/>
        <v>0</v>
      </c>
      <c r="S116" s="861">
        <f t="shared" si="75"/>
        <v>0</v>
      </c>
      <c r="T116" s="861"/>
      <c r="U116" s="861"/>
      <c r="V116" s="331"/>
      <c r="W116" s="331"/>
      <c r="X116" s="331"/>
      <c r="Y116" s="738"/>
      <c r="Z116" s="738">
        <v>1</v>
      </c>
      <c r="AA116" s="738"/>
      <c r="AB116" s="738"/>
      <c r="AC116" s="738"/>
      <c r="AD116" s="738"/>
      <c r="AE116" s="738"/>
      <c r="AF116" s="738"/>
      <c r="AG116" s="738"/>
      <c r="AH116" s="738"/>
      <c r="AI116" s="738"/>
      <c r="AJ116" s="738"/>
      <c r="AK116" s="738"/>
      <c r="AL116" s="738"/>
      <c r="AM116" s="738"/>
      <c r="AN116" s="738"/>
      <c r="AO116" s="738"/>
      <c r="AP116" s="738"/>
      <c r="AQ116" s="738"/>
      <c r="AR116" s="738"/>
      <c r="AS116" s="738"/>
      <c r="AT116" s="738"/>
      <c r="AU116" s="738"/>
      <c r="AV116" s="738"/>
      <c r="AW116" s="738"/>
      <c r="AX116" s="738"/>
      <c r="AY116" s="738"/>
      <c r="AZ116" s="738"/>
      <c r="BA116" s="738"/>
      <c r="BB116" s="738"/>
      <c r="BC116" s="738"/>
      <c r="BD116" s="738"/>
      <c r="BE116" s="738"/>
      <c r="BF116" s="738"/>
      <c r="BG116" s="738"/>
      <c r="BH116" s="738"/>
      <c r="BI116" s="738"/>
      <c r="BJ116" s="738"/>
      <c r="BK116" s="738"/>
      <c r="BL116" s="738"/>
      <c r="BM116" s="738"/>
      <c r="BN116" s="271"/>
      <c r="BO116" s="271"/>
      <c r="BP116" s="271"/>
      <c r="BQ116" s="271"/>
      <c r="BR116" s="738"/>
      <c r="BS116" s="738"/>
      <c r="BT116" s="738"/>
      <c r="BU116" s="738"/>
      <c r="BV116" s="738"/>
      <c r="BW116" s="738"/>
      <c r="BX116" s="738"/>
      <c r="BY116" s="738"/>
      <c r="BZ116" s="738"/>
      <c r="CA116" s="738"/>
      <c r="CB116" s="738"/>
      <c r="CC116" s="738"/>
      <c r="CD116" s="738"/>
      <c r="CE116" s="738"/>
      <c r="CF116" s="738"/>
      <c r="CG116" s="738"/>
      <c r="CH116" s="738"/>
      <c r="CI116" s="738"/>
      <c r="CJ116" s="738"/>
      <c r="CK116" s="738"/>
      <c r="CL116" s="738"/>
      <c r="CM116" s="738"/>
      <c r="CN116" s="738"/>
      <c r="CO116" s="738"/>
      <c r="CP116" s="738"/>
      <c r="CQ116" s="738"/>
      <c r="CR116" s="738"/>
      <c r="CS116" s="738"/>
      <c r="CT116" s="738"/>
      <c r="CU116" s="738"/>
      <c r="CV116" s="738"/>
      <c r="CW116" s="738"/>
      <c r="CX116" s="738"/>
      <c r="CY116" s="738"/>
      <c r="CZ116" s="738"/>
      <c r="DA116" s="738"/>
      <c r="DB116" s="738"/>
      <c r="DC116" s="738"/>
      <c r="DD116" s="738"/>
      <c r="DE116" s="738"/>
      <c r="DF116" s="738"/>
      <c r="DG116" s="738"/>
      <c r="DH116" s="738"/>
      <c r="DI116" s="738"/>
      <c r="DJ116" s="738"/>
      <c r="DK116" s="738"/>
      <c r="DL116" s="738"/>
      <c r="DM116" s="738"/>
      <c r="DN116" s="738"/>
      <c r="DO116" s="738"/>
      <c r="DP116" s="738"/>
      <c r="DQ116" s="738"/>
      <c r="DR116" s="738"/>
      <c r="DS116" s="738">
        <v>1</v>
      </c>
      <c r="DT116" s="738"/>
      <c r="DU116" s="738"/>
      <c r="DV116" s="738"/>
      <c r="DW116" s="738"/>
      <c r="DX116" s="738">
        <v>2</v>
      </c>
      <c r="DY116" s="738"/>
      <c r="DZ116" s="738"/>
      <c r="EA116" s="738"/>
      <c r="EB116" s="738"/>
      <c r="EC116" s="738"/>
      <c r="ED116" s="738"/>
      <c r="EE116" s="738"/>
      <c r="EF116" s="738"/>
      <c r="EG116" s="738">
        <v>1</v>
      </c>
      <c r="EH116" s="738"/>
      <c r="EI116" s="738"/>
      <c r="EJ116" s="738"/>
      <c r="EK116" s="738"/>
      <c r="EL116" s="738"/>
      <c r="EM116" s="738"/>
      <c r="EN116" s="738"/>
      <c r="EO116" s="738"/>
      <c r="EP116" s="738"/>
      <c r="EQ116" s="738"/>
      <c r="ER116" s="738"/>
      <c r="ES116" s="738"/>
      <c r="ET116" s="738"/>
      <c r="EU116" s="738"/>
      <c r="EV116" s="738"/>
      <c r="EW116" s="738"/>
      <c r="EX116" s="738"/>
      <c r="EY116" s="738"/>
      <c r="EZ116" s="738"/>
      <c r="FA116" s="738"/>
      <c r="FB116" s="738"/>
      <c r="FC116" s="738"/>
      <c r="FD116" s="738">
        <v>1</v>
      </c>
      <c r="FE116" s="738"/>
      <c r="FF116" s="738"/>
      <c r="FG116" s="738"/>
      <c r="FH116" s="738"/>
      <c r="FI116" s="738"/>
      <c r="FJ116" s="738"/>
      <c r="FK116" s="738"/>
      <c r="FL116" s="738"/>
      <c r="FM116" s="738"/>
      <c r="FN116" s="738"/>
      <c r="FO116" s="738"/>
      <c r="FP116" s="738"/>
      <c r="FQ116" s="738"/>
      <c r="FR116" s="738"/>
      <c r="FS116" s="738"/>
      <c r="FT116" s="738"/>
      <c r="FU116" s="738"/>
      <c r="FV116" s="738"/>
      <c r="FW116" s="738"/>
      <c r="FX116" s="738"/>
      <c r="FY116" s="738"/>
      <c r="FZ116" s="738"/>
      <c r="GA116" s="738"/>
      <c r="GB116" s="738"/>
      <c r="GC116" s="738"/>
      <c r="GD116" s="738"/>
      <c r="GE116" s="738"/>
      <c r="GF116" s="738"/>
      <c r="GG116" s="738"/>
      <c r="GH116" s="738"/>
      <c r="GI116" s="738"/>
      <c r="GJ116" s="738"/>
      <c r="GK116" s="738"/>
      <c r="GL116" s="738"/>
      <c r="GM116" s="738"/>
      <c r="GN116" s="738"/>
      <c r="GO116" s="738"/>
      <c r="GP116" s="738"/>
      <c r="GQ116" s="738"/>
      <c r="GR116" s="331"/>
      <c r="GS116" s="331"/>
      <c r="GT116" s="331"/>
      <c r="GU116" s="331"/>
      <c r="GV116" s="331"/>
      <c r="GW116" s="863" t="s">
        <v>1394</v>
      </c>
      <c r="GX116" s="1198"/>
      <c r="GY116" s="841"/>
      <c r="GZ116" s="1017"/>
      <c r="HA116" s="878" t="s">
        <v>872</v>
      </c>
      <c r="HB116" s="864" t="s">
        <v>1358</v>
      </c>
      <c r="HC116" s="178"/>
      <c r="HD116" s="178"/>
      <c r="HE116" s="178"/>
      <c r="HF116" s="178"/>
      <c r="HG116" s="178"/>
      <c r="HH116" s="178"/>
      <c r="HI116" s="178"/>
      <c r="HJ116" s="178"/>
      <c r="HK116" s="178"/>
      <c r="HL116" s="178"/>
      <c r="HM116" s="178"/>
      <c r="HN116" s="178"/>
      <c r="HO116" s="178"/>
      <c r="HP116" s="178"/>
      <c r="HQ116" s="178"/>
      <c r="HR116" s="178"/>
      <c r="HS116" s="178"/>
      <c r="HT116" s="178"/>
      <c r="HU116" s="178"/>
      <c r="HV116" s="178"/>
      <c r="HW116" s="178"/>
      <c r="HX116" s="178"/>
      <c r="HY116" s="178"/>
      <c r="HZ116" s="178"/>
      <c r="IA116" s="178"/>
      <c r="IB116" s="178"/>
      <c r="IC116" s="178"/>
      <c r="ID116" s="178"/>
      <c r="IE116" s="178"/>
      <c r="IF116" s="178"/>
      <c r="IG116" s="178"/>
      <c r="IH116" s="178"/>
      <c r="II116" s="178"/>
      <c r="IJ116" s="178"/>
      <c r="IK116" s="178"/>
      <c r="IL116" s="178"/>
      <c r="IM116" s="178"/>
      <c r="IN116" s="178"/>
      <c r="IO116" s="178"/>
      <c r="IP116" s="178"/>
      <c r="IQ116" s="178"/>
      <c r="IR116" s="178"/>
      <c r="IS116" s="178"/>
      <c r="IT116" s="178"/>
      <c r="IU116" s="178"/>
      <c r="IV116" s="178"/>
      <c r="IW116" s="178"/>
      <c r="IX116" s="178"/>
      <c r="IY116" s="178"/>
      <c r="IZ116" s="178"/>
      <c r="JA116" s="178"/>
      <c r="JB116" s="178"/>
      <c r="JC116" s="178"/>
      <c r="JD116" s="178"/>
      <c r="JE116" s="178"/>
      <c r="JF116" s="178"/>
      <c r="JG116" s="178"/>
      <c r="JH116" s="178"/>
      <c r="JI116" s="178"/>
      <c r="JJ116" s="178"/>
      <c r="JK116" s="178"/>
      <c r="JL116" s="178"/>
      <c r="JM116" s="178"/>
      <c r="JN116" s="178"/>
      <c r="JO116" s="178"/>
      <c r="JP116" s="178"/>
      <c r="JQ116" s="178"/>
      <c r="JR116" s="178"/>
      <c r="JS116" s="178"/>
      <c r="JT116" s="178"/>
      <c r="JU116" s="178"/>
      <c r="JV116" s="178"/>
      <c r="JW116" s="178"/>
      <c r="JX116" s="178"/>
      <c r="JY116" s="178"/>
      <c r="JZ116" s="178"/>
      <c r="KA116" s="178"/>
    </row>
    <row r="117" spans="1:287" s="360" customFormat="1" ht="95.25" hidden="1" customHeight="1">
      <c r="A117" s="754">
        <v>46</v>
      </c>
      <c r="B117" s="1600" t="s">
        <v>1274</v>
      </c>
      <c r="C117" s="754" t="s">
        <v>1304</v>
      </c>
      <c r="D117" s="755" t="s">
        <v>1305</v>
      </c>
      <c r="E117" s="861">
        <f t="shared" si="76"/>
        <v>8</v>
      </c>
      <c r="F117" s="858"/>
      <c r="G117" s="858"/>
      <c r="H117" s="858"/>
      <c r="I117" s="858"/>
      <c r="J117" s="858">
        <f t="shared" si="51"/>
        <v>0</v>
      </c>
      <c r="K117" s="858">
        <f t="shared" ref="K117" si="79">SUM(AG117:BK117)</f>
        <v>0</v>
      </c>
      <c r="L117" s="858">
        <f t="shared" ref="L117" si="80">SUM(BL117:CP117)</f>
        <v>0</v>
      </c>
      <c r="M117" s="858">
        <f t="shared" si="54"/>
        <v>8</v>
      </c>
      <c r="N117" s="861">
        <f t="shared" si="55"/>
        <v>0</v>
      </c>
      <c r="O117" s="861">
        <f t="shared" si="77"/>
        <v>0</v>
      </c>
      <c r="P117" s="861">
        <f t="shared" si="78"/>
        <v>0</v>
      </c>
      <c r="Q117" s="861">
        <f t="shared" si="73"/>
        <v>0</v>
      </c>
      <c r="R117" s="861">
        <f t="shared" si="74"/>
        <v>0</v>
      </c>
      <c r="S117" s="861">
        <f t="shared" si="75"/>
        <v>0</v>
      </c>
      <c r="T117" s="861"/>
      <c r="U117" s="861"/>
      <c r="V117" s="769"/>
      <c r="W117" s="769"/>
      <c r="X117" s="769"/>
      <c r="Y117" s="769"/>
      <c r="Z117" s="769"/>
      <c r="AA117" s="769"/>
      <c r="AB117" s="769"/>
      <c r="AC117" s="769"/>
      <c r="AD117" s="769"/>
      <c r="AE117" s="769"/>
      <c r="AF117" s="738"/>
      <c r="AG117" s="738"/>
      <c r="AH117" s="769"/>
      <c r="AI117" s="769"/>
      <c r="AJ117" s="769"/>
      <c r="AK117" s="769"/>
      <c r="AL117" s="769"/>
      <c r="AM117" s="769"/>
      <c r="AN117" s="769"/>
      <c r="AO117" s="769"/>
      <c r="AP117" s="769"/>
      <c r="AQ117" s="769"/>
      <c r="AR117" s="769"/>
      <c r="AS117" s="769"/>
      <c r="AT117" s="769"/>
      <c r="AU117" s="769"/>
      <c r="AV117" s="769"/>
      <c r="AW117" s="769"/>
      <c r="AX117" s="769"/>
      <c r="AY117" s="769"/>
      <c r="AZ117" s="769"/>
      <c r="BA117" s="769"/>
      <c r="BB117" s="769"/>
      <c r="BC117" s="769"/>
      <c r="BD117" s="769"/>
      <c r="BE117" s="769"/>
      <c r="BF117" s="769"/>
      <c r="BG117" s="769"/>
      <c r="BH117" s="769"/>
      <c r="BI117" s="769"/>
      <c r="BJ117" s="769"/>
      <c r="BK117" s="769"/>
      <c r="BL117" s="769"/>
      <c r="BM117" s="769"/>
      <c r="BN117" s="769"/>
      <c r="BO117" s="769"/>
      <c r="BP117" s="769"/>
      <c r="BQ117" s="769"/>
      <c r="BR117" s="769"/>
      <c r="BS117" s="769"/>
      <c r="BT117" s="769"/>
      <c r="BU117" s="769"/>
      <c r="BV117" s="769"/>
      <c r="BW117" s="769"/>
      <c r="BX117" s="769"/>
      <c r="BY117" s="769"/>
      <c r="BZ117" s="769"/>
      <c r="CA117" s="769"/>
      <c r="CB117" s="769"/>
      <c r="CC117" s="738"/>
      <c r="CD117" s="738"/>
      <c r="CE117" s="738"/>
      <c r="CF117" s="738"/>
      <c r="CG117" s="738"/>
      <c r="CH117" s="738"/>
      <c r="CI117" s="738"/>
      <c r="CJ117" s="738"/>
      <c r="CK117" s="738"/>
      <c r="CL117" s="738"/>
      <c r="CM117" s="738"/>
      <c r="CN117" s="738"/>
      <c r="CO117" s="738"/>
      <c r="CP117" s="738"/>
      <c r="CQ117" s="738"/>
      <c r="CR117" s="738"/>
      <c r="CS117" s="738"/>
      <c r="CT117" s="738"/>
      <c r="CU117" s="738"/>
      <c r="CV117" s="738"/>
      <c r="CW117" s="738"/>
      <c r="CX117" s="738"/>
      <c r="CY117" s="738"/>
      <c r="CZ117" s="738"/>
      <c r="DA117" s="738"/>
      <c r="DB117" s="738"/>
      <c r="DC117" s="738"/>
      <c r="DD117" s="738"/>
      <c r="DE117" s="738"/>
      <c r="DF117" s="738"/>
      <c r="DG117" s="738"/>
      <c r="DH117" s="738"/>
      <c r="DI117" s="738"/>
      <c r="DJ117" s="738"/>
      <c r="DK117" s="1139">
        <v>8</v>
      </c>
      <c r="DL117" s="738"/>
      <c r="DM117" s="738"/>
      <c r="DN117" s="1139"/>
      <c r="DO117" s="1139"/>
      <c r="DP117" s="1139"/>
      <c r="DQ117" s="1139"/>
      <c r="DR117" s="1139"/>
      <c r="DS117" s="1139"/>
      <c r="DT117" s="1139"/>
      <c r="DU117" s="1139"/>
      <c r="DV117" s="1139"/>
      <c r="DW117" s="1139"/>
      <c r="DX117" s="1139"/>
      <c r="DY117" s="1139"/>
      <c r="DZ117" s="1139"/>
      <c r="EA117" s="1139"/>
      <c r="EB117" s="1139"/>
      <c r="EC117" s="1139"/>
      <c r="ED117" s="1139"/>
      <c r="EE117" s="1139"/>
      <c r="EF117" s="1139"/>
      <c r="EG117" s="1139"/>
      <c r="EH117" s="1139"/>
      <c r="EI117" s="1139"/>
      <c r="EJ117" s="1139"/>
      <c r="EK117" s="1139"/>
      <c r="EL117" s="1139"/>
      <c r="EM117" s="1139"/>
      <c r="EN117" s="1139"/>
      <c r="EO117" s="1139"/>
      <c r="EP117" s="1139"/>
      <c r="EQ117" s="1139"/>
      <c r="ER117" s="1139"/>
      <c r="ES117" s="1139"/>
      <c r="ET117" s="1139"/>
      <c r="EU117" s="1139"/>
      <c r="EV117" s="1139"/>
      <c r="EW117" s="1139"/>
      <c r="EX117" s="1139"/>
      <c r="EY117" s="1139"/>
      <c r="EZ117" s="1139"/>
      <c r="FA117" s="1139"/>
      <c r="FB117" s="1139"/>
      <c r="FC117" s="1139"/>
      <c r="FD117" s="1139"/>
      <c r="FE117" s="1139"/>
      <c r="FF117" s="1139"/>
      <c r="FG117" s="1139"/>
      <c r="FH117" s="1139"/>
      <c r="FI117" s="1139"/>
      <c r="FJ117" s="1139"/>
      <c r="FK117" s="1139"/>
      <c r="FL117" s="1139"/>
      <c r="FM117" s="1139"/>
      <c r="FN117" s="1139"/>
      <c r="FO117" s="1139"/>
      <c r="FP117" s="1139"/>
      <c r="FQ117" s="1139"/>
      <c r="FR117" s="1139"/>
      <c r="FS117" s="1139"/>
      <c r="FT117" s="1139"/>
      <c r="FU117" s="1139"/>
      <c r="FV117" s="1139"/>
      <c r="FW117" s="1139"/>
      <c r="FX117" s="1139"/>
      <c r="FY117" s="1139"/>
      <c r="FZ117" s="1139"/>
      <c r="GA117" s="1139"/>
      <c r="GB117" s="1139"/>
      <c r="GC117" s="1139"/>
      <c r="GD117" s="1139"/>
      <c r="GE117" s="1139"/>
      <c r="GF117" s="1139"/>
      <c r="GG117" s="1139"/>
      <c r="GH117" s="1139"/>
      <c r="GI117" s="1139"/>
      <c r="GJ117" s="1139"/>
      <c r="GK117" s="1139"/>
      <c r="GL117" s="1139"/>
      <c r="GM117" s="1139"/>
      <c r="GN117" s="1139"/>
      <c r="GO117" s="1139"/>
      <c r="GP117" s="1139"/>
      <c r="GQ117" s="1139"/>
      <c r="GR117" s="769"/>
      <c r="GS117" s="769"/>
      <c r="GT117" s="769"/>
      <c r="GU117" s="769"/>
      <c r="GV117" s="769"/>
      <c r="GW117" s="863" t="s">
        <v>1306</v>
      </c>
      <c r="GX117" s="1016"/>
      <c r="GY117" s="841"/>
      <c r="GZ117" s="1017"/>
      <c r="HA117" s="1136"/>
      <c r="HB117" s="1137"/>
      <c r="HC117" s="178"/>
      <c r="HD117" s="178"/>
      <c r="HE117" s="178"/>
      <c r="HF117" s="178"/>
      <c r="HG117" s="178"/>
      <c r="HH117" s="178"/>
      <c r="HI117" s="178"/>
      <c r="HJ117" s="178"/>
      <c r="HK117" s="178"/>
      <c r="HL117" s="178"/>
      <c r="HM117" s="178"/>
      <c r="HN117" s="178"/>
      <c r="HO117" s="178"/>
      <c r="HP117" s="178"/>
      <c r="HQ117" s="178"/>
      <c r="HR117" s="178"/>
      <c r="HS117" s="178"/>
      <c r="HT117" s="178"/>
      <c r="HU117" s="178"/>
      <c r="HV117" s="178"/>
      <c r="HW117" s="178"/>
      <c r="HX117" s="178"/>
      <c r="HY117" s="178"/>
      <c r="HZ117" s="178"/>
      <c r="IA117" s="178"/>
      <c r="IB117" s="178"/>
      <c r="IC117" s="178"/>
      <c r="ID117" s="178"/>
      <c r="IE117" s="178"/>
      <c r="IF117" s="178"/>
      <c r="IG117" s="178"/>
      <c r="IH117" s="178"/>
      <c r="II117" s="178"/>
      <c r="IJ117" s="178"/>
      <c r="IK117" s="178"/>
      <c r="IL117" s="178"/>
      <c r="IM117" s="178"/>
      <c r="IN117" s="178"/>
      <c r="IO117" s="178"/>
      <c r="IP117" s="178"/>
      <c r="IQ117" s="178"/>
      <c r="IR117" s="178"/>
      <c r="IS117" s="178"/>
      <c r="IT117" s="178"/>
      <c r="IU117" s="178"/>
      <c r="IV117" s="178"/>
      <c r="IW117" s="178"/>
      <c r="IX117" s="178"/>
      <c r="IY117" s="178"/>
      <c r="IZ117" s="178"/>
      <c r="JA117" s="178"/>
      <c r="JB117" s="178"/>
      <c r="JC117" s="178"/>
      <c r="JD117" s="178"/>
      <c r="JE117" s="178"/>
      <c r="JF117" s="178"/>
      <c r="JG117" s="178"/>
      <c r="JH117" s="178"/>
      <c r="JI117" s="178"/>
      <c r="JJ117" s="178"/>
      <c r="JK117" s="178"/>
      <c r="JL117" s="178"/>
      <c r="JM117" s="178"/>
      <c r="JN117" s="178"/>
      <c r="JO117" s="178"/>
      <c r="JP117" s="178"/>
      <c r="JQ117" s="178"/>
      <c r="JR117" s="178"/>
      <c r="JS117" s="178"/>
      <c r="JT117" s="178"/>
      <c r="JU117" s="178"/>
      <c r="JV117" s="178"/>
      <c r="JW117" s="178"/>
      <c r="JX117" s="178"/>
      <c r="JY117" s="178"/>
      <c r="JZ117" s="178"/>
      <c r="KA117" s="178"/>
    </row>
    <row r="118" spans="1:287" s="360" customFormat="1" ht="95.25" hidden="1" customHeight="1">
      <c r="A118" s="754">
        <v>47</v>
      </c>
      <c r="B118" s="1601"/>
      <c r="C118" s="1011" t="s">
        <v>843</v>
      </c>
      <c r="D118" s="755" t="s">
        <v>1275</v>
      </c>
      <c r="E118" s="861">
        <f t="shared" si="76"/>
        <v>6</v>
      </c>
      <c r="F118" s="858">
        <v>0</v>
      </c>
      <c r="G118" s="858">
        <v>0</v>
      </c>
      <c r="H118" s="858">
        <v>0</v>
      </c>
      <c r="I118" s="858">
        <v>0</v>
      </c>
      <c r="J118" s="858">
        <v>0</v>
      </c>
      <c r="K118" s="858">
        <v>0</v>
      </c>
      <c r="L118" s="858">
        <f t="shared" si="53"/>
        <v>1</v>
      </c>
      <c r="M118" s="858">
        <f t="shared" si="54"/>
        <v>1</v>
      </c>
      <c r="N118" s="861">
        <f t="shared" si="55"/>
        <v>4</v>
      </c>
      <c r="O118" s="861">
        <f t="shared" si="77"/>
        <v>0</v>
      </c>
      <c r="P118" s="861">
        <f t="shared" si="78"/>
        <v>0</v>
      </c>
      <c r="Q118" s="861">
        <f t="shared" si="73"/>
        <v>0</v>
      </c>
      <c r="R118" s="861">
        <f t="shared" si="74"/>
        <v>0</v>
      </c>
      <c r="S118" s="861">
        <f t="shared" si="75"/>
        <v>0</v>
      </c>
      <c r="T118" s="861"/>
      <c r="U118" s="861"/>
      <c r="V118" s="769"/>
      <c r="W118" s="769"/>
      <c r="X118" s="769"/>
      <c r="Y118" s="769"/>
      <c r="Z118" s="769"/>
      <c r="AA118" s="769"/>
      <c r="AB118" s="769"/>
      <c r="AC118" s="769"/>
      <c r="AD118" s="769"/>
      <c r="AE118" s="769"/>
      <c r="AF118" s="738"/>
      <c r="AG118" s="738"/>
      <c r="AH118" s="769"/>
      <c r="AI118" s="769"/>
      <c r="AJ118" s="769"/>
      <c r="AK118" s="769"/>
      <c r="AL118" s="769"/>
      <c r="AM118" s="769"/>
      <c r="AN118" s="769"/>
      <c r="AO118" s="769"/>
      <c r="AP118" s="769"/>
      <c r="AQ118" s="769"/>
      <c r="AR118" s="769"/>
      <c r="AS118" s="769"/>
      <c r="AT118" s="769"/>
      <c r="AU118" s="769"/>
      <c r="AV118" s="769"/>
      <c r="AW118" s="769"/>
      <c r="AX118" s="769"/>
      <c r="AY118" s="769"/>
      <c r="AZ118" s="769"/>
      <c r="BA118" s="769"/>
      <c r="BB118" s="769"/>
      <c r="BC118" s="769"/>
      <c r="BD118" s="769"/>
      <c r="BE118" s="769"/>
      <c r="BF118" s="769"/>
      <c r="BG118" s="769"/>
      <c r="BH118" s="769"/>
      <c r="BI118" s="769"/>
      <c r="BJ118" s="769"/>
      <c r="BK118" s="769"/>
      <c r="BL118" s="769"/>
      <c r="BM118" s="769"/>
      <c r="BN118" s="769"/>
      <c r="BO118" s="769"/>
      <c r="BP118" s="769"/>
      <c r="BQ118" s="769"/>
      <c r="BR118" s="769"/>
      <c r="BS118" s="769"/>
      <c r="BT118" s="769"/>
      <c r="BU118" s="769"/>
      <c r="BV118" s="769"/>
      <c r="BW118" s="769"/>
      <c r="BX118" s="769"/>
      <c r="BY118" s="769"/>
      <c r="BZ118" s="769"/>
      <c r="CA118" s="769"/>
      <c r="CB118" s="769"/>
      <c r="CC118" s="738"/>
      <c r="CD118" s="738"/>
      <c r="CE118" s="738"/>
      <c r="CF118" s="738">
        <v>1</v>
      </c>
      <c r="CG118" s="738"/>
      <c r="CH118" s="738"/>
      <c r="CI118" s="738"/>
      <c r="CJ118" s="738"/>
      <c r="CK118" s="738"/>
      <c r="CL118" s="738"/>
      <c r="CM118" s="738"/>
      <c r="CN118" s="738"/>
      <c r="CO118" s="738"/>
      <c r="CP118" s="738"/>
      <c r="CQ118" s="738"/>
      <c r="CR118" s="738"/>
      <c r="CS118" s="738"/>
      <c r="CT118" s="738"/>
      <c r="CU118" s="738"/>
      <c r="CV118" s="738"/>
      <c r="CW118" s="738"/>
      <c r="CX118" s="738"/>
      <c r="CY118" s="738"/>
      <c r="CZ118" s="738"/>
      <c r="DA118" s="738"/>
      <c r="DB118" s="738"/>
      <c r="DC118" s="738"/>
      <c r="DD118" s="738"/>
      <c r="DE118" s="958"/>
      <c r="DF118" s="958"/>
      <c r="DG118" s="738"/>
      <c r="DH118" s="738"/>
      <c r="DI118" s="738"/>
      <c r="DJ118" s="738"/>
      <c r="DK118" s="738"/>
      <c r="DL118" s="738"/>
      <c r="DM118" s="738"/>
      <c r="DN118" s="738"/>
      <c r="DO118" s="738">
        <v>1</v>
      </c>
      <c r="DP118" s="738"/>
      <c r="DQ118" s="738"/>
      <c r="DR118" s="738"/>
      <c r="DS118" s="738"/>
      <c r="DT118" s="738"/>
      <c r="DU118" s="738"/>
      <c r="DV118" s="738"/>
      <c r="DW118" s="738"/>
      <c r="DX118" s="738"/>
      <c r="DY118" s="738"/>
      <c r="DZ118" s="738"/>
      <c r="EA118" s="738"/>
      <c r="EB118" s="738">
        <v>2</v>
      </c>
      <c r="EC118" s="738">
        <v>2</v>
      </c>
      <c r="ED118" s="738"/>
      <c r="EE118" s="738"/>
      <c r="EF118" s="738"/>
      <c r="EG118" s="738"/>
      <c r="EH118" s="738"/>
      <c r="EI118" s="738"/>
      <c r="EJ118" s="738"/>
      <c r="EK118" s="738"/>
      <c r="EL118" s="738"/>
      <c r="EM118" s="738"/>
      <c r="EN118" s="738"/>
      <c r="EO118" s="738"/>
      <c r="EP118" s="738"/>
      <c r="EQ118" s="738"/>
      <c r="ER118" s="738"/>
      <c r="ES118" s="738"/>
      <c r="ET118" s="738"/>
      <c r="EU118" s="738"/>
      <c r="EV118" s="738"/>
      <c r="EW118" s="738"/>
      <c r="EX118" s="738"/>
      <c r="EY118" s="738"/>
      <c r="EZ118" s="738"/>
      <c r="FA118" s="738"/>
      <c r="FB118" s="738"/>
      <c r="FC118" s="738"/>
      <c r="FD118" s="738"/>
      <c r="FE118" s="738"/>
      <c r="FF118" s="738"/>
      <c r="FG118" s="738"/>
      <c r="FH118" s="738"/>
      <c r="FI118" s="738"/>
      <c r="FJ118" s="738"/>
      <c r="FK118" s="738"/>
      <c r="FL118" s="738"/>
      <c r="FM118" s="738"/>
      <c r="FN118" s="738"/>
      <c r="FO118" s="738"/>
      <c r="FP118" s="738"/>
      <c r="FQ118" s="738"/>
      <c r="FR118" s="738"/>
      <c r="FS118" s="738"/>
      <c r="FT118" s="738"/>
      <c r="FU118" s="738"/>
      <c r="FV118" s="738"/>
      <c r="FW118" s="738"/>
      <c r="FX118" s="738"/>
      <c r="FY118" s="738"/>
      <c r="FZ118" s="738"/>
      <c r="GA118" s="738"/>
      <c r="GB118" s="738"/>
      <c r="GC118" s="738"/>
      <c r="GD118" s="738"/>
      <c r="GE118" s="738"/>
      <c r="GF118" s="738"/>
      <c r="GG118" s="738"/>
      <c r="GH118" s="738"/>
      <c r="GI118" s="738"/>
      <c r="GJ118" s="738"/>
      <c r="GK118" s="738"/>
      <c r="GL118" s="738"/>
      <c r="GM118" s="738"/>
      <c r="GN118" s="738"/>
      <c r="GO118" s="738"/>
      <c r="GP118" s="738"/>
      <c r="GQ118" s="738"/>
      <c r="GR118" s="769"/>
      <c r="GS118" s="769"/>
      <c r="GT118" s="769"/>
      <c r="GU118" s="769"/>
      <c r="GV118" s="769"/>
      <c r="GW118" s="863" t="s">
        <v>1345</v>
      </c>
      <c r="GX118" s="1016" t="s">
        <v>1344</v>
      </c>
      <c r="GY118" s="863" t="s">
        <v>1346</v>
      </c>
      <c r="GZ118" s="1017"/>
      <c r="HA118" s="1203"/>
      <c r="HB118" s="864" t="s">
        <v>1347</v>
      </c>
      <c r="HC118" s="178"/>
      <c r="HD118" s="178"/>
      <c r="HE118" s="178"/>
      <c r="HF118" s="178"/>
      <c r="HG118" s="178"/>
      <c r="HH118" s="178"/>
      <c r="HI118" s="178"/>
      <c r="HJ118" s="178"/>
      <c r="HK118" s="178"/>
      <c r="HL118" s="178"/>
      <c r="HM118" s="178"/>
      <c r="HN118" s="178"/>
      <c r="HO118" s="178"/>
      <c r="HP118" s="178"/>
      <c r="HQ118" s="178"/>
      <c r="HR118" s="178"/>
      <c r="HS118" s="178"/>
      <c r="HT118" s="178"/>
      <c r="HU118" s="178"/>
      <c r="HV118" s="178"/>
      <c r="HW118" s="178"/>
      <c r="HX118" s="178"/>
      <c r="HY118" s="178"/>
      <c r="HZ118" s="178"/>
      <c r="IA118" s="178"/>
      <c r="IB118" s="178"/>
      <c r="IC118" s="178"/>
      <c r="ID118" s="178"/>
      <c r="IE118" s="178"/>
      <c r="IF118" s="178"/>
      <c r="IG118" s="178"/>
      <c r="IH118" s="178"/>
      <c r="II118" s="178"/>
      <c r="IJ118" s="178"/>
      <c r="IK118" s="178"/>
      <c r="IL118" s="178"/>
      <c r="IM118" s="178"/>
      <c r="IN118" s="178"/>
      <c r="IO118" s="178"/>
      <c r="IP118" s="178"/>
      <c r="IQ118" s="178"/>
      <c r="IR118" s="178"/>
      <c r="IS118" s="178"/>
      <c r="IT118" s="178"/>
      <c r="IU118" s="178"/>
      <c r="IV118" s="178"/>
      <c r="IW118" s="178"/>
      <c r="IX118" s="178"/>
      <c r="IY118" s="178"/>
      <c r="IZ118" s="178"/>
      <c r="JA118" s="178"/>
      <c r="JB118" s="178"/>
      <c r="JC118" s="178"/>
      <c r="JD118" s="178"/>
      <c r="JE118" s="178"/>
      <c r="JF118" s="178"/>
      <c r="JG118" s="178"/>
      <c r="JH118" s="178"/>
      <c r="JI118" s="178"/>
      <c r="JJ118" s="178"/>
      <c r="JK118" s="178"/>
      <c r="JL118" s="178"/>
      <c r="JM118" s="178"/>
      <c r="JN118" s="178"/>
      <c r="JO118" s="178"/>
      <c r="JP118" s="178"/>
      <c r="JQ118" s="178"/>
      <c r="JR118" s="178"/>
      <c r="JS118" s="178"/>
      <c r="JT118" s="178"/>
      <c r="JU118" s="178"/>
      <c r="JV118" s="178"/>
      <c r="JW118" s="178"/>
      <c r="JX118" s="178"/>
      <c r="JY118" s="178"/>
      <c r="JZ118" s="178"/>
      <c r="KA118" s="178"/>
    </row>
    <row r="119" spans="1:287" s="360" customFormat="1" ht="95.25" hidden="1" customHeight="1">
      <c r="A119" s="1316"/>
      <c r="B119" s="1601"/>
      <c r="C119" s="1011" t="s">
        <v>843</v>
      </c>
      <c r="D119" s="755" t="s">
        <v>1383</v>
      </c>
      <c r="E119" s="861">
        <f t="shared" si="76"/>
        <v>1</v>
      </c>
      <c r="F119" s="858"/>
      <c r="G119" s="858"/>
      <c r="H119" s="858"/>
      <c r="I119" s="858"/>
      <c r="J119" s="858">
        <v>0</v>
      </c>
      <c r="K119" s="858">
        <v>0</v>
      </c>
      <c r="L119" s="858">
        <v>0</v>
      </c>
      <c r="M119" s="858">
        <v>0</v>
      </c>
      <c r="N119" s="861">
        <f t="shared" si="55"/>
        <v>1</v>
      </c>
      <c r="O119" s="861">
        <f t="shared" si="77"/>
        <v>0</v>
      </c>
      <c r="P119" s="861">
        <f t="shared" si="78"/>
        <v>0</v>
      </c>
      <c r="Q119" s="861">
        <f t="shared" si="73"/>
        <v>0</v>
      </c>
      <c r="R119" s="861">
        <f t="shared" si="74"/>
        <v>0</v>
      </c>
      <c r="S119" s="861">
        <f t="shared" si="75"/>
        <v>0</v>
      </c>
      <c r="T119" s="861"/>
      <c r="U119" s="858"/>
      <c r="V119" s="769"/>
      <c r="W119" s="769"/>
      <c r="X119" s="769"/>
      <c r="Y119" s="769"/>
      <c r="Z119" s="769"/>
      <c r="AA119" s="769"/>
      <c r="AB119" s="769"/>
      <c r="AC119" s="769"/>
      <c r="AD119" s="769"/>
      <c r="AE119" s="769"/>
      <c r="AF119" s="738"/>
      <c r="AG119" s="738"/>
      <c r="AH119" s="769"/>
      <c r="AI119" s="769"/>
      <c r="AJ119" s="769"/>
      <c r="AK119" s="769"/>
      <c r="AL119" s="769"/>
      <c r="AM119" s="769"/>
      <c r="AN119" s="769"/>
      <c r="AO119" s="769"/>
      <c r="AP119" s="769"/>
      <c r="AQ119" s="769"/>
      <c r="AR119" s="769"/>
      <c r="AS119" s="769"/>
      <c r="AT119" s="769"/>
      <c r="AU119" s="769"/>
      <c r="AV119" s="769"/>
      <c r="AW119" s="769"/>
      <c r="AX119" s="769"/>
      <c r="AY119" s="769"/>
      <c r="AZ119" s="769"/>
      <c r="BA119" s="769"/>
      <c r="BB119" s="769"/>
      <c r="BC119" s="769"/>
      <c r="BD119" s="769"/>
      <c r="BE119" s="769"/>
      <c r="BF119" s="769"/>
      <c r="BG119" s="769"/>
      <c r="BH119" s="769"/>
      <c r="BI119" s="769"/>
      <c r="BJ119" s="769"/>
      <c r="BK119" s="769"/>
      <c r="BL119" s="769"/>
      <c r="BM119" s="769"/>
      <c r="BN119" s="769"/>
      <c r="BO119" s="769"/>
      <c r="BP119" s="769"/>
      <c r="BQ119" s="769"/>
      <c r="BR119" s="769"/>
      <c r="BS119" s="769"/>
      <c r="BT119" s="769"/>
      <c r="BU119" s="769"/>
      <c r="BV119" s="769"/>
      <c r="BW119" s="769"/>
      <c r="BX119" s="769"/>
      <c r="BY119" s="769"/>
      <c r="BZ119" s="769"/>
      <c r="CA119" s="769"/>
      <c r="CB119" s="769"/>
      <c r="CC119" s="738"/>
      <c r="CD119" s="738"/>
      <c r="CE119" s="738"/>
      <c r="CF119" s="738"/>
      <c r="CG119" s="738"/>
      <c r="CH119" s="738"/>
      <c r="CI119" s="738"/>
      <c r="CJ119" s="738"/>
      <c r="CK119" s="738"/>
      <c r="CL119" s="738"/>
      <c r="CM119" s="738"/>
      <c r="CN119" s="738"/>
      <c r="CO119" s="738"/>
      <c r="CP119" s="738"/>
      <c r="CQ119" s="738"/>
      <c r="CR119" s="738"/>
      <c r="CS119" s="738"/>
      <c r="CT119" s="738"/>
      <c r="CU119" s="738"/>
      <c r="CV119" s="738"/>
      <c r="CW119" s="738"/>
      <c r="CX119" s="738"/>
      <c r="CY119" s="738"/>
      <c r="CZ119" s="738"/>
      <c r="DA119" s="738"/>
      <c r="DB119" s="738"/>
      <c r="DC119" s="738"/>
      <c r="DD119" s="738"/>
      <c r="DE119" s="958"/>
      <c r="DF119" s="958"/>
      <c r="DG119" s="738"/>
      <c r="DH119" s="738"/>
      <c r="DI119" s="738"/>
      <c r="DJ119" s="738"/>
      <c r="DK119" s="738"/>
      <c r="DL119" s="738"/>
      <c r="DM119" s="738"/>
      <c r="DN119" s="738"/>
      <c r="DO119" s="738"/>
      <c r="DP119" s="738"/>
      <c r="DQ119" s="738"/>
      <c r="DR119" s="738"/>
      <c r="DS119" s="738"/>
      <c r="DT119" s="738"/>
      <c r="DU119" s="738"/>
      <c r="DV119" s="738"/>
      <c r="DW119" s="738"/>
      <c r="DX119" s="738"/>
      <c r="DY119" s="738"/>
      <c r="DZ119" s="738"/>
      <c r="EA119" s="738"/>
      <c r="EB119" s="738"/>
      <c r="EC119" s="738"/>
      <c r="ED119" s="738"/>
      <c r="EE119" s="738"/>
      <c r="EF119" s="738"/>
      <c r="EG119" s="738"/>
      <c r="EH119" s="738"/>
      <c r="EI119" s="738"/>
      <c r="EJ119" s="738"/>
      <c r="EK119" s="738"/>
      <c r="EL119" s="738"/>
      <c r="EM119" s="738"/>
      <c r="EN119" s="738"/>
      <c r="EO119" s="738"/>
      <c r="EP119" s="738"/>
      <c r="EQ119" s="738"/>
      <c r="ER119" s="738"/>
      <c r="ES119" s="738"/>
      <c r="ET119" s="738"/>
      <c r="EU119" s="738"/>
      <c r="EV119" s="738">
        <v>1</v>
      </c>
      <c r="EW119" s="738"/>
      <c r="EX119" s="738"/>
      <c r="EY119" s="738"/>
      <c r="EZ119" s="738"/>
      <c r="FA119" s="738"/>
      <c r="FB119" s="738"/>
      <c r="FC119" s="738"/>
      <c r="FD119" s="738"/>
      <c r="FE119" s="738"/>
      <c r="FF119" s="738"/>
      <c r="FG119" s="738"/>
      <c r="FH119" s="738"/>
      <c r="FI119" s="738"/>
      <c r="FJ119" s="738"/>
      <c r="FK119" s="738"/>
      <c r="FL119" s="738"/>
      <c r="FM119" s="738"/>
      <c r="FN119" s="738"/>
      <c r="FO119" s="738"/>
      <c r="FP119" s="738"/>
      <c r="FQ119" s="738"/>
      <c r="FR119" s="738"/>
      <c r="FS119" s="738"/>
      <c r="FT119" s="738"/>
      <c r="FU119" s="738"/>
      <c r="FV119" s="738"/>
      <c r="FW119" s="738"/>
      <c r="FX119" s="738"/>
      <c r="FY119" s="738"/>
      <c r="FZ119" s="738"/>
      <c r="GA119" s="738"/>
      <c r="GB119" s="738"/>
      <c r="GC119" s="738"/>
      <c r="GD119" s="738"/>
      <c r="GE119" s="738"/>
      <c r="GF119" s="738"/>
      <c r="GG119" s="738"/>
      <c r="GH119" s="738"/>
      <c r="GI119" s="738"/>
      <c r="GJ119" s="738"/>
      <c r="GK119" s="738"/>
      <c r="GL119" s="738"/>
      <c r="GM119" s="738"/>
      <c r="GN119" s="738"/>
      <c r="GO119" s="738"/>
      <c r="GP119" s="738"/>
      <c r="GQ119" s="738"/>
      <c r="GR119" s="769"/>
      <c r="GS119" s="769"/>
      <c r="GT119" s="769"/>
      <c r="GU119" s="769"/>
      <c r="GV119" s="769"/>
      <c r="GW119" s="863"/>
      <c r="GX119" s="1016"/>
      <c r="GY119" s="863"/>
      <c r="GZ119" s="1017"/>
      <c r="HA119" s="1318"/>
      <c r="HB119" s="864"/>
      <c r="HC119" s="178"/>
      <c r="HD119" s="178"/>
      <c r="HE119" s="178"/>
      <c r="HF119" s="178"/>
      <c r="HG119" s="178"/>
      <c r="HH119" s="178"/>
      <c r="HI119" s="178"/>
      <c r="HJ119" s="178"/>
      <c r="HK119" s="178"/>
      <c r="HL119" s="178"/>
      <c r="HM119" s="178"/>
      <c r="HN119" s="178"/>
      <c r="HO119" s="178"/>
      <c r="HP119" s="178"/>
      <c r="HQ119" s="178"/>
      <c r="HR119" s="178"/>
      <c r="HS119" s="178"/>
      <c r="HT119" s="178"/>
      <c r="HU119" s="178"/>
      <c r="HV119" s="178"/>
      <c r="HW119" s="178"/>
      <c r="HX119" s="178"/>
      <c r="HY119" s="178"/>
      <c r="HZ119" s="178"/>
      <c r="IA119" s="178"/>
      <c r="IB119" s="178"/>
      <c r="IC119" s="178"/>
      <c r="ID119" s="178"/>
      <c r="IE119" s="178"/>
      <c r="IF119" s="178"/>
      <c r="IG119" s="178"/>
      <c r="IH119" s="178"/>
      <c r="II119" s="178"/>
      <c r="IJ119" s="178"/>
      <c r="IK119" s="178"/>
      <c r="IL119" s="178"/>
      <c r="IM119" s="178"/>
      <c r="IN119" s="178"/>
      <c r="IO119" s="178"/>
      <c r="IP119" s="178"/>
      <c r="IQ119" s="178"/>
      <c r="IR119" s="178"/>
      <c r="IS119" s="178"/>
      <c r="IT119" s="178"/>
      <c r="IU119" s="178"/>
      <c r="IV119" s="178"/>
      <c r="IW119" s="178"/>
      <c r="IX119" s="178"/>
      <c r="IY119" s="178"/>
      <c r="IZ119" s="178"/>
      <c r="JA119" s="178"/>
      <c r="JB119" s="178"/>
      <c r="JC119" s="178"/>
      <c r="JD119" s="178"/>
      <c r="JE119" s="178"/>
      <c r="JF119" s="178"/>
      <c r="JG119" s="178"/>
      <c r="JH119" s="178"/>
      <c r="JI119" s="178"/>
      <c r="JJ119" s="178"/>
      <c r="JK119" s="178"/>
      <c r="JL119" s="178"/>
      <c r="JM119" s="178"/>
      <c r="JN119" s="178"/>
      <c r="JO119" s="178"/>
      <c r="JP119" s="178"/>
      <c r="JQ119" s="178"/>
      <c r="JR119" s="178"/>
      <c r="JS119" s="178"/>
      <c r="JT119" s="178"/>
      <c r="JU119" s="178"/>
      <c r="JV119" s="178"/>
      <c r="JW119" s="178"/>
      <c r="JX119" s="178"/>
      <c r="JY119" s="178"/>
      <c r="JZ119" s="178"/>
      <c r="KA119" s="178"/>
    </row>
    <row r="120" spans="1:287" s="360" customFormat="1" ht="95.25" hidden="1" customHeight="1">
      <c r="A120" s="1287"/>
      <c r="B120" s="1601"/>
      <c r="C120" s="754" t="s">
        <v>1371</v>
      </c>
      <c r="D120" s="755" t="s">
        <v>1373</v>
      </c>
      <c r="E120" s="861">
        <f t="shared" si="76"/>
        <v>0</v>
      </c>
      <c r="F120" s="858"/>
      <c r="G120" s="858"/>
      <c r="H120" s="858"/>
      <c r="I120" s="858"/>
      <c r="J120" s="858">
        <v>0</v>
      </c>
      <c r="K120" s="858">
        <v>0</v>
      </c>
      <c r="L120" s="858">
        <v>0</v>
      </c>
      <c r="M120" s="858">
        <v>0</v>
      </c>
      <c r="N120" s="861">
        <f t="shared" si="55"/>
        <v>0</v>
      </c>
      <c r="O120" s="861">
        <f t="shared" si="77"/>
        <v>0</v>
      </c>
      <c r="P120" s="861">
        <f t="shared" si="78"/>
        <v>0</v>
      </c>
      <c r="Q120" s="861">
        <f t="shared" si="73"/>
        <v>0</v>
      </c>
      <c r="R120" s="861">
        <f t="shared" si="74"/>
        <v>0</v>
      </c>
      <c r="S120" s="861">
        <f t="shared" si="75"/>
        <v>0</v>
      </c>
      <c r="T120" s="861"/>
      <c r="U120" s="861"/>
      <c r="V120" s="738"/>
      <c r="W120" s="738"/>
      <c r="X120" s="738"/>
      <c r="Y120" s="738"/>
      <c r="Z120" s="738"/>
      <c r="AA120" s="738"/>
      <c r="AB120" s="738"/>
      <c r="AC120" s="738"/>
      <c r="AD120" s="738"/>
      <c r="AE120" s="738"/>
      <c r="AF120" s="738"/>
      <c r="AG120" s="738"/>
      <c r="AH120" s="738"/>
      <c r="AI120" s="738"/>
      <c r="AJ120" s="738"/>
      <c r="AK120" s="738"/>
      <c r="AL120" s="738"/>
      <c r="AM120" s="738"/>
      <c r="AN120" s="738"/>
      <c r="AO120" s="738"/>
      <c r="AP120" s="738"/>
      <c r="AQ120" s="738"/>
      <c r="AR120" s="738"/>
      <c r="AS120" s="738"/>
      <c r="AT120" s="738"/>
      <c r="AU120" s="738"/>
      <c r="AV120" s="738"/>
      <c r="AW120" s="738"/>
      <c r="AX120" s="738"/>
      <c r="AY120" s="738"/>
      <c r="AZ120" s="738"/>
      <c r="BA120" s="738"/>
      <c r="BB120" s="738"/>
      <c r="BC120" s="738"/>
      <c r="BD120" s="738"/>
      <c r="BE120" s="738"/>
      <c r="BF120" s="738"/>
      <c r="BG120" s="738"/>
      <c r="BH120" s="738"/>
      <c r="BI120" s="738"/>
      <c r="BJ120" s="738"/>
      <c r="BK120" s="738"/>
      <c r="BL120" s="738"/>
      <c r="BM120" s="738"/>
      <c r="BN120" s="738"/>
      <c r="BO120" s="738"/>
      <c r="BP120" s="738"/>
      <c r="BQ120" s="738"/>
      <c r="BR120" s="738"/>
      <c r="BS120" s="738"/>
      <c r="BT120" s="738"/>
      <c r="BU120" s="738"/>
      <c r="BV120" s="738"/>
      <c r="BW120" s="738"/>
      <c r="BX120" s="738"/>
      <c r="BY120" s="738"/>
      <c r="BZ120" s="738"/>
      <c r="CA120" s="738"/>
      <c r="CB120" s="738"/>
      <c r="CC120" s="738"/>
      <c r="CD120" s="738"/>
      <c r="CE120" s="738"/>
      <c r="CF120" s="738"/>
      <c r="CG120" s="738"/>
      <c r="CH120" s="738"/>
      <c r="CI120" s="738"/>
      <c r="CJ120" s="738"/>
      <c r="CK120" s="738"/>
      <c r="CL120" s="738"/>
      <c r="CM120" s="738"/>
      <c r="CN120" s="738"/>
      <c r="CO120" s="738"/>
      <c r="CP120" s="738"/>
      <c r="CQ120" s="738"/>
      <c r="CR120" s="738"/>
      <c r="CS120" s="738"/>
      <c r="CT120" s="738"/>
      <c r="CU120" s="738"/>
      <c r="CV120" s="738"/>
      <c r="CW120" s="738"/>
      <c r="CX120" s="738"/>
      <c r="CY120" s="738"/>
      <c r="CZ120" s="738"/>
      <c r="DA120" s="738"/>
      <c r="DB120" s="738"/>
      <c r="DC120" s="738"/>
      <c r="DD120" s="738"/>
      <c r="DE120" s="738"/>
      <c r="DF120" s="738"/>
      <c r="DG120" s="738"/>
      <c r="DH120" s="738"/>
      <c r="DI120" s="738"/>
      <c r="DJ120" s="738"/>
      <c r="DK120" s="738"/>
      <c r="DL120" s="738"/>
      <c r="DM120" s="738"/>
      <c r="DN120" s="738"/>
      <c r="DO120" s="738"/>
      <c r="DP120" s="738"/>
      <c r="DQ120" s="738"/>
      <c r="DR120" s="738"/>
      <c r="DS120" s="738"/>
      <c r="DT120" s="738"/>
      <c r="DU120" s="738"/>
      <c r="DV120" s="738"/>
      <c r="DW120" s="738"/>
      <c r="DX120" s="738"/>
      <c r="DY120" s="738"/>
      <c r="DZ120" s="738"/>
      <c r="EA120" s="738"/>
      <c r="EB120" s="738"/>
      <c r="EC120" s="738"/>
      <c r="ED120" s="738"/>
      <c r="EE120" s="738"/>
      <c r="EF120" s="738"/>
      <c r="EG120" s="738"/>
      <c r="EH120" s="738"/>
      <c r="EI120" s="738"/>
      <c r="EJ120" s="738"/>
      <c r="EK120" s="738"/>
      <c r="EL120" s="738"/>
      <c r="EM120" s="738"/>
      <c r="EN120" s="738"/>
      <c r="EO120" s="738"/>
      <c r="EP120" s="738"/>
      <c r="EQ120" s="738"/>
      <c r="ER120" s="738"/>
      <c r="ES120" s="738"/>
      <c r="ET120" s="738"/>
      <c r="EU120" s="738"/>
      <c r="EV120" s="738"/>
      <c r="EW120" s="738"/>
      <c r="EX120" s="738"/>
      <c r="EY120" s="738"/>
      <c r="EZ120" s="738"/>
      <c r="FA120" s="738"/>
      <c r="FB120" s="738"/>
      <c r="FC120" s="738"/>
      <c r="FD120" s="738"/>
      <c r="FE120" s="738"/>
      <c r="FF120" s="738"/>
      <c r="FG120" s="738"/>
      <c r="FH120" s="738"/>
      <c r="FI120" s="738"/>
      <c r="FJ120" s="738"/>
      <c r="FK120" s="738"/>
      <c r="FL120" s="738"/>
      <c r="FM120" s="738"/>
      <c r="FN120" s="738"/>
      <c r="FO120" s="738"/>
      <c r="FP120" s="738"/>
      <c r="FQ120" s="738"/>
      <c r="FR120" s="738"/>
      <c r="FS120" s="738"/>
      <c r="FT120" s="738"/>
      <c r="FU120" s="738"/>
      <c r="FV120" s="738"/>
      <c r="FW120" s="738"/>
      <c r="FX120" s="738"/>
      <c r="FY120" s="738"/>
      <c r="FZ120" s="738"/>
      <c r="GA120" s="738"/>
      <c r="GB120" s="738"/>
      <c r="GC120" s="738"/>
      <c r="GD120" s="738"/>
      <c r="GE120" s="738"/>
      <c r="GF120" s="738"/>
      <c r="GG120" s="738"/>
      <c r="GH120" s="738"/>
      <c r="GI120" s="738"/>
      <c r="GJ120" s="738"/>
      <c r="GK120" s="738"/>
      <c r="GL120" s="738"/>
      <c r="GM120" s="738"/>
      <c r="GN120" s="738"/>
      <c r="GO120" s="738"/>
      <c r="GP120" s="738"/>
      <c r="GQ120" s="738"/>
      <c r="GR120" s="769"/>
      <c r="GS120" s="769"/>
      <c r="GT120" s="769"/>
      <c r="GU120" s="769"/>
      <c r="GV120" s="769"/>
      <c r="GW120" s="863"/>
      <c r="GX120" s="1016" t="s">
        <v>1374</v>
      </c>
      <c r="GY120" s="863"/>
      <c r="GZ120" s="1017"/>
      <c r="HA120" s="1288"/>
      <c r="HB120" s="864" t="s">
        <v>1372</v>
      </c>
      <c r="HC120" s="178"/>
      <c r="HD120" s="178"/>
      <c r="HE120" s="178"/>
      <c r="HF120" s="178"/>
      <c r="HG120" s="178"/>
      <c r="HH120" s="178"/>
      <c r="HI120" s="178"/>
      <c r="HJ120" s="178"/>
      <c r="HK120" s="178"/>
      <c r="HL120" s="178"/>
      <c r="HM120" s="178"/>
      <c r="HN120" s="178"/>
      <c r="HO120" s="178"/>
      <c r="HP120" s="178"/>
      <c r="HQ120" s="178"/>
      <c r="HR120" s="178"/>
      <c r="HS120" s="178"/>
      <c r="HT120" s="178"/>
      <c r="HU120" s="178"/>
      <c r="HV120" s="178"/>
      <c r="HW120" s="178"/>
      <c r="HX120" s="178"/>
      <c r="HY120" s="178"/>
      <c r="HZ120" s="178"/>
      <c r="IA120" s="178"/>
      <c r="IB120" s="178"/>
      <c r="IC120" s="178"/>
      <c r="ID120" s="178"/>
      <c r="IE120" s="178"/>
      <c r="IF120" s="178"/>
      <c r="IG120" s="178"/>
      <c r="IH120" s="178"/>
      <c r="II120" s="178"/>
      <c r="IJ120" s="178"/>
      <c r="IK120" s="178"/>
      <c r="IL120" s="178"/>
      <c r="IM120" s="178"/>
      <c r="IN120" s="178"/>
      <c r="IO120" s="178"/>
      <c r="IP120" s="178"/>
      <c r="IQ120" s="178"/>
      <c r="IR120" s="178"/>
      <c r="IS120" s="178"/>
      <c r="IT120" s="178"/>
      <c r="IU120" s="178"/>
      <c r="IV120" s="178"/>
      <c r="IW120" s="178"/>
      <c r="IX120" s="178"/>
      <c r="IY120" s="178"/>
      <c r="IZ120" s="178"/>
      <c r="JA120" s="178"/>
      <c r="JB120" s="178"/>
      <c r="JC120" s="178"/>
      <c r="JD120" s="178"/>
      <c r="JE120" s="178"/>
      <c r="JF120" s="178"/>
      <c r="JG120" s="178"/>
      <c r="JH120" s="178"/>
      <c r="JI120" s="178"/>
      <c r="JJ120" s="178"/>
      <c r="JK120" s="178"/>
      <c r="JL120" s="178"/>
      <c r="JM120" s="178"/>
      <c r="JN120" s="178"/>
      <c r="JO120" s="178"/>
      <c r="JP120" s="178"/>
      <c r="JQ120" s="178"/>
      <c r="JR120" s="178"/>
      <c r="JS120" s="178"/>
      <c r="JT120" s="178"/>
      <c r="JU120" s="178"/>
      <c r="JV120" s="178"/>
      <c r="JW120" s="178"/>
      <c r="JX120" s="178"/>
      <c r="JY120" s="178"/>
      <c r="JZ120" s="178"/>
      <c r="KA120" s="178"/>
    </row>
    <row r="121" spans="1:287" s="360" customFormat="1" ht="84" hidden="1" customHeight="1">
      <c r="A121" s="1006">
        <v>48</v>
      </c>
      <c r="B121" s="1601"/>
      <c r="C121" s="1006" t="s">
        <v>843</v>
      </c>
      <c r="D121" s="409" t="s">
        <v>1201</v>
      </c>
      <c r="E121" s="861">
        <f t="shared" si="76"/>
        <v>0</v>
      </c>
      <c r="F121" s="379">
        <v>0</v>
      </c>
      <c r="G121" s="379">
        <v>0</v>
      </c>
      <c r="H121" s="379">
        <v>0</v>
      </c>
      <c r="I121" s="379">
        <v>0</v>
      </c>
      <c r="J121" s="379">
        <f t="shared" si="51"/>
        <v>0</v>
      </c>
      <c r="K121" s="379">
        <f t="shared" si="52"/>
        <v>2</v>
      </c>
      <c r="L121" s="379">
        <f t="shared" si="53"/>
        <v>0</v>
      </c>
      <c r="M121" s="1012">
        <f t="shared" si="54"/>
        <v>0</v>
      </c>
      <c r="N121" s="861">
        <f t="shared" si="55"/>
        <v>0</v>
      </c>
      <c r="O121" s="861">
        <f t="shared" si="77"/>
        <v>0</v>
      </c>
      <c r="P121" s="861">
        <f t="shared" si="78"/>
        <v>0</v>
      </c>
      <c r="Q121" s="861">
        <f t="shared" si="73"/>
        <v>0</v>
      </c>
      <c r="R121" s="861">
        <f t="shared" si="74"/>
        <v>0</v>
      </c>
      <c r="S121" s="861">
        <f t="shared" si="75"/>
        <v>0</v>
      </c>
      <c r="T121" s="861"/>
      <c r="U121" s="861"/>
      <c r="V121" s="390"/>
      <c r="W121" s="390"/>
      <c r="X121" s="390"/>
      <c r="Y121" s="390"/>
      <c r="Z121" s="390"/>
      <c r="AA121" s="390"/>
      <c r="AB121" s="390"/>
      <c r="AC121" s="390"/>
      <c r="AD121" s="390"/>
      <c r="AE121" s="390"/>
      <c r="AF121" s="958"/>
      <c r="AG121" s="958">
        <v>1</v>
      </c>
      <c r="AH121" s="390">
        <v>1</v>
      </c>
      <c r="AI121" s="390"/>
      <c r="AJ121" s="390"/>
      <c r="AK121" s="390"/>
      <c r="AL121" s="390"/>
      <c r="AM121" s="390"/>
      <c r="AN121" s="390"/>
      <c r="AO121" s="390"/>
      <c r="AP121" s="390"/>
      <c r="AQ121" s="390"/>
      <c r="AR121" s="390"/>
      <c r="AS121" s="390"/>
      <c r="AT121" s="390"/>
      <c r="AU121" s="390"/>
      <c r="AV121" s="390"/>
      <c r="AW121" s="390"/>
      <c r="AX121" s="390"/>
      <c r="AY121" s="390"/>
      <c r="AZ121" s="390"/>
      <c r="BA121" s="390"/>
      <c r="BB121" s="390"/>
      <c r="BC121" s="390"/>
      <c r="BD121" s="390"/>
      <c r="BE121" s="390"/>
      <c r="BF121" s="390"/>
      <c r="BG121" s="390"/>
      <c r="BH121" s="390"/>
      <c r="BI121" s="390"/>
      <c r="BJ121" s="390"/>
      <c r="BK121" s="390"/>
      <c r="BL121" s="390"/>
      <c r="BM121" s="390"/>
      <c r="BN121" s="390"/>
      <c r="BO121" s="390"/>
      <c r="BP121" s="390"/>
      <c r="BQ121" s="390"/>
      <c r="BR121" s="390"/>
      <c r="BS121" s="390"/>
      <c r="BT121" s="390"/>
      <c r="BU121" s="390"/>
      <c r="BV121" s="390"/>
      <c r="BW121" s="390"/>
      <c r="BX121" s="390"/>
      <c r="BY121" s="390"/>
      <c r="BZ121" s="390"/>
      <c r="CA121" s="390"/>
      <c r="CB121" s="390"/>
      <c r="CC121" s="390"/>
      <c r="CD121" s="390"/>
      <c r="CE121" s="390"/>
      <c r="CF121" s="390"/>
      <c r="CG121" s="390"/>
      <c r="CH121" s="390"/>
      <c r="CI121" s="390"/>
      <c r="CJ121" s="390"/>
      <c r="CK121" s="390"/>
      <c r="CL121" s="390"/>
      <c r="CM121" s="390"/>
      <c r="CN121" s="390"/>
      <c r="CO121" s="390"/>
      <c r="CP121" s="390"/>
      <c r="CQ121" s="390"/>
      <c r="CR121" s="390"/>
      <c r="CS121" s="390"/>
      <c r="CT121" s="390"/>
      <c r="CU121" s="390"/>
      <c r="CV121" s="390"/>
      <c r="CW121" s="390"/>
      <c r="CX121" s="390"/>
      <c r="CY121" s="390"/>
      <c r="CZ121" s="390"/>
      <c r="DA121" s="390"/>
      <c r="DB121" s="390"/>
      <c r="DC121" s="390"/>
      <c r="DD121" s="390"/>
      <c r="DE121" s="390"/>
      <c r="DF121" s="390"/>
      <c r="DG121" s="390"/>
      <c r="DH121" s="390"/>
      <c r="DI121" s="390"/>
      <c r="DJ121" s="390"/>
      <c r="DK121" s="390"/>
      <c r="DL121" s="390"/>
      <c r="DM121" s="390"/>
      <c r="DN121" s="390"/>
      <c r="DO121" s="390"/>
      <c r="DP121" s="390"/>
      <c r="DQ121" s="390"/>
      <c r="DR121" s="390"/>
      <c r="DS121" s="390"/>
      <c r="DT121" s="390"/>
      <c r="DU121" s="390"/>
      <c r="DV121" s="390"/>
      <c r="DW121" s="390"/>
      <c r="DX121" s="390"/>
      <c r="DY121" s="390"/>
      <c r="DZ121" s="390"/>
      <c r="EA121" s="390"/>
      <c r="EB121" s="390"/>
      <c r="EC121" s="390"/>
      <c r="ED121" s="390"/>
      <c r="EE121" s="390"/>
      <c r="EF121" s="390"/>
      <c r="EG121" s="390"/>
      <c r="EH121" s="390"/>
      <c r="EI121" s="390"/>
      <c r="EJ121" s="390"/>
      <c r="EK121" s="390"/>
      <c r="EL121" s="390"/>
      <c r="EM121" s="390"/>
      <c r="EN121" s="390"/>
      <c r="EO121" s="390"/>
      <c r="EP121" s="390"/>
      <c r="EQ121" s="390"/>
      <c r="ER121" s="390"/>
      <c r="ES121" s="390"/>
      <c r="ET121" s="390"/>
      <c r="EU121" s="390"/>
      <c r="EV121" s="390"/>
      <c r="EW121" s="390"/>
      <c r="EX121" s="390"/>
      <c r="EY121" s="390"/>
      <c r="EZ121" s="390"/>
      <c r="FA121" s="390"/>
      <c r="FB121" s="390"/>
      <c r="FC121" s="390"/>
      <c r="FD121" s="390"/>
      <c r="FE121" s="390"/>
      <c r="FF121" s="390"/>
      <c r="FG121" s="390"/>
      <c r="FH121" s="390"/>
      <c r="FI121" s="390"/>
      <c r="FJ121" s="390"/>
      <c r="FK121" s="390"/>
      <c r="FL121" s="390"/>
      <c r="FM121" s="390"/>
      <c r="FN121" s="390"/>
      <c r="FO121" s="390"/>
      <c r="FP121" s="390"/>
      <c r="FQ121" s="390"/>
      <c r="FR121" s="390"/>
      <c r="FS121" s="390"/>
      <c r="FT121" s="390"/>
      <c r="FU121" s="390"/>
      <c r="FV121" s="390"/>
      <c r="FW121" s="390"/>
      <c r="FX121" s="390"/>
      <c r="FY121" s="390"/>
      <c r="FZ121" s="390"/>
      <c r="GA121" s="390"/>
      <c r="GB121" s="390"/>
      <c r="GC121" s="390"/>
      <c r="GD121" s="390"/>
      <c r="GE121" s="390"/>
      <c r="GF121" s="390"/>
      <c r="GG121" s="390"/>
      <c r="GH121" s="390"/>
      <c r="GI121" s="390"/>
      <c r="GJ121" s="390"/>
      <c r="GK121" s="390"/>
      <c r="GL121" s="390"/>
      <c r="GM121" s="390"/>
      <c r="GN121" s="390"/>
      <c r="GO121" s="390"/>
      <c r="GP121" s="390"/>
      <c r="GQ121" s="390"/>
      <c r="GR121" s="331"/>
      <c r="GS121" s="331"/>
      <c r="GT121" s="331"/>
      <c r="GU121" s="331"/>
      <c r="GV121" s="331"/>
      <c r="GW121" s="876" t="s">
        <v>1206</v>
      </c>
      <c r="GX121" s="876" t="s">
        <v>1204</v>
      </c>
      <c r="GY121" s="877"/>
      <c r="GZ121" s="1015"/>
      <c r="HA121" s="1015"/>
      <c r="HB121" s="279" t="s">
        <v>1205</v>
      </c>
      <c r="HC121" s="178"/>
      <c r="HD121" s="178"/>
      <c r="HE121" s="178"/>
      <c r="HF121" s="178"/>
      <c r="HG121" s="178"/>
      <c r="HH121" s="178"/>
      <c r="HI121" s="178"/>
      <c r="HJ121" s="178"/>
      <c r="HK121" s="178"/>
      <c r="HL121" s="178"/>
      <c r="HM121" s="178"/>
      <c r="HN121" s="178"/>
      <c r="HO121" s="178"/>
      <c r="HP121" s="178"/>
      <c r="HQ121" s="178"/>
      <c r="HR121" s="178"/>
      <c r="HS121" s="178"/>
      <c r="HT121" s="178"/>
      <c r="HU121" s="178"/>
      <c r="HV121" s="178"/>
      <c r="HW121" s="178"/>
      <c r="HX121" s="178"/>
      <c r="HY121" s="178"/>
      <c r="HZ121" s="178"/>
      <c r="IA121" s="178"/>
      <c r="IB121" s="178"/>
      <c r="IC121" s="178"/>
      <c r="ID121" s="178"/>
      <c r="IE121" s="178"/>
      <c r="IF121" s="178"/>
      <c r="IG121" s="178"/>
      <c r="IH121" s="178"/>
      <c r="II121" s="178"/>
      <c r="IJ121" s="178"/>
      <c r="IK121" s="178"/>
      <c r="IL121" s="178"/>
      <c r="IM121" s="178"/>
      <c r="IN121" s="178"/>
      <c r="IO121" s="178"/>
      <c r="IP121" s="178"/>
      <c r="IQ121" s="178"/>
      <c r="IR121" s="178"/>
      <c r="IS121" s="178"/>
      <c r="IT121" s="178"/>
      <c r="IU121" s="178"/>
      <c r="IV121" s="178"/>
      <c r="IW121" s="178"/>
      <c r="IX121" s="178"/>
      <c r="IY121" s="178"/>
      <c r="IZ121" s="178"/>
      <c r="JA121" s="178"/>
      <c r="JB121" s="178"/>
      <c r="JC121" s="178"/>
      <c r="JD121" s="178"/>
      <c r="JE121" s="178"/>
      <c r="JF121" s="178"/>
      <c r="JG121" s="178"/>
      <c r="JH121" s="178"/>
      <c r="JI121" s="178"/>
      <c r="JJ121" s="178"/>
      <c r="JK121" s="178"/>
      <c r="JL121" s="178"/>
      <c r="JM121" s="178"/>
      <c r="JN121" s="178"/>
      <c r="JO121" s="178"/>
      <c r="JP121" s="178"/>
      <c r="JQ121" s="178"/>
      <c r="JR121" s="178"/>
      <c r="JS121" s="178"/>
      <c r="JT121" s="178"/>
      <c r="JU121" s="178"/>
      <c r="JV121" s="178"/>
      <c r="JW121" s="178"/>
      <c r="JX121" s="178"/>
      <c r="JY121" s="178"/>
      <c r="JZ121" s="178"/>
      <c r="KA121" s="178"/>
    </row>
    <row r="122" spans="1:287" s="360" customFormat="1" ht="48.75" hidden="1" customHeight="1">
      <c r="A122" s="754">
        <v>49</v>
      </c>
      <c r="B122" s="1609"/>
      <c r="C122" s="754" t="s">
        <v>843</v>
      </c>
      <c r="D122" s="755" t="s">
        <v>912</v>
      </c>
      <c r="E122" s="861">
        <f t="shared" si="76"/>
        <v>0</v>
      </c>
      <c r="F122" s="858">
        <v>0</v>
      </c>
      <c r="G122" s="858">
        <v>0</v>
      </c>
      <c r="H122" s="858">
        <v>0</v>
      </c>
      <c r="I122" s="858">
        <v>0</v>
      </c>
      <c r="J122" s="858">
        <f t="shared" si="51"/>
        <v>0</v>
      </c>
      <c r="K122" s="861">
        <f t="shared" si="52"/>
        <v>2</v>
      </c>
      <c r="L122" s="861">
        <f t="shared" si="53"/>
        <v>0</v>
      </c>
      <c r="M122" s="858">
        <f t="shared" si="54"/>
        <v>0</v>
      </c>
      <c r="N122" s="861">
        <f t="shared" si="55"/>
        <v>0</v>
      </c>
      <c r="O122" s="861">
        <f t="shared" si="77"/>
        <v>0</v>
      </c>
      <c r="P122" s="861">
        <f t="shared" si="78"/>
        <v>0</v>
      </c>
      <c r="Q122" s="861">
        <f t="shared" si="73"/>
        <v>0</v>
      </c>
      <c r="R122" s="861">
        <f t="shared" si="74"/>
        <v>0</v>
      </c>
      <c r="S122" s="861">
        <f t="shared" si="75"/>
        <v>0</v>
      </c>
      <c r="T122" s="861"/>
      <c r="U122" s="861"/>
      <c r="V122" s="331"/>
      <c r="W122" s="331"/>
      <c r="X122" s="331"/>
      <c r="Y122" s="331"/>
      <c r="Z122" s="331"/>
      <c r="AA122" s="331"/>
      <c r="AB122" s="331"/>
      <c r="AC122" s="331"/>
      <c r="AD122" s="331"/>
      <c r="AE122" s="769"/>
      <c r="AF122" s="769"/>
      <c r="AG122" s="769"/>
      <c r="AH122" s="769"/>
      <c r="AI122" s="769"/>
      <c r="AJ122" s="769"/>
      <c r="AK122" s="769"/>
      <c r="AL122" s="769"/>
      <c r="AM122" s="769"/>
      <c r="AN122" s="769"/>
      <c r="AO122" s="769"/>
      <c r="AP122" s="769"/>
      <c r="AQ122" s="769"/>
      <c r="AR122" s="769"/>
      <c r="AS122" s="769"/>
      <c r="AT122" s="738"/>
      <c r="AU122" s="738"/>
      <c r="AV122" s="738"/>
      <c r="AW122" s="738"/>
      <c r="AX122" s="738"/>
      <c r="AY122" s="738">
        <v>1</v>
      </c>
      <c r="AZ122" s="738"/>
      <c r="BA122" s="738">
        <v>1</v>
      </c>
      <c r="BB122" s="738"/>
      <c r="BC122" s="738"/>
      <c r="BD122" s="738"/>
      <c r="BE122" s="738"/>
      <c r="BF122" s="738"/>
      <c r="BG122" s="738"/>
      <c r="BH122" s="738"/>
      <c r="BI122" s="738"/>
      <c r="BJ122" s="738"/>
      <c r="BK122" s="738"/>
      <c r="BL122" s="738"/>
      <c r="BM122" s="738"/>
      <c r="BN122" s="271"/>
      <c r="BO122" s="271"/>
      <c r="BP122" s="271"/>
      <c r="BQ122" s="271"/>
      <c r="BR122" s="738"/>
      <c r="BS122" s="738"/>
      <c r="BT122" s="738"/>
      <c r="BU122" s="738"/>
      <c r="BV122" s="738"/>
      <c r="BW122" s="738"/>
      <c r="BX122" s="738"/>
      <c r="BY122" s="738"/>
      <c r="BZ122" s="738"/>
      <c r="CA122" s="738"/>
      <c r="CB122" s="738"/>
      <c r="CC122" s="738"/>
      <c r="CD122" s="738"/>
      <c r="CE122" s="738"/>
      <c r="CF122" s="738"/>
      <c r="CG122" s="738"/>
      <c r="CH122" s="738"/>
      <c r="CI122" s="738"/>
      <c r="CJ122" s="738"/>
      <c r="CK122" s="738"/>
      <c r="CL122" s="738"/>
      <c r="CM122" s="738"/>
      <c r="CN122" s="738"/>
      <c r="CO122" s="738"/>
      <c r="CP122" s="738"/>
      <c r="CQ122" s="738"/>
      <c r="CR122" s="738"/>
      <c r="CS122" s="738"/>
      <c r="CT122" s="738"/>
      <c r="CU122" s="738"/>
      <c r="CV122" s="738"/>
      <c r="CW122" s="738"/>
      <c r="CX122" s="738"/>
      <c r="CY122" s="738"/>
      <c r="CZ122" s="738"/>
      <c r="DA122" s="738"/>
      <c r="DB122" s="738"/>
      <c r="DC122" s="738"/>
      <c r="DD122" s="738"/>
      <c r="DE122" s="738"/>
      <c r="DF122" s="738"/>
      <c r="DG122" s="738"/>
      <c r="DH122" s="738"/>
      <c r="DI122" s="738"/>
      <c r="DJ122" s="738"/>
      <c r="DK122" s="738"/>
      <c r="DL122" s="738"/>
      <c r="DM122" s="738"/>
      <c r="DN122" s="738"/>
      <c r="DO122" s="738"/>
      <c r="DP122" s="738"/>
      <c r="DQ122" s="738"/>
      <c r="DR122" s="738"/>
      <c r="DS122" s="738"/>
      <c r="DT122" s="738"/>
      <c r="DU122" s="738"/>
      <c r="DV122" s="738"/>
      <c r="DW122" s="738"/>
      <c r="DX122" s="738"/>
      <c r="DY122" s="738"/>
      <c r="DZ122" s="738"/>
      <c r="EA122" s="738"/>
      <c r="EB122" s="738"/>
      <c r="EC122" s="738"/>
      <c r="ED122" s="738"/>
      <c r="EE122" s="738"/>
      <c r="EF122" s="738"/>
      <c r="EG122" s="738"/>
      <c r="EH122" s="738"/>
      <c r="EI122" s="738"/>
      <c r="EJ122" s="738"/>
      <c r="EK122" s="738"/>
      <c r="EL122" s="738"/>
      <c r="EM122" s="738"/>
      <c r="EN122" s="738"/>
      <c r="EO122" s="738"/>
      <c r="EP122" s="738"/>
      <c r="EQ122" s="738"/>
      <c r="ER122" s="738"/>
      <c r="ES122" s="738"/>
      <c r="ET122" s="738"/>
      <c r="EU122" s="738"/>
      <c r="EV122" s="738"/>
      <c r="EW122" s="738"/>
      <c r="EX122" s="738"/>
      <c r="EY122" s="738"/>
      <c r="EZ122" s="738"/>
      <c r="FA122" s="738"/>
      <c r="FB122" s="738"/>
      <c r="FC122" s="738"/>
      <c r="FD122" s="738"/>
      <c r="FE122" s="738"/>
      <c r="FF122" s="738"/>
      <c r="FG122" s="738"/>
      <c r="FH122" s="738"/>
      <c r="FI122" s="738"/>
      <c r="FJ122" s="738"/>
      <c r="FK122" s="738"/>
      <c r="FL122" s="738"/>
      <c r="FM122" s="738"/>
      <c r="FN122" s="738"/>
      <c r="FO122" s="738"/>
      <c r="FP122" s="738"/>
      <c r="FQ122" s="738"/>
      <c r="FR122" s="738"/>
      <c r="FS122" s="738"/>
      <c r="FT122" s="738"/>
      <c r="FU122" s="738"/>
      <c r="FV122" s="738"/>
      <c r="FW122" s="738"/>
      <c r="FX122" s="738"/>
      <c r="FY122" s="738"/>
      <c r="FZ122" s="738"/>
      <c r="GA122" s="738"/>
      <c r="GB122" s="738"/>
      <c r="GC122" s="738"/>
      <c r="GD122" s="738"/>
      <c r="GE122" s="738"/>
      <c r="GF122" s="738"/>
      <c r="GG122" s="738"/>
      <c r="GH122" s="738"/>
      <c r="GI122" s="738"/>
      <c r="GJ122" s="738"/>
      <c r="GK122" s="738"/>
      <c r="GL122" s="738"/>
      <c r="GM122" s="738"/>
      <c r="GN122" s="738"/>
      <c r="GO122" s="738"/>
      <c r="GP122" s="738"/>
      <c r="GQ122" s="738"/>
      <c r="GR122" s="331"/>
      <c r="GS122" s="331"/>
      <c r="GT122" s="331"/>
      <c r="GU122" s="331"/>
      <c r="GV122" s="331"/>
      <c r="GW122" s="863" t="s">
        <v>860</v>
      </c>
      <c r="GX122" s="863"/>
      <c r="GY122" s="863"/>
      <c r="GZ122" s="888"/>
      <c r="HA122" s="888"/>
      <c r="HB122" s="275" t="s">
        <v>1234</v>
      </c>
      <c r="HC122" s="178"/>
      <c r="HD122" s="178"/>
      <c r="HE122" s="178"/>
      <c r="HF122" s="178"/>
      <c r="HG122" s="178"/>
      <c r="HH122" s="178"/>
      <c r="HI122" s="178"/>
      <c r="HJ122" s="178"/>
      <c r="HK122" s="178"/>
      <c r="HL122" s="178"/>
      <c r="HM122" s="178"/>
      <c r="HN122" s="178"/>
      <c r="HO122" s="178"/>
      <c r="HP122" s="178"/>
      <c r="HQ122" s="178"/>
      <c r="HR122" s="178"/>
      <c r="HS122" s="178"/>
      <c r="HT122" s="178"/>
      <c r="HU122" s="178"/>
      <c r="HV122" s="178"/>
      <c r="HW122" s="178"/>
      <c r="HX122" s="178"/>
      <c r="HY122" s="178"/>
      <c r="HZ122" s="178"/>
      <c r="IA122" s="178"/>
      <c r="IB122" s="178"/>
      <c r="IC122" s="178"/>
      <c r="ID122" s="178"/>
      <c r="IE122" s="178"/>
      <c r="IF122" s="178"/>
      <c r="IG122" s="178"/>
      <c r="IH122" s="178"/>
      <c r="II122" s="178"/>
      <c r="IJ122" s="178"/>
      <c r="IK122" s="178"/>
      <c r="IL122" s="178"/>
      <c r="IM122" s="178"/>
      <c r="IN122" s="178"/>
      <c r="IO122" s="178"/>
      <c r="IP122" s="178"/>
      <c r="IQ122" s="178"/>
      <c r="IR122" s="178"/>
      <c r="IS122" s="178"/>
      <c r="IT122" s="178"/>
      <c r="IU122" s="178"/>
      <c r="IV122" s="178"/>
      <c r="IW122" s="178"/>
      <c r="IX122" s="178"/>
      <c r="IY122" s="178"/>
      <c r="IZ122" s="178"/>
      <c r="JA122" s="178"/>
      <c r="JB122" s="178"/>
      <c r="JC122" s="178"/>
      <c r="JD122" s="178"/>
      <c r="JE122" s="178"/>
      <c r="JF122" s="178"/>
      <c r="JG122" s="178"/>
      <c r="JH122" s="178"/>
      <c r="JI122" s="178"/>
      <c r="JJ122" s="178"/>
      <c r="JK122" s="178"/>
      <c r="JL122" s="178"/>
      <c r="JM122" s="178"/>
      <c r="JN122" s="178"/>
      <c r="JO122" s="178"/>
      <c r="JP122" s="178"/>
      <c r="JQ122" s="178"/>
      <c r="JR122" s="178"/>
      <c r="JS122" s="178"/>
      <c r="JT122" s="178"/>
      <c r="JU122" s="178"/>
      <c r="JV122" s="178"/>
      <c r="JW122" s="178"/>
      <c r="JX122" s="178"/>
      <c r="JY122" s="178"/>
      <c r="JZ122" s="178"/>
      <c r="KA122" s="178"/>
    </row>
    <row r="123" spans="1:287" s="360" customFormat="1" ht="48.75" hidden="1" customHeight="1">
      <c r="A123" s="754"/>
      <c r="B123" s="1307" t="s">
        <v>1165</v>
      </c>
      <c r="C123" s="754" t="s">
        <v>1379</v>
      </c>
      <c r="D123" s="755" t="s">
        <v>1380</v>
      </c>
      <c r="E123" s="861">
        <f t="shared" si="76"/>
        <v>1</v>
      </c>
      <c r="F123" s="861"/>
      <c r="G123" s="861"/>
      <c r="H123" s="861"/>
      <c r="I123" s="861"/>
      <c r="J123" s="858">
        <v>0</v>
      </c>
      <c r="K123" s="858">
        <v>0</v>
      </c>
      <c r="L123" s="858">
        <v>0</v>
      </c>
      <c r="M123" s="858">
        <v>0</v>
      </c>
      <c r="N123" s="861">
        <f t="shared" si="55"/>
        <v>1</v>
      </c>
      <c r="O123" s="861">
        <f t="shared" si="77"/>
        <v>0</v>
      </c>
      <c r="P123" s="861">
        <f t="shared" si="78"/>
        <v>0</v>
      </c>
      <c r="Q123" s="861">
        <f t="shared" si="73"/>
        <v>0</v>
      </c>
      <c r="R123" s="861">
        <f t="shared" si="74"/>
        <v>0</v>
      </c>
      <c r="S123" s="861">
        <f t="shared" si="75"/>
        <v>0</v>
      </c>
      <c r="T123" s="861"/>
      <c r="U123" s="861"/>
      <c r="V123" s="769"/>
      <c r="W123" s="769"/>
      <c r="X123" s="769"/>
      <c r="Y123" s="769"/>
      <c r="Z123" s="769"/>
      <c r="AA123" s="769"/>
      <c r="AB123" s="769"/>
      <c r="AC123" s="769"/>
      <c r="AD123" s="769"/>
      <c r="AE123" s="769"/>
      <c r="AF123" s="769"/>
      <c r="AG123" s="769"/>
      <c r="AH123" s="769"/>
      <c r="AI123" s="769"/>
      <c r="AJ123" s="769"/>
      <c r="AK123" s="769"/>
      <c r="AL123" s="769"/>
      <c r="AM123" s="769"/>
      <c r="AN123" s="769"/>
      <c r="AO123" s="769"/>
      <c r="AP123" s="769"/>
      <c r="AQ123" s="769"/>
      <c r="AR123" s="769"/>
      <c r="AS123" s="769"/>
      <c r="AT123" s="738"/>
      <c r="AU123" s="738"/>
      <c r="AV123" s="738"/>
      <c r="AW123" s="738"/>
      <c r="AX123" s="738"/>
      <c r="AY123" s="738"/>
      <c r="AZ123" s="738"/>
      <c r="BA123" s="738"/>
      <c r="BB123" s="738"/>
      <c r="BC123" s="738"/>
      <c r="BD123" s="738"/>
      <c r="BE123" s="738"/>
      <c r="BF123" s="738"/>
      <c r="BG123" s="738"/>
      <c r="BH123" s="738"/>
      <c r="BI123" s="738"/>
      <c r="BJ123" s="738"/>
      <c r="BK123" s="738"/>
      <c r="BL123" s="738"/>
      <c r="BM123" s="738"/>
      <c r="BN123" s="738"/>
      <c r="BO123" s="738"/>
      <c r="BP123" s="738"/>
      <c r="BQ123" s="738"/>
      <c r="BR123" s="738"/>
      <c r="BS123" s="738"/>
      <c r="BT123" s="738"/>
      <c r="BU123" s="738"/>
      <c r="BV123" s="738"/>
      <c r="BW123" s="738"/>
      <c r="BX123" s="738"/>
      <c r="BY123" s="738"/>
      <c r="BZ123" s="738"/>
      <c r="CA123" s="738"/>
      <c r="CB123" s="738"/>
      <c r="CC123" s="738"/>
      <c r="CD123" s="738"/>
      <c r="CE123" s="738"/>
      <c r="CF123" s="738"/>
      <c r="CG123" s="738"/>
      <c r="CH123" s="738"/>
      <c r="CI123" s="738"/>
      <c r="CJ123" s="738"/>
      <c r="CK123" s="738"/>
      <c r="CL123" s="738"/>
      <c r="CM123" s="738"/>
      <c r="CN123" s="738"/>
      <c r="CO123" s="738"/>
      <c r="CP123" s="738"/>
      <c r="CQ123" s="738"/>
      <c r="CR123" s="738"/>
      <c r="CS123" s="738"/>
      <c r="CT123" s="738"/>
      <c r="CU123" s="738"/>
      <c r="CV123" s="738"/>
      <c r="CW123" s="738"/>
      <c r="CX123" s="738"/>
      <c r="CY123" s="738"/>
      <c r="CZ123" s="738"/>
      <c r="DA123" s="738"/>
      <c r="DB123" s="738"/>
      <c r="DC123" s="738"/>
      <c r="DD123" s="738"/>
      <c r="DE123" s="738"/>
      <c r="DF123" s="738"/>
      <c r="DG123" s="738"/>
      <c r="DH123" s="738"/>
      <c r="DI123" s="738"/>
      <c r="DJ123" s="738"/>
      <c r="DK123" s="738"/>
      <c r="DL123" s="738"/>
      <c r="DM123" s="738"/>
      <c r="DN123" s="738"/>
      <c r="DO123" s="738"/>
      <c r="DP123" s="738"/>
      <c r="DQ123" s="738"/>
      <c r="DR123" s="738"/>
      <c r="DS123" s="738"/>
      <c r="DT123" s="738"/>
      <c r="DU123" s="738"/>
      <c r="DV123" s="738"/>
      <c r="DW123" s="738"/>
      <c r="DX123" s="738"/>
      <c r="DY123" s="738"/>
      <c r="DZ123" s="738"/>
      <c r="EA123" s="738"/>
      <c r="EB123" s="738"/>
      <c r="EC123" s="738"/>
      <c r="ED123" s="738"/>
      <c r="EE123" s="738"/>
      <c r="EF123" s="738"/>
      <c r="EG123" s="738"/>
      <c r="EH123" s="738"/>
      <c r="EI123" s="738"/>
      <c r="EJ123" s="738"/>
      <c r="EK123" s="738"/>
      <c r="EL123" s="738"/>
      <c r="EM123" s="738"/>
      <c r="EN123" s="738"/>
      <c r="EO123" s="738"/>
      <c r="EP123" s="738"/>
      <c r="EQ123" s="738"/>
      <c r="ER123" s="738"/>
      <c r="ES123" s="738"/>
      <c r="ET123" s="738">
        <v>1</v>
      </c>
      <c r="EU123" s="738"/>
      <c r="EV123" s="738"/>
      <c r="EW123" s="738"/>
      <c r="EX123" s="738"/>
      <c r="EY123" s="738"/>
      <c r="EZ123" s="738"/>
      <c r="FA123" s="738"/>
      <c r="FB123" s="738"/>
      <c r="FC123" s="738"/>
      <c r="FD123" s="738"/>
      <c r="FE123" s="738"/>
      <c r="FF123" s="738"/>
      <c r="FG123" s="738"/>
      <c r="FH123" s="738"/>
      <c r="FI123" s="738"/>
      <c r="FJ123" s="738"/>
      <c r="FK123" s="738"/>
      <c r="FL123" s="738"/>
      <c r="FM123" s="738"/>
      <c r="FN123" s="738"/>
      <c r="FO123" s="738"/>
      <c r="FP123" s="738"/>
      <c r="FQ123" s="738"/>
      <c r="FR123" s="738"/>
      <c r="FS123" s="738"/>
      <c r="FT123" s="738"/>
      <c r="FU123" s="738"/>
      <c r="FV123" s="738"/>
      <c r="FW123" s="738"/>
      <c r="FX123" s="738"/>
      <c r="FY123" s="738"/>
      <c r="FZ123" s="738"/>
      <c r="GA123" s="738"/>
      <c r="GB123" s="738"/>
      <c r="GC123" s="738"/>
      <c r="GD123" s="738"/>
      <c r="GE123" s="738"/>
      <c r="GF123" s="738"/>
      <c r="GG123" s="738"/>
      <c r="GH123" s="738"/>
      <c r="GI123" s="738"/>
      <c r="GJ123" s="738"/>
      <c r="GK123" s="738"/>
      <c r="GL123" s="738"/>
      <c r="GM123" s="738"/>
      <c r="GN123" s="738"/>
      <c r="GO123" s="738"/>
      <c r="GP123" s="738"/>
      <c r="GQ123" s="738"/>
      <c r="GR123" s="769"/>
      <c r="GS123" s="769"/>
      <c r="GT123" s="769"/>
      <c r="GU123" s="769"/>
      <c r="GV123" s="769"/>
      <c r="GW123" s="863"/>
      <c r="GX123" s="863"/>
      <c r="GY123" s="863"/>
      <c r="GZ123" s="888"/>
      <c r="HA123" s="878" t="s">
        <v>1381</v>
      </c>
      <c r="HB123" s="864" t="s">
        <v>1382</v>
      </c>
      <c r="HC123" s="178"/>
      <c r="HD123" s="178"/>
      <c r="HE123" s="178"/>
      <c r="HF123" s="178"/>
      <c r="HG123" s="178"/>
      <c r="HH123" s="178"/>
      <c r="HI123" s="178"/>
      <c r="HJ123" s="178"/>
      <c r="HK123" s="178"/>
      <c r="HL123" s="178"/>
      <c r="HM123" s="178"/>
      <c r="HN123" s="178"/>
      <c r="HO123" s="178"/>
      <c r="HP123" s="178"/>
      <c r="HQ123" s="178"/>
      <c r="HR123" s="178"/>
      <c r="HS123" s="178"/>
      <c r="HT123" s="178"/>
      <c r="HU123" s="178"/>
      <c r="HV123" s="178"/>
      <c r="HW123" s="178"/>
      <c r="HX123" s="178"/>
      <c r="HY123" s="178"/>
      <c r="HZ123" s="178"/>
      <c r="IA123" s="178"/>
      <c r="IB123" s="178"/>
      <c r="IC123" s="178"/>
      <c r="ID123" s="178"/>
      <c r="IE123" s="178"/>
      <c r="IF123" s="178"/>
      <c r="IG123" s="178"/>
      <c r="IH123" s="178"/>
      <c r="II123" s="178"/>
      <c r="IJ123" s="178"/>
      <c r="IK123" s="178"/>
      <c r="IL123" s="178"/>
      <c r="IM123" s="178"/>
      <c r="IN123" s="178"/>
      <c r="IO123" s="178"/>
      <c r="IP123" s="178"/>
      <c r="IQ123" s="178"/>
      <c r="IR123" s="178"/>
      <c r="IS123" s="178"/>
      <c r="IT123" s="178"/>
      <c r="IU123" s="178"/>
      <c r="IV123" s="178"/>
      <c r="IW123" s="178"/>
      <c r="IX123" s="178"/>
      <c r="IY123" s="178"/>
      <c r="IZ123" s="178"/>
      <c r="JA123" s="178"/>
      <c r="JB123" s="178"/>
      <c r="JC123" s="178"/>
      <c r="JD123" s="178"/>
      <c r="JE123" s="178"/>
      <c r="JF123" s="178"/>
      <c r="JG123" s="178"/>
      <c r="JH123" s="178"/>
      <c r="JI123" s="178"/>
      <c r="JJ123" s="178"/>
      <c r="JK123" s="178"/>
      <c r="JL123" s="178"/>
      <c r="JM123" s="178"/>
      <c r="JN123" s="178"/>
      <c r="JO123" s="178"/>
      <c r="JP123" s="178"/>
      <c r="JQ123" s="178"/>
      <c r="JR123" s="178"/>
      <c r="JS123" s="178"/>
      <c r="JT123" s="178"/>
      <c r="JU123" s="178"/>
      <c r="JV123" s="178"/>
      <c r="JW123" s="178"/>
      <c r="JX123" s="178"/>
      <c r="JY123" s="178"/>
      <c r="JZ123" s="178"/>
      <c r="KA123" s="178"/>
    </row>
    <row r="124" spans="1:287" s="360" customFormat="1" ht="48.75" hidden="1" customHeight="1">
      <c r="A124" s="754"/>
      <c r="B124" s="1307" t="s">
        <v>1165</v>
      </c>
      <c r="C124" s="754" t="s">
        <v>1362</v>
      </c>
      <c r="D124" s="755" t="s">
        <v>1363</v>
      </c>
      <c r="E124" s="861">
        <f t="shared" si="76"/>
        <v>1</v>
      </c>
      <c r="F124" s="861"/>
      <c r="G124" s="861"/>
      <c r="H124" s="861"/>
      <c r="I124" s="861"/>
      <c r="J124" s="858">
        <v>0</v>
      </c>
      <c r="K124" s="858">
        <v>0</v>
      </c>
      <c r="L124" s="858">
        <v>0</v>
      </c>
      <c r="M124" s="858">
        <v>0</v>
      </c>
      <c r="N124" s="861">
        <f t="shared" ref="N124:N154" si="81">SUM(DS124:EW124)</f>
        <v>1</v>
      </c>
      <c r="O124" s="861">
        <f t="shared" si="77"/>
        <v>0</v>
      </c>
      <c r="P124" s="861">
        <f t="shared" si="78"/>
        <v>0</v>
      </c>
      <c r="Q124" s="861">
        <f t="shared" si="73"/>
        <v>0</v>
      </c>
      <c r="R124" s="861">
        <f t="shared" si="74"/>
        <v>0</v>
      </c>
      <c r="S124" s="861">
        <f t="shared" si="75"/>
        <v>0</v>
      </c>
      <c r="T124" s="861"/>
      <c r="U124" s="861"/>
      <c r="V124" s="769"/>
      <c r="W124" s="769"/>
      <c r="X124" s="769"/>
      <c r="Y124" s="769"/>
      <c r="Z124" s="769"/>
      <c r="AA124" s="769"/>
      <c r="AB124" s="769"/>
      <c r="AC124" s="769"/>
      <c r="AD124" s="769"/>
      <c r="AE124" s="769"/>
      <c r="AF124" s="769"/>
      <c r="AG124" s="769"/>
      <c r="AH124" s="769"/>
      <c r="AI124" s="769"/>
      <c r="AJ124" s="769"/>
      <c r="AK124" s="769"/>
      <c r="AL124" s="769"/>
      <c r="AM124" s="769"/>
      <c r="AN124" s="769"/>
      <c r="AO124" s="769"/>
      <c r="AP124" s="769"/>
      <c r="AQ124" s="769"/>
      <c r="AR124" s="769"/>
      <c r="AS124" s="769"/>
      <c r="AT124" s="738"/>
      <c r="AU124" s="738"/>
      <c r="AV124" s="738"/>
      <c r="AW124" s="738"/>
      <c r="AX124" s="738"/>
      <c r="AY124" s="738"/>
      <c r="AZ124" s="738"/>
      <c r="BA124" s="738"/>
      <c r="BB124" s="738"/>
      <c r="BC124" s="738"/>
      <c r="BD124" s="738"/>
      <c r="BE124" s="738"/>
      <c r="BF124" s="738"/>
      <c r="BG124" s="738"/>
      <c r="BH124" s="738"/>
      <c r="BI124" s="738"/>
      <c r="BJ124" s="738"/>
      <c r="BK124" s="738"/>
      <c r="BL124" s="738"/>
      <c r="BM124" s="738"/>
      <c r="BN124" s="738"/>
      <c r="BO124" s="738"/>
      <c r="BP124" s="738"/>
      <c r="BQ124" s="738"/>
      <c r="BR124" s="738"/>
      <c r="BS124" s="738"/>
      <c r="BT124" s="738"/>
      <c r="BU124" s="738"/>
      <c r="BV124" s="738"/>
      <c r="BW124" s="738"/>
      <c r="BX124" s="738"/>
      <c r="BY124" s="738"/>
      <c r="BZ124" s="738"/>
      <c r="CA124" s="738"/>
      <c r="CB124" s="738"/>
      <c r="CC124" s="738"/>
      <c r="CD124" s="738"/>
      <c r="CE124" s="738"/>
      <c r="CF124" s="738"/>
      <c r="CG124" s="738"/>
      <c r="CH124" s="738"/>
      <c r="CI124" s="738"/>
      <c r="CJ124" s="738"/>
      <c r="CK124" s="738"/>
      <c r="CL124" s="738"/>
      <c r="CM124" s="738"/>
      <c r="CN124" s="738"/>
      <c r="CO124" s="738"/>
      <c r="CP124" s="738"/>
      <c r="CQ124" s="738"/>
      <c r="CR124" s="738"/>
      <c r="CS124" s="738"/>
      <c r="CT124" s="738"/>
      <c r="CU124" s="738"/>
      <c r="CV124" s="738"/>
      <c r="CW124" s="738"/>
      <c r="CX124" s="738"/>
      <c r="CY124" s="738"/>
      <c r="CZ124" s="738"/>
      <c r="DA124" s="738"/>
      <c r="DB124" s="738"/>
      <c r="DC124" s="738"/>
      <c r="DD124" s="738"/>
      <c r="DE124" s="738"/>
      <c r="DF124" s="738"/>
      <c r="DG124" s="738"/>
      <c r="DH124" s="738"/>
      <c r="DI124" s="738"/>
      <c r="DJ124" s="738"/>
      <c r="DK124" s="738"/>
      <c r="DL124" s="738"/>
      <c r="DM124" s="738"/>
      <c r="DN124" s="738"/>
      <c r="DO124" s="738"/>
      <c r="DP124" s="738"/>
      <c r="DQ124" s="738"/>
      <c r="DR124" s="738"/>
      <c r="DS124" s="738"/>
      <c r="DT124" s="738"/>
      <c r="DU124" s="738"/>
      <c r="DV124" s="738"/>
      <c r="DW124" s="738"/>
      <c r="DX124" s="738"/>
      <c r="DY124" s="738"/>
      <c r="DZ124" s="738"/>
      <c r="EA124" s="738"/>
      <c r="EB124" s="738"/>
      <c r="EC124" s="738"/>
      <c r="ED124" s="738"/>
      <c r="EE124" s="738"/>
      <c r="EF124" s="738"/>
      <c r="EG124" s="738"/>
      <c r="EH124" s="738"/>
      <c r="EI124" s="738"/>
      <c r="EJ124" s="738"/>
      <c r="EK124" s="738"/>
      <c r="EL124" s="738"/>
      <c r="EM124" s="738"/>
      <c r="EN124" s="738">
        <v>1</v>
      </c>
      <c r="EO124" s="738"/>
      <c r="EP124" s="738"/>
      <c r="EQ124" s="738"/>
      <c r="ER124" s="738"/>
      <c r="ES124" s="738"/>
      <c r="ET124" s="738"/>
      <c r="EU124" s="738"/>
      <c r="EV124" s="738"/>
      <c r="EW124" s="738"/>
      <c r="EX124" s="738"/>
      <c r="EY124" s="738"/>
      <c r="EZ124" s="738"/>
      <c r="FA124" s="738"/>
      <c r="FB124" s="738"/>
      <c r="FC124" s="738"/>
      <c r="FD124" s="738"/>
      <c r="FE124" s="738"/>
      <c r="FF124" s="738"/>
      <c r="FG124" s="738"/>
      <c r="FH124" s="738"/>
      <c r="FI124" s="738"/>
      <c r="FJ124" s="738"/>
      <c r="FK124" s="738"/>
      <c r="FL124" s="738"/>
      <c r="FM124" s="738"/>
      <c r="FN124" s="738"/>
      <c r="FO124" s="738"/>
      <c r="FP124" s="738"/>
      <c r="FQ124" s="738"/>
      <c r="FR124" s="738"/>
      <c r="FS124" s="738"/>
      <c r="FT124" s="738"/>
      <c r="FU124" s="738"/>
      <c r="FV124" s="738"/>
      <c r="FW124" s="738"/>
      <c r="FX124" s="738"/>
      <c r="FY124" s="738"/>
      <c r="FZ124" s="738"/>
      <c r="GA124" s="738"/>
      <c r="GB124" s="738"/>
      <c r="GC124" s="738"/>
      <c r="GD124" s="738"/>
      <c r="GE124" s="738"/>
      <c r="GF124" s="738"/>
      <c r="GG124" s="738"/>
      <c r="GH124" s="738"/>
      <c r="GI124" s="738"/>
      <c r="GJ124" s="738"/>
      <c r="GK124" s="738"/>
      <c r="GL124" s="738"/>
      <c r="GM124" s="738"/>
      <c r="GN124" s="738"/>
      <c r="GO124" s="738"/>
      <c r="GP124" s="738"/>
      <c r="GQ124" s="738"/>
      <c r="GR124" s="769"/>
      <c r="GS124" s="769"/>
      <c r="GT124" s="769"/>
      <c r="GU124" s="769"/>
      <c r="GV124" s="769"/>
      <c r="GW124" s="863"/>
      <c r="GX124" s="863"/>
      <c r="GY124" s="863"/>
      <c r="GZ124" s="888"/>
      <c r="HA124" s="888"/>
      <c r="HB124" s="864" t="s">
        <v>1368</v>
      </c>
      <c r="HC124" s="178"/>
      <c r="HD124" s="178"/>
      <c r="HE124" s="178"/>
      <c r="HF124" s="178"/>
      <c r="HG124" s="178"/>
      <c r="HH124" s="178"/>
      <c r="HI124" s="178"/>
      <c r="HJ124" s="178"/>
      <c r="HK124" s="178"/>
      <c r="HL124" s="178"/>
      <c r="HM124" s="178"/>
      <c r="HN124" s="178"/>
      <c r="HO124" s="178"/>
      <c r="HP124" s="178"/>
      <c r="HQ124" s="178"/>
      <c r="HR124" s="178"/>
      <c r="HS124" s="178"/>
      <c r="HT124" s="178"/>
      <c r="HU124" s="178"/>
      <c r="HV124" s="178"/>
      <c r="HW124" s="178"/>
      <c r="HX124" s="178"/>
      <c r="HY124" s="178"/>
      <c r="HZ124" s="178"/>
      <c r="IA124" s="178"/>
      <c r="IB124" s="178"/>
      <c r="IC124" s="178"/>
      <c r="ID124" s="178"/>
      <c r="IE124" s="178"/>
      <c r="IF124" s="178"/>
      <c r="IG124" s="178"/>
      <c r="IH124" s="178"/>
      <c r="II124" s="178"/>
      <c r="IJ124" s="178"/>
      <c r="IK124" s="178"/>
      <c r="IL124" s="178"/>
      <c r="IM124" s="178"/>
      <c r="IN124" s="178"/>
      <c r="IO124" s="178"/>
      <c r="IP124" s="178"/>
      <c r="IQ124" s="178"/>
      <c r="IR124" s="178"/>
      <c r="IS124" s="178"/>
      <c r="IT124" s="178"/>
      <c r="IU124" s="178"/>
      <c r="IV124" s="178"/>
      <c r="IW124" s="178"/>
      <c r="IX124" s="178"/>
      <c r="IY124" s="178"/>
      <c r="IZ124" s="178"/>
      <c r="JA124" s="178"/>
      <c r="JB124" s="178"/>
      <c r="JC124" s="178"/>
      <c r="JD124" s="178"/>
      <c r="JE124" s="178"/>
      <c r="JF124" s="178"/>
      <c r="JG124" s="178"/>
      <c r="JH124" s="178"/>
      <c r="JI124" s="178"/>
      <c r="JJ124" s="178"/>
      <c r="JK124" s="178"/>
      <c r="JL124" s="178"/>
      <c r="JM124" s="178"/>
      <c r="JN124" s="178"/>
      <c r="JO124" s="178"/>
      <c r="JP124" s="178"/>
      <c r="JQ124" s="178"/>
      <c r="JR124" s="178"/>
      <c r="JS124" s="178"/>
      <c r="JT124" s="178"/>
      <c r="JU124" s="178"/>
      <c r="JV124" s="178"/>
      <c r="JW124" s="178"/>
      <c r="JX124" s="178"/>
      <c r="JY124" s="178"/>
      <c r="JZ124" s="178"/>
      <c r="KA124" s="178"/>
    </row>
    <row r="125" spans="1:287" s="360" customFormat="1" ht="78" hidden="1" customHeight="1">
      <c r="A125" s="754"/>
      <c r="B125" s="1250" t="s">
        <v>1354</v>
      </c>
      <c r="C125" s="754" t="s">
        <v>1353</v>
      </c>
      <c r="D125" s="755" t="s">
        <v>1355</v>
      </c>
      <c r="E125" s="861">
        <f t="shared" si="76"/>
        <v>1</v>
      </c>
      <c r="F125" s="861"/>
      <c r="G125" s="861"/>
      <c r="H125" s="861"/>
      <c r="I125" s="861"/>
      <c r="J125" s="858">
        <v>0</v>
      </c>
      <c r="K125" s="858">
        <v>0</v>
      </c>
      <c r="L125" s="858">
        <v>0</v>
      </c>
      <c r="M125" s="858">
        <v>0</v>
      </c>
      <c r="N125" s="861">
        <f t="shared" si="81"/>
        <v>1</v>
      </c>
      <c r="O125" s="861">
        <f t="shared" si="77"/>
        <v>0</v>
      </c>
      <c r="P125" s="861">
        <f t="shared" si="78"/>
        <v>0</v>
      </c>
      <c r="Q125" s="861">
        <f t="shared" si="73"/>
        <v>0</v>
      </c>
      <c r="R125" s="861">
        <f t="shared" si="74"/>
        <v>0</v>
      </c>
      <c r="S125" s="861">
        <f t="shared" si="75"/>
        <v>0</v>
      </c>
      <c r="T125" s="861"/>
      <c r="U125" s="861"/>
      <c r="V125" s="769"/>
      <c r="W125" s="769"/>
      <c r="X125" s="769"/>
      <c r="Y125" s="769"/>
      <c r="Z125" s="769"/>
      <c r="AA125" s="769"/>
      <c r="AB125" s="769"/>
      <c r="AC125" s="769"/>
      <c r="AD125" s="769"/>
      <c r="AE125" s="769"/>
      <c r="AF125" s="769"/>
      <c r="AG125" s="769"/>
      <c r="AH125" s="769"/>
      <c r="AI125" s="769"/>
      <c r="AJ125" s="769"/>
      <c r="AK125" s="769"/>
      <c r="AL125" s="769"/>
      <c r="AM125" s="769"/>
      <c r="AN125" s="769"/>
      <c r="AO125" s="769"/>
      <c r="AP125" s="769"/>
      <c r="AQ125" s="769"/>
      <c r="AR125" s="769"/>
      <c r="AS125" s="769"/>
      <c r="AT125" s="738"/>
      <c r="AU125" s="738"/>
      <c r="AV125" s="738"/>
      <c r="AW125" s="738"/>
      <c r="AX125" s="738"/>
      <c r="AY125" s="738"/>
      <c r="AZ125" s="738"/>
      <c r="BA125" s="738"/>
      <c r="BB125" s="738"/>
      <c r="BC125" s="738"/>
      <c r="BD125" s="738"/>
      <c r="BE125" s="738"/>
      <c r="BF125" s="738"/>
      <c r="BG125" s="738"/>
      <c r="BH125" s="738"/>
      <c r="BI125" s="738"/>
      <c r="BJ125" s="738"/>
      <c r="BK125" s="738"/>
      <c r="BL125" s="738"/>
      <c r="BM125" s="738"/>
      <c r="BN125" s="738"/>
      <c r="BO125" s="738"/>
      <c r="BP125" s="738"/>
      <c r="BQ125" s="738"/>
      <c r="BR125" s="738"/>
      <c r="BS125" s="738"/>
      <c r="BT125" s="738"/>
      <c r="BU125" s="738"/>
      <c r="BV125" s="738"/>
      <c r="BW125" s="738"/>
      <c r="BX125" s="738"/>
      <c r="BY125" s="738"/>
      <c r="BZ125" s="738"/>
      <c r="CA125" s="738"/>
      <c r="CB125" s="738"/>
      <c r="CC125" s="738"/>
      <c r="CD125" s="738"/>
      <c r="CE125" s="738"/>
      <c r="CF125" s="738"/>
      <c r="CG125" s="738"/>
      <c r="CH125" s="738"/>
      <c r="CI125" s="738"/>
      <c r="CJ125" s="738"/>
      <c r="CK125" s="738"/>
      <c r="CL125" s="738"/>
      <c r="CM125" s="738"/>
      <c r="CN125" s="738"/>
      <c r="CO125" s="738"/>
      <c r="CP125" s="738"/>
      <c r="CQ125" s="738"/>
      <c r="CR125" s="738"/>
      <c r="CS125" s="738"/>
      <c r="CT125" s="738"/>
      <c r="CU125" s="738"/>
      <c r="CV125" s="738"/>
      <c r="CW125" s="738"/>
      <c r="CX125" s="738"/>
      <c r="CY125" s="738"/>
      <c r="CZ125" s="738"/>
      <c r="DA125" s="738"/>
      <c r="DB125" s="738"/>
      <c r="DC125" s="738"/>
      <c r="DD125" s="738"/>
      <c r="DE125" s="738"/>
      <c r="DF125" s="738"/>
      <c r="DG125" s="738"/>
      <c r="DH125" s="738"/>
      <c r="DI125" s="738"/>
      <c r="DJ125" s="738"/>
      <c r="DK125" s="738"/>
      <c r="DL125" s="738"/>
      <c r="DM125" s="738"/>
      <c r="DN125" s="738"/>
      <c r="DO125" s="738"/>
      <c r="DP125" s="738"/>
      <c r="DQ125" s="738"/>
      <c r="DR125" s="738"/>
      <c r="DS125" s="738"/>
      <c r="DT125" s="738"/>
      <c r="DU125" s="738"/>
      <c r="DV125" s="738"/>
      <c r="DW125" s="738"/>
      <c r="DX125" s="738"/>
      <c r="DY125" s="738"/>
      <c r="DZ125" s="738"/>
      <c r="EA125" s="738"/>
      <c r="EB125" s="738"/>
      <c r="EC125" s="738"/>
      <c r="ED125" s="738"/>
      <c r="EE125" s="738"/>
      <c r="EF125" s="738"/>
      <c r="EG125" s="738">
        <v>1</v>
      </c>
      <c r="EH125" s="738"/>
      <c r="EI125" s="738"/>
      <c r="EJ125" s="738"/>
      <c r="EK125" s="738"/>
      <c r="EL125" s="738"/>
      <c r="EM125" s="738"/>
      <c r="EN125" s="738"/>
      <c r="EO125" s="738"/>
      <c r="EP125" s="738"/>
      <c r="EQ125" s="738"/>
      <c r="ER125" s="738"/>
      <c r="ES125" s="738"/>
      <c r="ET125" s="738"/>
      <c r="EU125" s="738"/>
      <c r="EV125" s="738"/>
      <c r="EW125" s="738"/>
      <c r="EX125" s="738"/>
      <c r="EY125" s="738"/>
      <c r="EZ125" s="738"/>
      <c r="FA125" s="738"/>
      <c r="FB125" s="738"/>
      <c r="FC125" s="738"/>
      <c r="FD125" s="738"/>
      <c r="FE125" s="738"/>
      <c r="FF125" s="738"/>
      <c r="FG125" s="738"/>
      <c r="FH125" s="738"/>
      <c r="FI125" s="738"/>
      <c r="FJ125" s="738"/>
      <c r="FK125" s="738"/>
      <c r="FL125" s="738"/>
      <c r="FM125" s="738"/>
      <c r="FN125" s="738"/>
      <c r="FO125" s="738"/>
      <c r="FP125" s="738"/>
      <c r="FQ125" s="738"/>
      <c r="FR125" s="738"/>
      <c r="FS125" s="738"/>
      <c r="FT125" s="738"/>
      <c r="FU125" s="738"/>
      <c r="FV125" s="738"/>
      <c r="FW125" s="738"/>
      <c r="FX125" s="738"/>
      <c r="FY125" s="738"/>
      <c r="FZ125" s="738"/>
      <c r="GA125" s="738"/>
      <c r="GB125" s="738"/>
      <c r="GC125" s="738"/>
      <c r="GD125" s="738"/>
      <c r="GE125" s="738"/>
      <c r="GF125" s="738"/>
      <c r="GG125" s="738"/>
      <c r="GH125" s="738"/>
      <c r="GI125" s="738"/>
      <c r="GJ125" s="738"/>
      <c r="GK125" s="738"/>
      <c r="GL125" s="738"/>
      <c r="GM125" s="738"/>
      <c r="GN125" s="738"/>
      <c r="GO125" s="738"/>
      <c r="GP125" s="738"/>
      <c r="GQ125" s="738"/>
      <c r="GR125" s="769"/>
      <c r="GS125" s="769"/>
      <c r="GT125" s="769"/>
      <c r="GU125" s="769"/>
      <c r="GV125" s="769"/>
      <c r="GW125" s="863"/>
      <c r="GX125" s="863" t="s">
        <v>1356</v>
      </c>
      <c r="GY125" s="863"/>
      <c r="GZ125" s="888"/>
      <c r="HA125" s="888"/>
      <c r="HB125" s="872" t="s">
        <v>1357</v>
      </c>
      <c r="HC125" s="178"/>
      <c r="HD125" s="178"/>
      <c r="HE125" s="178"/>
      <c r="HF125" s="178"/>
      <c r="HG125" s="178"/>
      <c r="HH125" s="178"/>
      <c r="HI125" s="178"/>
      <c r="HJ125" s="178"/>
      <c r="HK125" s="178"/>
      <c r="HL125" s="178"/>
      <c r="HM125" s="178"/>
      <c r="HN125" s="178"/>
      <c r="HO125" s="178"/>
      <c r="HP125" s="178"/>
      <c r="HQ125" s="178"/>
      <c r="HR125" s="178"/>
      <c r="HS125" s="178"/>
      <c r="HT125" s="178"/>
      <c r="HU125" s="178"/>
      <c r="HV125" s="178"/>
      <c r="HW125" s="178"/>
      <c r="HX125" s="178"/>
      <c r="HY125" s="178"/>
      <c r="HZ125" s="178"/>
      <c r="IA125" s="178"/>
      <c r="IB125" s="178"/>
      <c r="IC125" s="178"/>
      <c r="ID125" s="178"/>
      <c r="IE125" s="178"/>
      <c r="IF125" s="178"/>
      <c r="IG125" s="178"/>
      <c r="IH125" s="178"/>
      <c r="II125" s="178"/>
      <c r="IJ125" s="178"/>
      <c r="IK125" s="178"/>
      <c r="IL125" s="178"/>
      <c r="IM125" s="178"/>
      <c r="IN125" s="178"/>
      <c r="IO125" s="178"/>
      <c r="IP125" s="178"/>
      <c r="IQ125" s="178"/>
      <c r="IR125" s="178"/>
      <c r="IS125" s="178"/>
      <c r="IT125" s="178"/>
      <c r="IU125" s="178"/>
      <c r="IV125" s="178"/>
      <c r="IW125" s="178"/>
      <c r="IX125" s="178"/>
      <c r="IY125" s="178"/>
      <c r="IZ125" s="178"/>
      <c r="JA125" s="178"/>
      <c r="JB125" s="178"/>
      <c r="JC125" s="178"/>
      <c r="JD125" s="178"/>
      <c r="JE125" s="178"/>
      <c r="JF125" s="178"/>
      <c r="JG125" s="178"/>
      <c r="JH125" s="178"/>
      <c r="JI125" s="178"/>
      <c r="JJ125" s="178"/>
      <c r="JK125" s="178"/>
      <c r="JL125" s="178"/>
      <c r="JM125" s="178"/>
      <c r="JN125" s="178"/>
      <c r="JO125" s="178"/>
      <c r="JP125" s="178"/>
      <c r="JQ125" s="178"/>
      <c r="JR125" s="178"/>
      <c r="JS125" s="178"/>
      <c r="JT125" s="178"/>
      <c r="JU125" s="178"/>
      <c r="JV125" s="178"/>
      <c r="JW125" s="178"/>
      <c r="JX125" s="178"/>
      <c r="JY125" s="178"/>
      <c r="JZ125" s="178"/>
      <c r="KA125" s="178"/>
    </row>
    <row r="126" spans="1:287" s="360" customFormat="1" ht="110.25" hidden="1" customHeight="1">
      <c r="A126" s="217">
        <v>50</v>
      </c>
      <c r="B126" s="1611" t="s">
        <v>911</v>
      </c>
      <c r="C126" s="217" t="s">
        <v>843</v>
      </c>
      <c r="D126" s="85" t="s">
        <v>913</v>
      </c>
      <c r="E126" s="861">
        <f t="shared" si="76"/>
        <v>0</v>
      </c>
      <c r="F126" s="377">
        <v>0</v>
      </c>
      <c r="G126" s="377">
        <v>0</v>
      </c>
      <c r="H126" s="377">
        <v>0</v>
      </c>
      <c r="I126" s="377">
        <v>0</v>
      </c>
      <c r="J126" s="858">
        <f t="shared" si="51"/>
        <v>0</v>
      </c>
      <c r="K126" s="861">
        <f t="shared" si="52"/>
        <v>0</v>
      </c>
      <c r="L126" s="861">
        <f t="shared" si="53"/>
        <v>0</v>
      </c>
      <c r="M126" s="858">
        <f t="shared" si="54"/>
        <v>0</v>
      </c>
      <c r="N126" s="861">
        <f t="shared" si="81"/>
        <v>0</v>
      </c>
      <c r="O126" s="861">
        <f t="shared" si="77"/>
        <v>0</v>
      </c>
      <c r="P126" s="861">
        <f t="shared" si="78"/>
        <v>0</v>
      </c>
      <c r="Q126" s="861">
        <f t="shared" si="73"/>
        <v>0</v>
      </c>
      <c r="R126" s="861">
        <f t="shared" si="74"/>
        <v>0</v>
      </c>
      <c r="S126" s="861">
        <f t="shared" si="75"/>
        <v>0</v>
      </c>
      <c r="T126" s="861"/>
      <c r="U126" s="861"/>
      <c r="V126" s="271"/>
      <c r="W126" s="271"/>
      <c r="X126" s="271"/>
      <c r="Y126" s="271"/>
      <c r="Z126" s="271"/>
      <c r="AA126" s="271"/>
      <c r="AB126" s="271"/>
      <c r="AC126" s="271"/>
      <c r="AD126" s="271"/>
      <c r="AE126" s="738"/>
      <c r="AF126" s="738"/>
      <c r="AG126" s="738"/>
      <c r="AH126" s="738"/>
      <c r="AI126" s="738"/>
      <c r="AJ126" s="738"/>
      <c r="AK126" s="738"/>
      <c r="AL126" s="738"/>
      <c r="AM126" s="738"/>
      <c r="AN126" s="738"/>
      <c r="AO126" s="738"/>
      <c r="AP126" s="738"/>
      <c r="AQ126" s="738"/>
      <c r="AR126" s="738"/>
      <c r="AS126" s="738"/>
      <c r="AT126" s="738"/>
      <c r="AU126" s="738"/>
      <c r="AV126" s="738"/>
      <c r="AW126" s="738"/>
      <c r="AX126" s="738"/>
      <c r="AY126" s="738"/>
      <c r="AZ126" s="738"/>
      <c r="BA126" s="738"/>
      <c r="BB126" s="738"/>
      <c r="BC126" s="738"/>
      <c r="BD126" s="271"/>
      <c r="BE126" s="271"/>
      <c r="BF126" s="738"/>
      <c r="BG126" s="271"/>
      <c r="BH126" s="271"/>
      <c r="BI126" s="738"/>
      <c r="BJ126" s="738"/>
      <c r="BK126" s="738"/>
      <c r="BL126" s="738"/>
      <c r="BM126" s="738"/>
      <c r="BN126" s="271"/>
      <c r="BO126" s="271"/>
      <c r="BP126" s="271"/>
      <c r="BQ126" s="271"/>
      <c r="BR126" s="738"/>
      <c r="BS126" s="738"/>
      <c r="BT126" s="738"/>
      <c r="BU126" s="738"/>
      <c r="BV126" s="738"/>
      <c r="BW126" s="738"/>
      <c r="BX126" s="738"/>
      <c r="BY126" s="738"/>
      <c r="BZ126" s="738"/>
      <c r="CA126" s="738"/>
      <c r="CB126" s="271"/>
      <c r="CC126" s="738"/>
      <c r="CD126" s="738"/>
      <c r="CE126" s="738"/>
      <c r="CF126" s="271"/>
      <c r="CG126" s="271"/>
      <c r="CH126" s="738"/>
      <c r="CI126" s="271"/>
      <c r="CJ126" s="738"/>
      <c r="CK126" s="738"/>
      <c r="CL126" s="271"/>
      <c r="CM126" s="271"/>
      <c r="CN126" s="271"/>
      <c r="CO126" s="738"/>
      <c r="CP126" s="271"/>
      <c r="CQ126" s="738"/>
      <c r="CR126" s="738"/>
      <c r="CS126" s="738"/>
      <c r="CT126" s="738"/>
      <c r="CU126" s="738"/>
      <c r="CV126" s="738"/>
      <c r="CW126" s="738"/>
      <c r="CX126" s="738"/>
      <c r="CY126" s="738"/>
      <c r="CZ126" s="738"/>
      <c r="DA126" s="738"/>
      <c r="DB126" s="271"/>
      <c r="DC126" s="271"/>
      <c r="DD126" s="271"/>
      <c r="DE126" s="738"/>
      <c r="DF126" s="738"/>
      <c r="DG126" s="271"/>
      <c r="DH126" s="738"/>
      <c r="DI126" s="738"/>
      <c r="DJ126" s="738"/>
      <c r="DK126" s="271"/>
      <c r="DL126" s="738"/>
      <c r="DM126" s="738"/>
      <c r="DN126" s="271"/>
      <c r="DO126" s="271"/>
      <c r="DP126" s="738"/>
      <c r="DQ126" s="738"/>
      <c r="DR126" s="271"/>
      <c r="DS126" s="738"/>
      <c r="DT126" s="738"/>
      <c r="DU126" s="738"/>
      <c r="DV126" s="271"/>
      <c r="DW126" s="271"/>
      <c r="DX126" s="271"/>
      <c r="DY126" s="271"/>
      <c r="DZ126" s="738"/>
      <c r="EA126" s="738"/>
      <c r="EB126" s="271"/>
      <c r="EC126" s="271"/>
      <c r="ED126" s="271"/>
      <c r="EE126" s="271"/>
      <c r="EF126" s="271"/>
      <c r="EG126" s="738"/>
      <c r="EH126" s="738"/>
      <c r="EI126" s="738"/>
      <c r="EJ126" s="271"/>
      <c r="EK126" s="271"/>
      <c r="EL126" s="738"/>
      <c r="EM126" s="738"/>
      <c r="EN126" s="738"/>
      <c r="EO126" s="738"/>
      <c r="EP126" s="738"/>
      <c r="EQ126" s="738"/>
      <c r="ER126" s="271"/>
      <c r="ES126" s="271"/>
      <c r="ET126" s="271"/>
      <c r="EU126" s="738"/>
      <c r="EV126" s="738"/>
      <c r="EW126" s="271"/>
      <c r="EX126" s="271"/>
      <c r="EY126" s="271"/>
      <c r="EZ126" s="271"/>
      <c r="FA126" s="738"/>
      <c r="FB126" s="738"/>
      <c r="FC126" s="738"/>
      <c r="FD126" s="271"/>
      <c r="FE126" s="271"/>
      <c r="FF126" s="271"/>
      <c r="FG126" s="271"/>
      <c r="FH126" s="271"/>
      <c r="FI126" s="738"/>
      <c r="FJ126" s="738"/>
      <c r="FK126" s="738"/>
      <c r="FL126" s="271"/>
      <c r="FM126" s="271"/>
      <c r="FN126" s="738"/>
      <c r="FO126" s="271"/>
      <c r="FP126" s="738"/>
      <c r="FQ126" s="738"/>
      <c r="FR126" s="738"/>
      <c r="FS126" s="271"/>
      <c r="FT126" s="271"/>
      <c r="FU126" s="738"/>
      <c r="FV126" s="271"/>
      <c r="FW126" s="738"/>
      <c r="FX126" s="271"/>
      <c r="FY126" s="738"/>
      <c r="FZ126" s="738"/>
      <c r="GA126" s="738"/>
      <c r="GB126" s="738"/>
      <c r="GC126" s="738"/>
      <c r="GD126" s="738"/>
      <c r="GE126" s="738"/>
      <c r="GF126" s="271"/>
      <c r="GG126" s="738"/>
      <c r="GH126" s="271"/>
      <c r="GI126" s="738"/>
      <c r="GJ126" s="271"/>
      <c r="GK126" s="738"/>
      <c r="GL126" s="738"/>
      <c r="GM126" s="738"/>
      <c r="GN126" s="738"/>
      <c r="GO126" s="271"/>
      <c r="GP126" s="271"/>
      <c r="GQ126" s="271"/>
      <c r="GR126" s="271"/>
      <c r="GS126" s="271"/>
      <c r="GT126" s="271"/>
      <c r="GU126" s="271"/>
      <c r="GV126" s="271"/>
      <c r="GW126" s="269" t="s">
        <v>914</v>
      </c>
      <c r="GX126" s="269" t="s">
        <v>915</v>
      </c>
      <c r="GY126" s="269" t="s">
        <v>916</v>
      </c>
      <c r="GZ126" s="424"/>
      <c r="HA126" s="426" t="s">
        <v>123</v>
      </c>
      <c r="HB126" s="251" t="s">
        <v>871</v>
      </c>
      <c r="HC126" s="178"/>
      <c r="HD126" s="178"/>
      <c r="HE126" s="178"/>
      <c r="HF126" s="178"/>
      <c r="HG126" s="178"/>
      <c r="HH126" s="178"/>
      <c r="HI126" s="178"/>
      <c r="HJ126" s="178"/>
      <c r="HK126" s="178"/>
      <c r="HL126" s="178"/>
      <c r="HM126" s="178"/>
      <c r="HN126" s="178"/>
      <c r="HO126" s="178"/>
      <c r="HP126" s="178"/>
      <c r="HQ126" s="178"/>
      <c r="HR126" s="178"/>
      <c r="HS126" s="178"/>
      <c r="HT126" s="178"/>
      <c r="HU126" s="178"/>
      <c r="HV126" s="178"/>
      <c r="HW126" s="178"/>
      <c r="HX126" s="178"/>
      <c r="HY126" s="178"/>
      <c r="HZ126" s="178"/>
      <c r="IA126" s="178"/>
      <c r="IB126" s="178"/>
      <c r="IC126" s="178"/>
      <c r="ID126" s="178"/>
      <c r="IE126" s="178"/>
      <c r="IF126" s="178"/>
      <c r="IG126" s="178"/>
      <c r="IH126" s="178"/>
      <c r="II126" s="178"/>
      <c r="IJ126" s="178"/>
      <c r="IK126" s="178"/>
      <c r="IL126" s="178"/>
      <c r="IM126" s="178"/>
      <c r="IN126" s="178"/>
      <c r="IO126" s="178"/>
      <c r="IP126" s="178"/>
      <c r="IQ126" s="178"/>
      <c r="IR126" s="178"/>
      <c r="IS126" s="178"/>
      <c r="IT126" s="178"/>
      <c r="IU126" s="178"/>
      <c r="IV126" s="178"/>
      <c r="IW126" s="178"/>
      <c r="IX126" s="178"/>
      <c r="IY126" s="178"/>
      <c r="IZ126" s="178"/>
      <c r="JA126" s="178"/>
      <c r="JB126" s="178"/>
      <c r="JC126" s="178"/>
      <c r="JD126" s="178"/>
      <c r="JE126" s="178"/>
      <c r="JF126" s="178"/>
      <c r="JG126" s="178"/>
      <c r="JH126" s="178"/>
      <c r="JI126" s="178"/>
      <c r="JJ126" s="178"/>
      <c r="JK126" s="178"/>
      <c r="JL126" s="178"/>
      <c r="JM126" s="178"/>
      <c r="JN126" s="178"/>
      <c r="JO126" s="178"/>
      <c r="JP126" s="178"/>
      <c r="JQ126" s="178"/>
      <c r="JR126" s="178"/>
      <c r="JS126" s="178"/>
      <c r="JT126" s="178"/>
      <c r="JU126" s="178"/>
      <c r="JV126" s="178"/>
      <c r="JW126" s="178"/>
      <c r="JX126" s="178"/>
      <c r="JY126" s="178"/>
      <c r="JZ126" s="178"/>
      <c r="KA126" s="178"/>
    </row>
    <row r="127" spans="1:287" s="360" customFormat="1" ht="110.25" hidden="1" customHeight="1">
      <c r="A127" s="754"/>
      <c r="B127" s="1600"/>
      <c r="C127" s="754" t="s">
        <v>1376</v>
      </c>
      <c r="D127" s="755" t="s">
        <v>1440</v>
      </c>
      <c r="E127" s="858">
        <f t="shared" si="76"/>
        <v>2</v>
      </c>
      <c r="F127" s="858">
        <v>0</v>
      </c>
      <c r="G127" s="858">
        <v>0</v>
      </c>
      <c r="H127" s="858">
        <v>0</v>
      </c>
      <c r="I127" s="858">
        <v>0</v>
      </c>
      <c r="J127" s="858">
        <v>0</v>
      </c>
      <c r="K127" s="858">
        <v>0</v>
      </c>
      <c r="L127" s="858">
        <v>0</v>
      </c>
      <c r="M127" s="858">
        <v>0</v>
      </c>
      <c r="N127" s="858">
        <f t="shared" si="81"/>
        <v>1</v>
      </c>
      <c r="O127" s="858">
        <f t="shared" si="77"/>
        <v>0</v>
      </c>
      <c r="P127" s="858">
        <f t="shared" si="78"/>
        <v>1</v>
      </c>
      <c r="Q127" s="861">
        <f t="shared" si="73"/>
        <v>0</v>
      </c>
      <c r="R127" s="861">
        <f t="shared" si="74"/>
        <v>1</v>
      </c>
      <c r="S127" s="861">
        <f t="shared" si="75"/>
        <v>0</v>
      </c>
      <c r="T127" s="858"/>
      <c r="U127" s="858"/>
      <c r="V127" s="769"/>
      <c r="W127" s="769"/>
      <c r="X127" s="769"/>
      <c r="Y127" s="769"/>
      <c r="Z127" s="769"/>
      <c r="AA127" s="769"/>
      <c r="AB127" s="769"/>
      <c r="AC127" s="769"/>
      <c r="AD127" s="769"/>
      <c r="AE127" s="769"/>
      <c r="AF127" s="769"/>
      <c r="AG127" s="769"/>
      <c r="AH127" s="769"/>
      <c r="AI127" s="769"/>
      <c r="AJ127" s="769"/>
      <c r="AK127" s="769"/>
      <c r="AL127" s="769"/>
      <c r="AM127" s="769"/>
      <c r="AN127" s="769"/>
      <c r="AO127" s="769"/>
      <c r="AP127" s="769"/>
      <c r="AQ127" s="769"/>
      <c r="AR127" s="769"/>
      <c r="AS127" s="769"/>
      <c r="AT127" s="769"/>
      <c r="AU127" s="769"/>
      <c r="AV127" s="769"/>
      <c r="AW127" s="769"/>
      <c r="AX127" s="769"/>
      <c r="AY127" s="769"/>
      <c r="AZ127" s="769"/>
      <c r="BA127" s="769"/>
      <c r="BB127" s="769"/>
      <c r="BC127" s="769"/>
      <c r="BD127" s="769"/>
      <c r="BE127" s="769"/>
      <c r="BF127" s="769"/>
      <c r="BG127" s="769"/>
      <c r="BH127" s="769"/>
      <c r="BI127" s="769"/>
      <c r="BJ127" s="769"/>
      <c r="BK127" s="769"/>
      <c r="BL127" s="769"/>
      <c r="BM127" s="769"/>
      <c r="BN127" s="769"/>
      <c r="BO127" s="769"/>
      <c r="BP127" s="769"/>
      <c r="BQ127" s="769"/>
      <c r="BR127" s="769"/>
      <c r="BS127" s="769"/>
      <c r="BT127" s="769"/>
      <c r="BU127" s="769"/>
      <c r="BV127" s="769"/>
      <c r="BW127" s="769"/>
      <c r="BX127" s="769"/>
      <c r="BY127" s="769"/>
      <c r="BZ127" s="769"/>
      <c r="CA127" s="769"/>
      <c r="CB127" s="769"/>
      <c r="CC127" s="769"/>
      <c r="CD127" s="769"/>
      <c r="CE127" s="769"/>
      <c r="CF127" s="769"/>
      <c r="CG127" s="769"/>
      <c r="CH127" s="769"/>
      <c r="CI127" s="769"/>
      <c r="CJ127" s="769"/>
      <c r="CK127" s="769"/>
      <c r="CL127" s="769"/>
      <c r="CM127" s="769"/>
      <c r="CN127" s="769"/>
      <c r="CO127" s="769"/>
      <c r="CP127" s="769"/>
      <c r="CQ127" s="769"/>
      <c r="CR127" s="769"/>
      <c r="CS127" s="769"/>
      <c r="CT127" s="769"/>
      <c r="CU127" s="769"/>
      <c r="CV127" s="769"/>
      <c r="CW127" s="769"/>
      <c r="CX127" s="769"/>
      <c r="CY127" s="769"/>
      <c r="CZ127" s="769"/>
      <c r="DA127" s="769"/>
      <c r="DB127" s="769"/>
      <c r="DC127" s="769"/>
      <c r="DD127" s="769"/>
      <c r="DE127" s="769"/>
      <c r="DF127" s="769"/>
      <c r="DG127" s="769"/>
      <c r="DH127" s="769"/>
      <c r="DI127" s="769"/>
      <c r="DJ127" s="769"/>
      <c r="DK127" s="769"/>
      <c r="DL127" s="769"/>
      <c r="DM127" s="769"/>
      <c r="DN127" s="769"/>
      <c r="DO127" s="769"/>
      <c r="DP127" s="769"/>
      <c r="DQ127" s="769"/>
      <c r="DR127" s="769"/>
      <c r="DS127" s="769"/>
      <c r="DT127" s="769"/>
      <c r="DU127" s="769"/>
      <c r="DV127" s="769"/>
      <c r="DW127" s="769"/>
      <c r="DX127" s="769"/>
      <c r="DY127" s="769"/>
      <c r="DZ127" s="769"/>
      <c r="EA127" s="769"/>
      <c r="EB127" s="769"/>
      <c r="EC127" s="769"/>
      <c r="ED127" s="769"/>
      <c r="EE127" s="769"/>
      <c r="EF127" s="769"/>
      <c r="EG127" s="769"/>
      <c r="EH127" s="769"/>
      <c r="EI127" s="769"/>
      <c r="EJ127" s="769"/>
      <c r="EK127" s="769"/>
      <c r="EL127" s="769"/>
      <c r="EM127" s="769"/>
      <c r="EN127" s="738"/>
      <c r="EO127" s="738"/>
      <c r="EP127" s="738"/>
      <c r="EQ127" s="738"/>
      <c r="ER127" s="738">
        <v>1</v>
      </c>
      <c r="ES127" s="738"/>
      <c r="ET127" s="738"/>
      <c r="EU127" s="738"/>
      <c r="EV127" s="738"/>
      <c r="EW127" s="738"/>
      <c r="EX127" s="738"/>
      <c r="EY127" s="738"/>
      <c r="EZ127" s="738"/>
      <c r="FA127" s="738"/>
      <c r="FB127" s="738"/>
      <c r="FC127" s="738"/>
      <c r="FD127" s="738"/>
      <c r="FE127" s="738"/>
      <c r="FF127" s="738"/>
      <c r="FG127" s="738"/>
      <c r="FH127" s="738"/>
      <c r="FI127" s="738"/>
      <c r="FJ127" s="738"/>
      <c r="FK127" s="738"/>
      <c r="FL127" s="738"/>
      <c r="FM127" s="738"/>
      <c r="FN127" s="738"/>
      <c r="FO127" s="738"/>
      <c r="FP127" s="738"/>
      <c r="FQ127" s="738"/>
      <c r="FR127" s="738"/>
      <c r="FS127" s="738"/>
      <c r="FT127" s="738"/>
      <c r="FU127" s="738"/>
      <c r="FV127" s="738"/>
      <c r="FW127" s="738"/>
      <c r="FX127" s="738"/>
      <c r="FY127" s="738"/>
      <c r="FZ127" s="738"/>
      <c r="GA127" s="738"/>
      <c r="GB127" s="738"/>
      <c r="GC127" s="738"/>
      <c r="GD127" s="738"/>
      <c r="GE127" s="738"/>
      <c r="GF127" s="738">
        <v>1</v>
      </c>
      <c r="GG127" s="738"/>
      <c r="GH127" s="738"/>
      <c r="GI127" s="738"/>
      <c r="GJ127" s="738"/>
      <c r="GK127" s="738"/>
      <c r="GL127" s="738"/>
      <c r="GM127" s="738"/>
      <c r="GN127" s="738"/>
      <c r="GO127" s="738"/>
      <c r="GP127" s="738"/>
      <c r="GQ127" s="738"/>
      <c r="GR127" s="769"/>
      <c r="GS127" s="769"/>
      <c r="GT127" s="769"/>
      <c r="GU127" s="769"/>
      <c r="GV127" s="769"/>
      <c r="GW127" s="863"/>
      <c r="GX127" s="863" t="s">
        <v>1445</v>
      </c>
      <c r="GY127" s="863"/>
      <c r="GZ127" s="888"/>
      <c r="HA127" s="924"/>
      <c r="HB127" s="872" t="s">
        <v>1154</v>
      </c>
      <c r="HC127" s="178"/>
      <c r="HD127" s="178"/>
      <c r="HE127" s="178"/>
      <c r="HF127" s="178"/>
      <c r="HG127" s="178"/>
      <c r="HH127" s="178"/>
      <c r="HI127" s="178"/>
      <c r="HJ127" s="178"/>
      <c r="HK127" s="178"/>
      <c r="HL127" s="178"/>
      <c r="HM127" s="178"/>
      <c r="HN127" s="178"/>
      <c r="HO127" s="178"/>
      <c r="HP127" s="178"/>
      <c r="HQ127" s="178"/>
      <c r="HR127" s="178"/>
      <c r="HS127" s="178"/>
      <c r="HT127" s="178"/>
      <c r="HU127" s="178"/>
      <c r="HV127" s="178"/>
      <c r="HW127" s="178"/>
      <c r="HX127" s="178"/>
      <c r="HY127" s="178"/>
      <c r="HZ127" s="178"/>
      <c r="IA127" s="178"/>
      <c r="IB127" s="178"/>
      <c r="IC127" s="178"/>
      <c r="ID127" s="178"/>
      <c r="IE127" s="178"/>
      <c r="IF127" s="178"/>
      <c r="IG127" s="178"/>
      <c r="IH127" s="178"/>
      <c r="II127" s="178"/>
      <c r="IJ127" s="178"/>
      <c r="IK127" s="178"/>
      <c r="IL127" s="178"/>
      <c r="IM127" s="178"/>
      <c r="IN127" s="178"/>
      <c r="IO127" s="178"/>
      <c r="IP127" s="178"/>
      <c r="IQ127" s="178"/>
      <c r="IR127" s="178"/>
      <c r="IS127" s="178"/>
      <c r="IT127" s="178"/>
      <c r="IU127" s="178"/>
      <c r="IV127" s="178"/>
      <c r="IW127" s="178"/>
      <c r="IX127" s="178"/>
      <c r="IY127" s="178"/>
      <c r="IZ127" s="178"/>
      <c r="JA127" s="178"/>
      <c r="JB127" s="178"/>
      <c r="JC127" s="178"/>
      <c r="JD127" s="178"/>
      <c r="JE127" s="178"/>
      <c r="JF127" s="178"/>
      <c r="JG127" s="178"/>
      <c r="JH127" s="178"/>
      <c r="JI127" s="178"/>
      <c r="JJ127" s="178"/>
      <c r="JK127" s="178"/>
      <c r="JL127" s="178"/>
      <c r="JM127" s="178"/>
      <c r="JN127" s="178"/>
      <c r="JO127" s="178"/>
      <c r="JP127" s="178"/>
      <c r="JQ127" s="178"/>
      <c r="JR127" s="178"/>
      <c r="JS127" s="178"/>
      <c r="JT127" s="178"/>
      <c r="JU127" s="178"/>
      <c r="JV127" s="178"/>
      <c r="JW127" s="178"/>
      <c r="JX127" s="178"/>
      <c r="JY127" s="178"/>
      <c r="JZ127" s="178"/>
      <c r="KA127" s="178"/>
    </row>
    <row r="128" spans="1:287" s="360" customFormat="1" ht="110.25" hidden="1" customHeight="1">
      <c r="A128" s="754"/>
      <c r="B128" s="1600"/>
      <c r="C128" s="754" t="s">
        <v>1150</v>
      </c>
      <c r="D128" s="755" t="s">
        <v>1453</v>
      </c>
      <c r="E128" s="858">
        <f t="shared" si="76"/>
        <v>1</v>
      </c>
      <c r="F128" s="861"/>
      <c r="G128" s="861"/>
      <c r="H128" s="861"/>
      <c r="I128" s="861"/>
      <c r="J128" s="858"/>
      <c r="K128" s="858"/>
      <c r="L128" s="858">
        <f t="shared" ref="L128" si="82">SUM(EU128:FX128)</f>
        <v>0</v>
      </c>
      <c r="M128" s="858">
        <f t="shared" ref="M128" si="83">SUM(EV128:FY128)</f>
        <v>0</v>
      </c>
      <c r="N128" s="858">
        <f t="shared" ref="N128" si="84">SUM(EW128:FZ128)</f>
        <v>0</v>
      </c>
      <c r="O128" s="858">
        <f t="shared" si="77"/>
        <v>0</v>
      </c>
      <c r="P128" s="858">
        <f t="shared" si="78"/>
        <v>1</v>
      </c>
      <c r="Q128" s="861">
        <f t="shared" si="73"/>
        <v>0</v>
      </c>
      <c r="R128" s="861">
        <f t="shared" si="74"/>
        <v>0</v>
      </c>
      <c r="S128" s="861">
        <f t="shared" si="75"/>
        <v>1</v>
      </c>
      <c r="T128" s="861"/>
      <c r="U128" s="858"/>
      <c r="V128" s="769"/>
      <c r="W128" s="769"/>
      <c r="X128" s="769"/>
      <c r="Y128" s="769"/>
      <c r="Z128" s="769"/>
      <c r="AA128" s="769"/>
      <c r="AB128" s="769"/>
      <c r="AC128" s="769"/>
      <c r="AD128" s="769"/>
      <c r="AE128" s="769"/>
      <c r="AF128" s="769"/>
      <c r="AG128" s="769"/>
      <c r="AH128" s="769"/>
      <c r="AI128" s="769"/>
      <c r="AJ128" s="769"/>
      <c r="AK128" s="769"/>
      <c r="AL128" s="769"/>
      <c r="AM128" s="769"/>
      <c r="AN128" s="769"/>
      <c r="AO128" s="769"/>
      <c r="AP128" s="769"/>
      <c r="AQ128" s="769"/>
      <c r="AR128" s="769"/>
      <c r="AS128" s="769"/>
      <c r="AT128" s="769"/>
      <c r="AU128" s="769"/>
      <c r="AV128" s="769"/>
      <c r="AW128" s="769"/>
      <c r="AX128" s="769"/>
      <c r="AY128" s="769"/>
      <c r="AZ128" s="769"/>
      <c r="BA128" s="769"/>
      <c r="BB128" s="769"/>
      <c r="BC128" s="769"/>
      <c r="BD128" s="769"/>
      <c r="BE128" s="769"/>
      <c r="BF128" s="769"/>
      <c r="BG128" s="769"/>
      <c r="BH128" s="769"/>
      <c r="BI128" s="769"/>
      <c r="BJ128" s="769"/>
      <c r="BK128" s="769"/>
      <c r="BL128" s="769"/>
      <c r="BM128" s="769"/>
      <c r="BN128" s="769"/>
      <c r="BO128" s="769"/>
      <c r="BP128" s="769"/>
      <c r="BQ128" s="769"/>
      <c r="BR128" s="769"/>
      <c r="BS128" s="769"/>
      <c r="BT128" s="769"/>
      <c r="BU128" s="769"/>
      <c r="BV128" s="769"/>
      <c r="BW128" s="769"/>
      <c r="BX128" s="769"/>
      <c r="BY128" s="769"/>
      <c r="BZ128" s="769"/>
      <c r="CA128" s="769"/>
      <c r="CB128" s="769"/>
      <c r="CC128" s="769"/>
      <c r="CD128" s="769"/>
      <c r="CE128" s="769"/>
      <c r="CF128" s="769"/>
      <c r="CG128" s="769"/>
      <c r="CH128" s="769"/>
      <c r="CI128" s="769"/>
      <c r="CJ128" s="769"/>
      <c r="CK128" s="769"/>
      <c r="CL128" s="769"/>
      <c r="CM128" s="769"/>
      <c r="CN128" s="769"/>
      <c r="CO128" s="769"/>
      <c r="CP128" s="769"/>
      <c r="CQ128" s="769"/>
      <c r="CR128" s="769"/>
      <c r="CS128" s="769"/>
      <c r="CT128" s="769"/>
      <c r="CU128" s="769"/>
      <c r="CV128" s="769"/>
      <c r="CW128" s="769"/>
      <c r="CX128" s="769"/>
      <c r="CY128" s="769"/>
      <c r="CZ128" s="769"/>
      <c r="DA128" s="769"/>
      <c r="DB128" s="769"/>
      <c r="DC128" s="769"/>
      <c r="DD128" s="769"/>
      <c r="DE128" s="769"/>
      <c r="DF128" s="769"/>
      <c r="DG128" s="769"/>
      <c r="DH128" s="769"/>
      <c r="DI128" s="769"/>
      <c r="DJ128" s="769"/>
      <c r="DK128" s="769"/>
      <c r="DL128" s="769"/>
      <c r="DM128" s="769"/>
      <c r="DN128" s="769"/>
      <c r="DO128" s="769"/>
      <c r="DP128" s="769"/>
      <c r="DQ128" s="769"/>
      <c r="DR128" s="769"/>
      <c r="DS128" s="769"/>
      <c r="DT128" s="769"/>
      <c r="DU128" s="769"/>
      <c r="DV128" s="769"/>
      <c r="DW128" s="769"/>
      <c r="DX128" s="769"/>
      <c r="DY128" s="769"/>
      <c r="DZ128" s="769"/>
      <c r="EA128" s="769"/>
      <c r="EB128" s="769"/>
      <c r="EC128" s="769"/>
      <c r="ED128" s="769"/>
      <c r="EE128" s="769"/>
      <c r="EF128" s="769"/>
      <c r="EG128" s="769"/>
      <c r="EH128" s="769"/>
      <c r="EI128" s="769"/>
      <c r="EJ128" s="769"/>
      <c r="EK128" s="769"/>
      <c r="EL128" s="769"/>
      <c r="EM128" s="769"/>
      <c r="EN128" s="738"/>
      <c r="EO128" s="738"/>
      <c r="EP128" s="738"/>
      <c r="EQ128" s="738"/>
      <c r="ER128" s="738"/>
      <c r="ES128" s="738"/>
      <c r="ET128" s="738"/>
      <c r="EU128" s="738"/>
      <c r="EV128" s="738"/>
      <c r="EW128" s="738"/>
      <c r="EX128" s="738"/>
      <c r="EY128" s="738"/>
      <c r="EZ128" s="738"/>
      <c r="FA128" s="738"/>
      <c r="FB128" s="738"/>
      <c r="FC128" s="738"/>
      <c r="FD128" s="738"/>
      <c r="FE128" s="738"/>
      <c r="FF128" s="738"/>
      <c r="FG128" s="738"/>
      <c r="FH128" s="738"/>
      <c r="FI128" s="738"/>
      <c r="FJ128" s="738"/>
      <c r="FK128" s="738"/>
      <c r="FL128" s="738"/>
      <c r="FM128" s="738"/>
      <c r="FN128" s="738"/>
      <c r="FO128" s="738"/>
      <c r="FP128" s="738"/>
      <c r="FQ128" s="738"/>
      <c r="FR128" s="738"/>
      <c r="FS128" s="738"/>
      <c r="FT128" s="738"/>
      <c r="FU128" s="738"/>
      <c r="FV128" s="738"/>
      <c r="FW128" s="738"/>
      <c r="FX128" s="738"/>
      <c r="FY128" s="738"/>
      <c r="FZ128" s="738"/>
      <c r="GA128" s="738"/>
      <c r="GB128" s="738"/>
      <c r="GC128" s="738"/>
      <c r="GD128" s="738"/>
      <c r="GE128" s="738"/>
      <c r="GF128" s="738"/>
      <c r="GG128" s="738"/>
      <c r="GH128" s="738"/>
      <c r="GI128" s="738"/>
      <c r="GJ128" s="738"/>
      <c r="GK128" s="738"/>
      <c r="GL128" s="738"/>
      <c r="GM128" s="738"/>
      <c r="GN128" s="738"/>
      <c r="GO128" s="738"/>
      <c r="GP128" s="738">
        <v>1</v>
      </c>
      <c r="GQ128" s="738"/>
      <c r="GR128" s="769"/>
      <c r="GS128" s="769"/>
      <c r="GT128" s="769"/>
      <c r="GU128" s="769"/>
      <c r="GV128" s="769"/>
      <c r="GW128" s="863"/>
      <c r="GX128" s="863" t="s">
        <v>1456</v>
      </c>
      <c r="GY128" s="863"/>
      <c r="GZ128" s="888"/>
      <c r="HA128" s="926"/>
      <c r="HB128" s="872" t="s">
        <v>1358</v>
      </c>
      <c r="HC128" s="178"/>
      <c r="HD128" s="178"/>
      <c r="HE128" s="178"/>
      <c r="HF128" s="178"/>
      <c r="HG128" s="178"/>
      <c r="HH128" s="178"/>
      <c r="HI128" s="178"/>
      <c r="HJ128" s="178"/>
      <c r="HK128" s="178"/>
      <c r="HL128" s="178"/>
      <c r="HM128" s="178"/>
      <c r="HN128" s="178"/>
      <c r="HO128" s="178"/>
      <c r="HP128" s="178"/>
      <c r="HQ128" s="178"/>
      <c r="HR128" s="178"/>
      <c r="HS128" s="178"/>
      <c r="HT128" s="178"/>
      <c r="HU128" s="178"/>
      <c r="HV128" s="178"/>
      <c r="HW128" s="178"/>
      <c r="HX128" s="178"/>
      <c r="HY128" s="178"/>
      <c r="HZ128" s="178"/>
      <c r="IA128" s="178"/>
      <c r="IB128" s="178"/>
      <c r="IC128" s="178"/>
      <c r="ID128" s="178"/>
      <c r="IE128" s="178"/>
      <c r="IF128" s="178"/>
      <c r="IG128" s="178"/>
      <c r="IH128" s="178"/>
      <c r="II128" s="178"/>
      <c r="IJ128" s="178"/>
      <c r="IK128" s="178"/>
      <c r="IL128" s="178"/>
      <c r="IM128" s="178"/>
      <c r="IN128" s="178"/>
      <c r="IO128" s="178"/>
      <c r="IP128" s="178"/>
      <c r="IQ128" s="178"/>
      <c r="IR128" s="178"/>
      <c r="IS128" s="178"/>
      <c r="IT128" s="178"/>
      <c r="IU128" s="178"/>
      <c r="IV128" s="178"/>
      <c r="IW128" s="178"/>
      <c r="IX128" s="178"/>
      <c r="IY128" s="178"/>
      <c r="IZ128" s="178"/>
      <c r="JA128" s="178"/>
      <c r="JB128" s="178"/>
      <c r="JC128" s="178"/>
      <c r="JD128" s="178"/>
      <c r="JE128" s="178"/>
      <c r="JF128" s="178"/>
      <c r="JG128" s="178"/>
      <c r="JH128" s="178"/>
      <c r="JI128" s="178"/>
      <c r="JJ128" s="178"/>
      <c r="JK128" s="178"/>
      <c r="JL128" s="178"/>
      <c r="JM128" s="178"/>
      <c r="JN128" s="178"/>
      <c r="JO128" s="178"/>
      <c r="JP128" s="178"/>
      <c r="JQ128" s="178"/>
      <c r="JR128" s="178"/>
      <c r="JS128" s="178"/>
      <c r="JT128" s="178"/>
      <c r="JU128" s="178"/>
      <c r="JV128" s="178"/>
      <c r="JW128" s="178"/>
      <c r="JX128" s="178"/>
      <c r="JY128" s="178"/>
      <c r="JZ128" s="178"/>
      <c r="KA128" s="178"/>
    </row>
    <row r="129" spans="1:287" s="360" customFormat="1" ht="110.25" hidden="1" customHeight="1">
      <c r="A129" s="754"/>
      <c r="B129" s="1600"/>
      <c r="C129" s="754" t="s">
        <v>1409</v>
      </c>
      <c r="D129" s="755" t="s">
        <v>1452</v>
      </c>
      <c r="E129" s="861">
        <f t="shared" si="76"/>
        <v>1</v>
      </c>
      <c r="F129" s="861"/>
      <c r="G129" s="861"/>
      <c r="H129" s="861"/>
      <c r="I129" s="861"/>
      <c r="J129" s="858">
        <v>0</v>
      </c>
      <c r="K129" s="858">
        <v>0</v>
      </c>
      <c r="L129" s="858">
        <v>0</v>
      </c>
      <c r="M129" s="858">
        <v>0</v>
      </c>
      <c r="N129" s="858">
        <v>0</v>
      </c>
      <c r="O129" s="861">
        <f t="shared" si="77"/>
        <v>1</v>
      </c>
      <c r="P129" s="861">
        <f t="shared" si="78"/>
        <v>0</v>
      </c>
      <c r="Q129" s="861">
        <f t="shared" si="73"/>
        <v>0</v>
      </c>
      <c r="R129" s="861">
        <f t="shared" si="74"/>
        <v>0</v>
      </c>
      <c r="S129" s="861">
        <f t="shared" si="75"/>
        <v>0</v>
      </c>
      <c r="T129" s="861"/>
      <c r="U129" s="858"/>
      <c r="V129" s="769"/>
      <c r="W129" s="769"/>
      <c r="X129" s="769"/>
      <c r="Y129" s="769"/>
      <c r="Z129" s="769"/>
      <c r="AA129" s="769"/>
      <c r="AB129" s="769"/>
      <c r="AC129" s="769"/>
      <c r="AD129" s="769"/>
      <c r="AE129" s="769"/>
      <c r="AF129" s="769"/>
      <c r="AG129" s="769"/>
      <c r="AH129" s="769"/>
      <c r="AI129" s="769"/>
      <c r="AJ129" s="769"/>
      <c r="AK129" s="769"/>
      <c r="AL129" s="769"/>
      <c r="AM129" s="769"/>
      <c r="AN129" s="769"/>
      <c r="AO129" s="769"/>
      <c r="AP129" s="769"/>
      <c r="AQ129" s="769"/>
      <c r="AR129" s="769"/>
      <c r="AS129" s="769"/>
      <c r="AT129" s="769"/>
      <c r="AU129" s="769"/>
      <c r="AV129" s="769"/>
      <c r="AW129" s="769"/>
      <c r="AX129" s="769"/>
      <c r="AY129" s="769"/>
      <c r="AZ129" s="769"/>
      <c r="BA129" s="769"/>
      <c r="BB129" s="769"/>
      <c r="BC129" s="769"/>
      <c r="BD129" s="769"/>
      <c r="BE129" s="769"/>
      <c r="BF129" s="769"/>
      <c r="BG129" s="769"/>
      <c r="BH129" s="769"/>
      <c r="BI129" s="769"/>
      <c r="BJ129" s="769"/>
      <c r="BK129" s="769"/>
      <c r="BL129" s="769"/>
      <c r="BM129" s="769"/>
      <c r="BN129" s="769"/>
      <c r="BO129" s="769"/>
      <c r="BP129" s="769"/>
      <c r="BQ129" s="769"/>
      <c r="BR129" s="769"/>
      <c r="BS129" s="769"/>
      <c r="BT129" s="769"/>
      <c r="BU129" s="769"/>
      <c r="BV129" s="769"/>
      <c r="BW129" s="769"/>
      <c r="BX129" s="769"/>
      <c r="BY129" s="769"/>
      <c r="BZ129" s="769"/>
      <c r="CA129" s="769"/>
      <c r="CB129" s="769"/>
      <c r="CC129" s="769"/>
      <c r="CD129" s="769"/>
      <c r="CE129" s="769"/>
      <c r="CF129" s="769"/>
      <c r="CG129" s="769"/>
      <c r="CH129" s="769"/>
      <c r="CI129" s="769"/>
      <c r="CJ129" s="769"/>
      <c r="CK129" s="769"/>
      <c r="CL129" s="769"/>
      <c r="CM129" s="769"/>
      <c r="CN129" s="769"/>
      <c r="CO129" s="769"/>
      <c r="CP129" s="769"/>
      <c r="CQ129" s="769"/>
      <c r="CR129" s="769"/>
      <c r="CS129" s="769"/>
      <c r="CT129" s="769"/>
      <c r="CU129" s="769"/>
      <c r="CV129" s="769"/>
      <c r="CW129" s="769"/>
      <c r="CX129" s="769"/>
      <c r="CY129" s="769"/>
      <c r="CZ129" s="769"/>
      <c r="DA129" s="769"/>
      <c r="DB129" s="769"/>
      <c r="DC129" s="769"/>
      <c r="DD129" s="769"/>
      <c r="DE129" s="769"/>
      <c r="DF129" s="769"/>
      <c r="DG129" s="769"/>
      <c r="DH129" s="769"/>
      <c r="DI129" s="769"/>
      <c r="DJ129" s="769"/>
      <c r="DK129" s="769"/>
      <c r="DL129" s="769"/>
      <c r="DM129" s="769"/>
      <c r="DN129" s="769"/>
      <c r="DO129" s="769"/>
      <c r="DP129" s="769"/>
      <c r="DQ129" s="769"/>
      <c r="DR129" s="769"/>
      <c r="DS129" s="769"/>
      <c r="DT129" s="769"/>
      <c r="DU129" s="769"/>
      <c r="DV129" s="769"/>
      <c r="DW129" s="769"/>
      <c r="DX129" s="769"/>
      <c r="DY129" s="769"/>
      <c r="DZ129" s="769"/>
      <c r="EA129" s="769"/>
      <c r="EB129" s="769"/>
      <c r="EC129" s="769"/>
      <c r="ED129" s="769"/>
      <c r="EE129" s="769"/>
      <c r="EF129" s="769"/>
      <c r="EG129" s="769"/>
      <c r="EH129" s="769"/>
      <c r="EI129" s="769"/>
      <c r="EJ129" s="769"/>
      <c r="EK129" s="769"/>
      <c r="EL129" s="769"/>
      <c r="EM129" s="769"/>
      <c r="EN129" s="738"/>
      <c r="EO129" s="738"/>
      <c r="EP129" s="738"/>
      <c r="EQ129" s="738"/>
      <c r="ER129" s="738"/>
      <c r="ES129" s="738"/>
      <c r="ET129" s="738"/>
      <c r="EU129" s="738"/>
      <c r="EV129" s="738"/>
      <c r="EW129" s="738"/>
      <c r="EX129" s="738"/>
      <c r="EY129" s="738"/>
      <c r="EZ129" s="738"/>
      <c r="FA129" s="738"/>
      <c r="FB129" s="738"/>
      <c r="FC129" s="738"/>
      <c r="FD129" s="738"/>
      <c r="FE129" s="738"/>
      <c r="FF129" s="738"/>
      <c r="FG129" s="738"/>
      <c r="FH129" s="738"/>
      <c r="FI129" s="738"/>
      <c r="FJ129" s="738"/>
      <c r="FK129" s="738"/>
      <c r="FL129" s="738">
        <v>1</v>
      </c>
      <c r="FM129" s="738"/>
      <c r="FN129" s="738"/>
      <c r="FO129" s="738"/>
      <c r="FP129" s="738"/>
      <c r="FQ129" s="738"/>
      <c r="FR129" s="738"/>
      <c r="FS129" s="738"/>
      <c r="FT129" s="738"/>
      <c r="FU129" s="738"/>
      <c r="FV129" s="738"/>
      <c r="FW129" s="738"/>
      <c r="FX129" s="738"/>
      <c r="FY129" s="738"/>
      <c r="FZ129" s="738"/>
      <c r="GA129" s="738"/>
      <c r="GB129" s="738"/>
      <c r="GC129" s="738"/>
      <c r="GD129" s="738"/>
      <c r="GE129" s="738"/>
      <c r="GF129" s="738"/>
      <c r="GG129" s="738"/>
      <c r="GH129" s="738"/>
      <c r="GI129" s="738"/>
      <c r="GJ129" s="738"/>
      <c r="GK129" s="738"/>
      <c r="GL129" s="738"/>
      <c r="GM129" s="738"/>
      <c r="GN129" s="738"/>
      <c r="GO129" s="738"/>
      <c r="GP129" s="738"/>
      <c r="GQ129" s="738"/>
      <c r="GR129" s="769"/>
      <c r="GS129" s="769"/>
      <c r="GT129" s="769"/>
      <c r="GU129" s="769"/>
      <c r="GV129" s="769"/>
      <c r="GW129" s="863"/>
      <c r="GX129" s="863" t="s">
        <v>1411</v>
      </c>
      <c r="GY129" s="863"/>
      <c r="GZ129" s="888"/>
      <c r="HA129" s="924"/>
      <c r="HB129" s="864" t="s">
        <v>1412</v>
      </c>
      <c r="HC129" s="178"/>
      <c r="HD129" s="178"/>
      <c r="HE129" s="178"/>
      <c r="HF129" s="178"/>
      <c r="HG129" s="178"/>
      <c r="HH129" s="178"/>
      <c r="HI129" s="178"/>
      <c r="HJ129" s="178"/>
      <c r="HK129" s="178"/>
      <c r="HL129" s="178"/>
      <c r="HM129" s="178"/>
      <c r="HN129" s="178"/>
      <c r="HO129" s="178"/>
      <c r="HP129" s="178"/>
      <c r="HQ129" s="178"/>
      <c r="HR129" s="178"/>
      <c r="HS129" s="178"/>
      <c r="HT129" s="178"/>
      <c r="HU129" s="178"/>
      <c r="HV129" s="178"/>
      <c r="HW129" s="178"/>
      <c r="HX129" s="178"/>
      <c r="HY129" s="178"/>
      <c r="HZ129" s="178"/>
      <c r="IA129" s="178"/>
      <c r="IB129" s="178"/>
      <c r="IC129" s="178"/>
      <c r="ID129" s="178"/>
      <c r="IE129" s="178"/>
      <c r="IF129" s="178"/>
      <c r="IG129" s="178"/>
      <c r="IH129" s="178"/>
      <c r="II129" s="178"/>
      <c r="IJ129" s="178"/>
      <c r="IK129" s="178"/>
      <c r="IL129" s="178"/>
      <c r="IM129" s="178"/>
      <c r="IN129" s="178"/>
      <c r="IO129" s="178"/>
      <c r="IP129" s="178"/>
      <c r="IQ129" s="178"/>
      <c r="IR129" s="178"/>
      <c r="IS129" s="178"/>
      <c r="IT129" s="178"/>
      <c r="IU129" s="178"/>
      <c r="IV129" s="178"/>
      <c r="IW129" s="178"/>
      <c r="IX129" s="178"/>
      <c r="IY129" s="178"/>
      <c r="IZ129" s="178"/>
      <c r="JA129" s="178"/>
      <c r="JB129" s="178"/>
      <c r="JC129" s="178"/>
      <c r="JD129" s="178"/>
      <c r="JE129" s="178"/>
      <c r="JF129" s="178"/>
      <c r="JG129" s="178"/>
      <c r="JH129" s="178"/>
      <c r="JI129" s="178"/>
      <c r="JJ129" s="178"/>
      <c r="JK129" s="178"/>
      <c r="JL129" s="178"/>
      <c r="JM129" s="178"/>
      <c r="JN129" s="178"/>
      <c r="JO129" s="178"/>
      <c r="JP129" s="178"/>
      <c r="JQ129" s="178"/>
      <c r="JR129" s="178"/>
      <c r="JS129" s="178"/>
      <c r="JT129" s="178"/>
      <c r="JU129" s="178"/>
      <c r="JV129" s="178"/>
      <c r="JW129" s="178"/>
      <c r="JX129" s="178"/>
      <c r="JY129" s="178"/>
      <c r="JZ129" s="178"/>
      <c r="KA129" s="178"/>
    </row>
    <row r="130" spans="1:287" s="360" customFormat="1" ht="110.25" hidden="1" customHeight="1">
      <c r="A130" s="754"/>
      <c r="B130" s="1600"/>
      <c r="C130" s="217" t="s">
        <v>843</v>
      </c>
      <c r="D130" s="755" t="s">
        <v>1364</v>
      </c>
      <c r="E130" s="861">
        <f t="shared" si="76"/>
        <v>1</v>
      </c>
      <c r="F130" s="861"/>
      <c r="G130" s="861"/>
      <c r="H130" s="861"/>
      <c r="I130" s="861"/>
      <c r="J130" s="858">
        <v>0</v>
      </c>
      <c r="K130" s="858">
        <v>0</v>
      </c>
      <c r="L130" s="858">
        <v>0</v>
      </c>
      <c r="M130" s="858">
        <v>0</v>
      </c>
      <c r="N130" s="861">
        <f t="shared" si="81"/>
        <v>1</v>
      </c>
      <c r="O130" s="861">
        <f t="shared" si="77"/>
        <v>0</v>
      </c>
      <c r="P130" s="861">
        <f t="shared" si="78"/>
        <v>0</v>
      </c>
      <c r="Q130" s="861">
        <f t="shared" si="73"/>
        <v>0</v>
      </c>
      <c r="R130" s="861">
        <f t="shared" si="74"/>
        <v>0</v>
      </c>
      <c r="S130" s="861">
        <f t="shared" si="75"/>
        <v>0</v>
      </c>
      <c r="T130" s="861"/>
      <c r="U130" s="861"/>
      <c r="V130" s="769"/>
      <c r="W130" s="769"/>
      <c r="X130" s="769"/>
      <c r="Y130" s="769"/>
      <c r="Z130" s="769"/>
      <c r="AA130" s="769"/>
      <c r="AB130" s="769"/>
      <c r="AC130" s="769"/>
      <c r="AD130" s="769"/>
      <c r="AE130" s="769"/>
      <c r="AF130" s="769"/>
      <c r="AG130" s="769"/>
      <c r="AH130" s="769"/>
      <c r="AI130" s="769"/>
      <c r="AJ130" s="769"/>
      <c r="AK130" s="769"/>
      <c r="AL130" s="769"/>
      <c r="AM130" s="769"/>
      <c r="AN130" s="769"/>
      <c r="AO130" s="769"/>
      <c r="AP130" s="769"/>
      <c r="AQ130" s="769"/>
      <c r="AR130" s="769"/>
      <c r="AS130" s="769"/>
      <c r="AT130" s="769"/>
      <c r="AU130" s="769"/>
      <c r="AV130" s="769"/>
      <c r="AW130" s="769"/>
      <c r="AX130" s="769"/>
      <c r="AY130" s="769"/>
      <c r="AZ130" s="769"/>
      <c r="BA130" s="769"/>
      <c r="BB130" s="769"/>
      <c r="BC130" s="769"/>
      <c r="BD130" s="769"/>
      <c r="BE130" s="769"/>
      <c r="BF130" s="769"/>
      <c r="BG130" s="769"/>
      <c r="BH130" s="769"/>
      <c r="BI130" s="769"/>
      <c r="BJ130" s="769"/>
      <c r="BK130" s="769"/>
      <c r="BL130" s="769"/>
      <c r="BM130" s="769"/>
      <c r="BN130" s="769"/>
      <c r="BO130" s="769"/>
      <c r="BP130" s="769"/>
      <c r="BQ130" s="769"/>
      <c r="BR130" s="769"/>
      <c r="BS130" s="769"/>
      <c r="BT130" s="769"/>
      <c r="BU130" s="769"/>
      <c r="BV130" s="769"/>
      <c r="BW130" s="769"/>
      <c r="BX130" s="769"/>
      <c r="BY130" s="769"/>
      <c r="BZ130" s="769"/>
      <c r="CA130" s="769"/>
      <c r="CB130" s="769"/>
      <c r="CC130" s="769"/>
      <c r="CD130" s="769"/>
      <c r="CE130" s="769"/>
      <c r="CF130" s="769"/>
      <c r="CG130" s="769"/>
      <c r="CH130" s="769"/>
      <c r="CI130" s="769"/>
      <c r="CJ130" s="769"/>
      <c r="CK130" s="769"/>
      <c r="CL130" s="769"/>
      <c r="CM130" s="769"/>
      <c r="CN130" s="769"/>
      <c r="CO130" s="769"/>
      <c r="CP130" s="769"/>
      <c r="CQ130" s="769"/>
      <c r="CR130" s="769"/>
      <c r="CS130" s="769"/>
      <c r="CT130" s="769"/>
      <c r="CU130" s="769"/>
      <c r="CV130" s="769"/>
      <c r="CW130" s="769"/>
      <c r="CX130" s="769"/>
      <c r="CY130" s="769"/>
      <c r="CZ130" s="769"/>
      <c r="DA130" s="769"/>
      <c r="DB130" s="769"/>
      <c r="DC130" s="769"/>
      <c r="DD130" s="769"/>
      <c r="DE130" s="769"/>
      <c r="DF130" s="769"/>
      <c r="DG130" s="769"/>
      <c r="DH130" s="769"/>
      <c r="DI130" s="769"/>
      <c r="DJ130" s="769"/>
      <c r="DK130" s="769"/>
      <c r="DL130" s="769"/>
      <c r="DM130" s="769"/>
      <c r="DN130" s="769"/>
      <c r="DO130" s="769"/>
      <c r="DP130" s="769"/>
      <c r="DQ130" s="769"/>
      <c r="DR130" s="769"/>
      <c r="DS130" s="769"/>
      <c r="DT130" s="769"/>
      <c r="DU130" s="769"/>
      <c r="DV130" s="769"/>
      <c r="DW130" s="769"/>
      <c r="DX130" s="769"/>
      <c r="DY130" s="769"/>
      <c r="DZ130" s="769"/>
      <c r="EA130" s="769"/>
      <c r="EB130" s="769"/>
      <c r="EC130" s="769"/>
      <c r="ED130" s="769"/>
      <c r="EE130" s="769"/>
      <c r="EF130" s="769"/>
      <c r="EG130" s="769"/>
      <c r="EH130" s="769"/>
      <c r="EI130" s="769"/>
      <c r="EJ130" s="769"/>
      <c r="EK130" s="769"/>
      <c r="EL130" s="769"/>
      <c r="EM130" s="769"/>
      <c r="EN130" s="738"/>
      <c r="EO130" s="738">
        <v>1</v>
      </c>
      <c r="EP130" s="738"/>
      <c r="EQ130" s="738"/>
      <c r="ER130" s="738"/>
      <c r="ES130" s="738"/>
      <c r="ET130" s="738"/>
      <c r="EU130" s="738"/>
      <c r="EV130" s="738"/>
      <c r="EW130" s="738"/>
      <c r="EX130" s="738"/>
      <c r="EY130" s="738"/>
      <c r="EZ130" s="738"/>
      <c r="FA130" s="738"/>
      <c r="FB130" s="738"/>
      <c r="FC130" s="738"/>
      <c r="FD130" s="738"/>
      <c r="FE130" s="738"/>
      <c r="FF130" s="738"/>
      <c r="FG130" s="738"/>
      <c r="FH130" s="738"/>
      <c r="FI130" s="738"/>
      <c r="FJ130" s="738"/>
      <c r="FK130" s="738"/>
      <c r="FL130" s="738"/>
      <c r="FM130" s="738"/>
      <c r="FN130" s="738"/>
      <c r="FO130" s="738"/>
      <c r="FP130" s="738"/>
      <c r="FQ130" s="738"/>
      <c r="FR130" s="738"/>
      <c r="FS130" s="738"/>
      <c r="FT130" s="738"/>
      <c r="FU130" s="738"/>
      <c r="FV130" s="738"/>
      <c r="FW130" s="738"/>
      <c r="FX130" s="738"/>
      <c r="FY130" s="738"/>
      <c r="FZ130" s="738"/>
      <c r="GA130" s="738"/>
      <c r="GB130" s="738"/>
      <c r="GC130" s="738"/>
      <c r="GD130" s="738"/>
      <c r="GE130" s="738"/>
      <c r="GF130" s="738"/>
      <c r="GG130" s="738"/>
      <c r="GH130" s="738"/>
      <c r="GI130" s="738"/>
      <c r="GJ130" s="738"/>
      <c r="GK130" s="738"/>
      <c r="GL130" s="738"/>
      <c r="GM130" s="738"/>
      <c r="GN130" s="738"/>
      <c r="GO130" s="738"/>
      <c r="GP130" s="738"/>
      <c r="GQ130" s="738"/>
      <c r="GR130" s="769"/>
      <c r="GS130" s="769"/>
      <c r="GT130" s="769"/>
      <c r="GU130" s="769"/>
      <c r="GV130" s="769"/>
      <c r="GW130" s="863"/>
      <c r="GX130" s="863"/>
      <c r="GY130" s="863"/>
      <c r="GZ130" s="888"/>
      <c r="HA130" s="1276"/>
      <c r="HB130" s="753" t="s">
        <v>1365</v>
      </c>
      <c r="HC130" s="178"/>
      <c r="HD130" s="178"/>
      <c r="HE130" s="178"/>
      <c r="HF130" s="178"/>
      <c r="HG130" s="178"/>
      <c r="HH130" s="178"/>
      <c r="HI130" s="178"/>
      <c r="HJ130" s="178"/>
      <c r="HK130" s="178"/>
      <c r="HL130" s="178"/>
      <c r="HM130" s="178"/>
      <c r="HN130" s="178"/>
      <c r="HO130" s="178"/>
      <c r="HP130" s="178"/>
      <c r="HQ130" s="178"/>
      <c r="HR130" s="178"/>
      <c r="HS130" s="178"/>
      <c r="HT130" s="178"/>
      <c r="HU130" s="178"/>
      <c r="HV130" s="178"/>
      <c r="HW130" s="178"/>
      <c r="HX130" s="178"/>
      <c r="HY130" s="178"/>
      <c r="HZ130" s="178"/>
      <c r="IA130" s="178"/>
      <c r="IB130" s="178"/>
      <c r="IC130" s="178"/>
      <c r="ID130" s="178"/>
      <c r="IE130" s="178"/>
      <c r="IF130" s="178"/>
      <c r="IG130" s="178"/>
      <c r="IH130" s="178"/>
      <c r="II130" s="178"/>
      <c r="IJ130" s="178"/>
      <c r="IK130" s="178"/>
      <c r="IL130" s="178"/>
      <c r="IM130" s="178"/>
      <c r="IN130" s="178"/>
      <c r="IO130" s="178"/>
      <c r="IP130" s="178"/>
      <c r="IQ130" s="178"/>
      <c r="IR130" s="178"/>
      <c r="IS130" s="178"/>
      <c r="IT130" s="178"/>
      <c r="IU130" s="178"/>
      <c r="IV130" s="178"/>
      <c r="IW130" s="178"/>
      <c r="IX130" s="178"/>
      <c r="IY130" s="178"/>
      <c r="IZ130" s="178"/>
      <c r="JA130" s="178"/>
      <c r="JB130" s="178"/>
      <c r="JC130" s="178"/>
      <c r="JD130" s="178"/>
      <c r="JE130" s="178"/>
      <c r="JF130" s="178"/>
      <c r="JG130" s="178"/>
      <c r="JH130" s="178"/>
      <c r="JI130" s="178"/>
      <c r="JJ130" s="178"/>
      <c r="JK130" s="178"/>
      <c r="JL130" s="178"/>
      <c r="JM130" s="178"/>
      <c r="JN130" s="178"/>
      <c r="JO130" s="178"/>
      <c r="JP130" s="178"/>
      <c r="JQ130" s="178"/>
      <c r="JR130" s="178"/>
      <c r="JS130" s="178"/>
      <c r="JT130" s="178"/>
      <c r="JU130" s="178"/>
      <c r="JV130" s="178"/>
      <c r="JW130" s="178"/>
      <c r="JX130" s="178"/>
      <c r="JY130" s="178"/>
      <c r="JZ130" s="178"/>
      <c r="KA130" s="178"/>
    </row>
    <row r="131" spans="1:287" s="360" customFormat="1" ht="28.5" hidden="1" customHeight="1">
      <c r="A131" s="217">
        <v>51</v>
      </c>
      <c r="B131" s="1601"/>
      <c r="C131" s="217" t="s">
        <v>843</v>
      </c>
      <c r="D131" s="85" t="s">
        <v>917</v>
      </c>
      <c r="E131" s="861">
        <f t="shared" si="76"/>
        <v>0</v>
      </c>
      <c r="F131" s="377">
        <v>0</v>
      </c>
      <c r="G131" s="377">
        <v>0</v>
      </c>
      <c r="H131" s="377">
        <v>0</v>
      </c>
      <c r="I131" s="377">
        <v>0</v>
      </c>
      <c r="J131" s="858">
        <f t="shared" si="51"/>
        <v>0</v>
      </c>
      <c r="K131" s="861">
        <f t="shared" si="52"/>
        <v>0</v>
      </c>
      <c r="L131" s="861">
        <f t="shared" si="53"/>
        <v>0</v>
      </c>
      <c r="M131" s="858">
        <f t="shared" si="54"/>
        <v>0</v>
      </c>
      <c r="N131" s="861">
        <f t="shared" si="81"/>
        <v>0</v>
      </c>
      <c r="O131" s="861">
        <f t="shared" si="77"/>
        <v>0</v>
      </c>
      <c r="P131" s="861">
        <f t="shared" si="78"/>
        <v>0</v>
      </c>
      <c r="Q131" s="861">
        <f t="shared" si="73"/>
        <v>0</v>
      </c>
      <c r="R131" s="861">
        <f t="shared" si="74"/>
        <v>0</v>
      </c>
      <c r="S131" s="861">
        <f t="shared" si="75"/>
        <v>0</v>
      </c>
      <c r="T131" s="861"/>
      <c r="U131" s="861"/>
      <c r="V131" s="331"/>
      <c r="W131" s="331"/>
      <c r="X131" s="331"/>
      <c r="Y131" s="331"/>
      <c r="Z131" s="331"/>
      <c r="AA131" s="331"/>
      <c r="AB131" s="331"/>
      <c r="AC131" s="331"/>
      <c r="AD131" s="331"/>
      <c r="AE131" s="769"/>
      <c r="AF131" s="769"/>
      <c r="AG131" s="769"/>
      <c r="AH131" s="769"/>
      <c r="AI131" s="769"/>
      <c r="AJ131" s="769"/>
      <c r="AK131" s="769"/>
      <c r="AL131" s="769"/>
      <c r="AM131" s="769"/>
      <c r="AN131" s="769"/>
      <c r="AO131" s="769"/>
      <c r="AP131" s="769"/>
      <c r="AQ131" s="769"/>
      <c r="AR131" s="769"/>
      <c r="AS131" s="769"/>
      <c r="AT131" s="769"/>
      <c r="AU131" s="769"/>
      <c r="AV131" s="769"/>
      <c r="AW131" s="769"/>
      <c r="AX131" s="769"/>
      <c r="AY131" s="769"/>
      <c r="AZ131" s="769"/>
      <c r="BA131" s="769"/>
      <c r="BB131" s="769"/>
      <c r="BC131" s="769"/>
      <c r="BD131" s="331"/>
      <c r="BE131" s="331"/>
      <c r="BF131" s="769"/>
      <c r="BG131" s="331"/>
      <c r="BH131" s="331"/>
      <c r="BI131" s="769"/>
      <c r="BJ131" s="769"/>
      <c r="BK131" s="769"/>
      <c r="BL131" s="769"/>
      <c r="BM131" s="769"/>
      <c r="BN131" s="331"/>
      <c r="BO131" s="331"/>
      <c r="BP131" s="331"/>
      <c r="BQ131" s="331"/>
      <c r="BR131" s="769"/>
      <c r="BS131" s="769"/>
      <c r="BT131" s="769"/>
      <c r="BU131" s="769"/>
      <c r="BV131" s="769"/>
      <c r="BW131" s="769"/>
      <c r="BX131" s="769"/>
      <c r="BY131" s="769"/>
      <c r="BZ131" s="769"/>
      <c r="CA131" s="769"/>
      <c r="CB131" s="331"/>
      <c r="CC131" s="769"/>
      <c r="CD131" s="769"/>
      <c r="CE131" s="769"/>
      <c r="CF131" s="331"/>
      <c r="CG131" s="331"/>
      <c r="CH131" s="769"/>
      <c r="CI131" s="331"/>
      <c r="CJ131" s="769"/>
      <c r="CK131" s="769"/>
      <c r="CL131" s="331"/>
      <c r="CM131" s="331"/>
      <c r="CN131" s="331"/>
      <c r="CO131" s="769"/>
      <c r="CP131" s="331"/>
      <c r="CQ131" s="769"/>
      <c r="CR131" s="769"/>
      <c r="CS131" s="769"/>
      <c r="CT131" s="769"/>
      <c r="CU131" s="769"/>
      <c r="CV131" s="769"/>
      <c r="CW131" s="769"/>
      <c r="CX131" s="769"/>
      <c r="CY131" s="769"/>
      <c r="CZ131" s="769"/>
      <c r="DA131" s="769"/>
      <c r="DB131" s="331"/>
      <c r="DC131" s="331"/>
      <c r="DD131" s="331"/>
      <c r="DE131" s="769"/>
      <c r="DF131" s="769"/>
      <c r="DG131" s="331"/>
      <c r="DH131" s="769"/>
      <c r="DI131" s="769"/>
      <c r="DJ131" s="769"/>
      <c r="DK131" s="331"/>
      <c r="DL131" s="769"/>
      <c r="DM131" s="769"/>
      <c r="DN131" s="331"/>
      <c r="DO131" s="331"/>
      <c r="DP131" s="769"/>
      <c r="DQ131" s="769"/>
      <c r="DR131" s="331"/>
      <c r="DS131" s="769"/>
      <c r="DT131" s="769"/>
      <c r="DU131" s="769"/>
      <c r="DV131" s="331"/>
      <c r="DW131" s="331"/>
      <c r="DX131" s="331"/>
      <c r="DY131" s="331"/>
      <c r="DZ131" s="769"/>
      <c r="EA131" s="769"/>
      <c r="EB131" s="331"/>
      <c r="EC131" s="331"/>
      <c r="ED131" s="331"/>
      <c r="EE131" s="331"/>
      <c r="EF131" s="331"/>
      <c r="EG131" s="769"/>
      <c r="EH131" s="769"/>
      <c r="EI131" s="769"/>
      <c r="EJ131" s="331"/>
      <c r="EK131" s="331"/>
      <c r="EL131" s="769"/>
      <c r="EM131" s="769"/>
      <c r="EN131" s="769"/>
      <c r="EO131" s="769"/>
      <c r="EP131" s="769"/>
      <c r="EQ131" s="769"/>
      <c r="ER131" s="331"/>
      <c r="ES131" s="331"/>
      <c r="ET131" s="331"/>
      <c r="EU131" s="769"/>
      <c r="EV131" s="769"/>
      <c r="EW131" s="331"/>
      <c r="EX131" s="331"/>
      <c r="EY131" s="331"/>
      <c r="EZ131" s="331"/>
      <c r="FA131" s="769"/>
      <c r="FB131" s="769"/>
      <c r="FC131" s="769"/>
      <c r="FD131" s="331"/>
      <c r="FE131" s="331"/>
      <c r="FF131" s="331"/>
      <c r="FG131" s="331"/>
      <c r="FH131" s="331"/>
      <c r="FI131" s="769"/>
      <c r="FJ131" s="769"/>
      <c r="FK131" s="769"/>
      <c r="FL131" s="331"/>
      <c r="FM131" s="331"/>
      <c r="FN131" s="769"/>
      <c r="FO131" s="331"/>
      <c r="FP131" s="769"/>
      <c r="FQ131" s="769"/>
      <c r="FR131" s="769"/>
      <c r="FS131" s="331"/>
      <c r="FT131" s="331"/>
      <c r="FU131" s="769"/>
      <c r="FV131" s="331"/>
      <c r="FW131" s="769"/>
      <c r="FX131" s="331"/>
      <c r="FY131" s="769"/>
      <c r="FZ131" s="769"/>
      <c r="GA131" s="769"/>
      <c r="GB131" s="769"/>
      <c r="GC131" s="769"/>
      <c r="GD131" s="769"/>
      <c r="GE131" s="769"/>
      <c r="GF131" s="331"/>
      <c r="GG131" s="769"/>
      <c r="GH131" s="331"/>
      <c r="GI131" s="769"/>
      <c r="GJ131" s="331"/>
      <c r="GK131" s="769"/>
      <c r="GL131" s="769"/>
      <c r="GM131" s="769"/>
      <c r="GN131" s="769"/>
      <c r="GO131" s="331"/>
      <c r="GP131" s="331"/>
      <c r="GQ131" s="331"/>
      <c r="GR131" s="331"/>
      <c r="GS131" s="331"/>
      <c r="GT131" s="331"/>
      <c r="GU131" s="331"/>
      <c r="GV131" s="331"/>
      <c r="GW131" s="269" t="s">
        <v>918</v>
      </c>
      <c r="GX131" s="269" t="s">
        <v>919</v>
      </c>
      <c r="GY131" s="269"/>
      <c r="GZ131" s="424"/>
      <c r="HA131" s="424"/>
      <c r="HB131" s="243" t="s">
        <v>920</v>
      </c>
      <c r="HC131" s="178"/>
      <c r="HD131" s="178"/>
      <c r="HE131" s="178"/>
      <c r="HF131" s="178"/>
      <c r="HG131" s="178"/>
      <c r="HH131" s="178"/>
      <c r="HI131" s="178"/>
      <c r="HJ131" s="178"/>
      <c r="HK131" s="178"/>
      <c r="HL131" s="178"/>
      <c r="HM131" s="178"/>
      <c r="HN131" s="178"/>
      <c r="HO131" s="178"/>
      <c r="HP131" s="178"/>
      <c r="HQ131" s="178"/>
      <c r="HR131" s="178"/>
      <c r="HS131" s="178"/>
      <c r="HT131" s="178"/>
      <c r="HU131" s="178"/>
      <c r="HV131" s="178"/>
      <c r="HW131" s="178"/>
      <c r="HX131" s="178"/>
      <c r="HY131" s="178"/>
      <c r="HZ131" s="178"/>
      <c r="IA131" s="178"/>
      <c r="IB131" s="178"/>
      <c r="IC131" s="178"/>
      <c r="ID131" s="178"/>
      <c r="IE131" s="178"/>
      <c r="IF131" s="178"/>
      <c r="IG131" s="178"/>
      <c r="IH131" s="178"/>
      <c r="II131" s="178"/>
      <c r="IJ131" s="178"/>
      <c r="IK131" s="178"/>
      <c r="IL131" s="178"/>
      <c r="IM131" s="178"/>
      <c r="IN131" s="178"/>
      <c r="IO131" s="178"/>
      <c r="IP131" s="178"/>
      <c r="IQ131" s="178"/>
      <c r="IR131" s="178"/>
      <c r="IS131" s="178"/>
      <c r="IT131" s="178"/>
      <c r="IU131" s="178"/>
      <c r="IV131" s="178"/>
      <c r="IW131" s="178"/>
      <c r="IX131" s="178"/>
      <c r="IY131" s="178"/>
      <c r="IZ131" s="178"/>
      <c r="JA131" s="178"/>
      <c r="JB131" s="178"/>
      <c r="JC131" s="178"/>
      <c r="JD131" s="178"/>
      <c r="JE131" s="178"/>
      <c r="JF131" s="178"/>
      <c r="JG131" s="178"/>
      <c r="JH131" s="178"/>
      <c r="JI131" s="178"/>
      <c r="JJ131" s="178"/>
      <c r="JK131" s="178"/>
      <c r="JL131" s="178"/>
      <c r="JM131" s="178"/>
      <c r="JN131" s="178"/>
      <c r="JO131" s="178"/>
      <c r="JP131" s="178"/>
      <c r="JQ131" s="178"/>
      <c r="JR131" s="178"/>
      <c r="JS131" s="178"/>
      <c r="JT131" s="178"/>
      <c r="JU131" s="178"/>
      <c r="JV131" s="178"/>
      <c r="JW131" s="178"/>
      <c r="JX131" s="178"/>
      <c r="JY131" s="178"/>
      <c r="JZ131" s="178"/>
      <c r="KA131" s="178"/>
    </row>
    <row r="132" spans="1:287" s="360" customFormat="1" ht="179.25" hidden="1" customHeight="1">
      <c r="A132" s="217">
        <v>52</v>
      </c>
      <c r="B132" s="1612"/>
      <c r="C132" s="217" t="s">
        <v>904</v>
      </c>
      <c r="D132" s="85" t="s">
        <v>1410</v>
      </c>
      <c r="E132" s="861">
        <f t="shared" si="76"/>
        <v>0</v>
      </c>
      <c r="F132" s="377">
        <v>0</v>
      </c>
      <c r="G132" s="377">
        <v>0</v>
      </c>
      <c r="H132" s="377">
        <v>0</v>
      </c>
      <c r="I132" s="377">
        <v>0</v>
      </c>
      <c r="J132" s="858">
        <f t="shared" si="51"/>
        <v>0</v>
      </c>
      <c r="K132" s="861">
        <f t="shared" si="52"/>
        <v>0</v>
      </c>
      <c r="L132" s="861">
        <f t="shared" si="53"/>
        <v>0</v>
      </c>
      <c r="M132" s="858">
        <f t="shared" si="54"/>
        <v>0</v>
      </c>
      <c r="N132" s="861">
        <f t="shared" si="81"/>
        <v>0</v>
      </c>
      <c r="O132" s="861">
        <f t="shared" si="77"/>
        <v>0</v>
      </c>
      <c r="P132" s="861">
        <f t="shared" si="78"/>
        <v>0</v>
      </c>
      <c r="Q132" s="861">
        <f t="shared" si="73"/>
        <v>0</v>
      </c>
      <c r="R132" s="861">
        <f t="shared" si="74"/>
        <v>0</v>
      </c>
      <c r="S132" s="861">
        <f t="shared" si="75"/>
        <v>0</v>
      </c>
      <c r="T132" s="861"/>
      <c r="U132" s="861"/>
      <c r="V132" s="271"/>
      <c r="W132" s="271"/>
      <c r="X132" s="271"/>
      <c r="Y132" s="271"/>
      <c r="Z132" s="271"/>
      <c r="AA132" s="271"/>
      <c r="AB132" s="271"/>
      <c r="AC132" s="271"/>
      <c r="AD132" s="271"/>
      <c r="AE132" s="738"/>
      <c r="AF132" s="738"/>
      <c r="AG132" s="738"/>
      <c r="AH132" s="738"/>
      <c r="AI132" s="738"/>
      <c r="AJ132" s="738"/>
      <c r="AK132" s="738"/>
      <c r="AL132" s="738"/>
      <c r="AM132" s="738"/>
      <c r="AN132" s="738"/>
      <c r="AO132" s="738"/>
      <c r="AP132" s="738"/>
      <c r="AQ132" s="738"/>
      <c r="AR132" s="738"/>
      <c r="AS132" s="738"/>
      <c r="AT132" s="738"/>
      <c r="AU132" s="738"/>
      <c r="AV132" s="738"/>
      <c r="AW132" s="738"/>
      <c r="AX132" s="738"/>
      <c r="AY132" s="738"/>
      <c r="AZ132" s="738"/>
      <c r="BA132" s="738"/>
      <c r="BB132" s="738"/>
      <c r="BC132" s="738"/>
      <c r="BD132" s="271"/>
      <c r="BE132" s="271"/>
      <c r="BF132" s="738"/>
      <c r="BG132" s="271"/>
      <c r="BH132" s="271"/>
      <c r="BI132" s="738"/>
      <c r="BJ132" s="738"/>
      <c r="BK132" s="738"/>
      <c r="BL132" s="738"/>
      <c r="BM132" s="738"/>
      <c r="BN132" s="271"/>
      <c r="BO132" s="271"/>
      <c r="BP132" s="271"/>
      <c r="BQ132" s="271"/>
      <c r="BR132" s="738"/>
      <c r="BS132" s="738"/>
      <c r="BT132" s="738"/>
      <c r="BU132" s="738"/>
      <c r="BV132" s="738"/>
      <c r="BW132" s="738"/>
      <c r="BX132" s="738"/>
      <c r="BY132" s="738"/>
      <c r="BZ132" s="738"/>
      <c r="CA132" s="738"/>
      <c r="CB132" s="271"/>
      <c r="CC132" s="738"/>
      <c r="CD132" s="738"/>
      <c r="CE132" s="738"/>
      <c r="CF132" s="271"/>
      <c r="CG132" s="271"/>
      <c r="CH132" s="738"/>
      <c r="CI132" s="271"/>
      <c r="CJ132" s="738"/>
      <c r="CK132" s="738"/>
      <c r="CL132" s="271"/>
      <c r="CM132" s="271"/>
      <c r="CN132" s="271"/>
      <c r="CO132" s="738"/>
      <c r="CP132" s="271"/>
      <c r="CQ132" s="738"/>
      <c r="CR132" s="738"/>
      <c r="CS132" s="738"/>
      <c r="CT132" s="738"/>
      <c r="CU132" s="738"/>
      <c r="CV132" s="738"/>
      <c r="CW132" s="738"/>
      <c r="CX132" s="738"/>
      <c r="CY132" s="738"/>
      <c r="CZ132" s="738"/>
      <c r="DA132" s="738"/>
      <c r="DB132" s="271"/>
      <c r="DC132" s="271"/>
      <c r="DD132" s="271"/>
      <c r="DE132" s="738"/>
      <c r="DF132" s="738"/>
      <c r="DG132" s="271"/>
      <c r="DH132" s="738"/>
      <c r="DI132" s="738"/>
      <c r="DJ132" s="738"/>
      <c r="DK132" s="271"/>
      <c r="DL132" s="738"/>
      <c r="DM132" s="738"/>
      <c r="DN132" s="271"/>
      <c r="DO132" s="271"/>
      <c r="DP132" s="738"/>
      <c r="DQ132" s="738"/>
      <c r="DR132" s="271"/>
      <c r="DS132" s="738"/>
      <c r="DT132" s="738"/>
      <c r="DU132" s="738"/>
      <c r="DV132" s="271"/>
      <c r="DW132" s="271"/>
      <c r="DX132" s="271"/>
      <c r="DY132" s="271"/>
      <c r="DZ132" s="738"/>
      <c r="EA132" s="738"/>
      <c r="EB132" s="271"/>
      <c r="EC132" s="271"/>
      <c r="ED132" s="271"/>
      <c r="EE132" s="271"/>
      <c r="EF132" s="271"/>
      <c r="EG132" s="738"/>
      <c r="EH132" s="738"/>
      <c r="EI132" s="738"/>
      <c r="EJ132" s="271"/>
      <c r="EK132" s="271"/>
      <c r="EL132" s="738"/>
      <c r="EM132" s="738"/>
      <c r="EN132" s="738"/>
      <c r="EO132" s="738"/>
      <c r="EP132" s="738"/>
      <c r="EQ132" s="738"/>
      <c r="ER132" s="271"/>
      <c r="ES132" s="271"/>
      <c r="ET132" s="271"/>
      <c r="EU132" s="738"/>
      <c r="EV132" s="738"/>
      <c r="EW132" s="271"/>
      <c r="EX132" s="271"/>
      <c r="EY132" s="271"/>
      <c r="EZ132" s="271"/>
      <c r="FA132" s="738"/>
      <c r="FB132" s="738"/>
      <c r="FC132" s="738"/>
      <c r="FD132" s="271"/>
      <c r="FE132" s="271"/>
      <c r="FF132" s="271"/>
      <c r="FG132" s="271"/>
      <c r="FH132" s="271"/>
      <c r="FI132" s="738"/>
      <c r="FJ132" s="738"/>
      <c r="FK132" s="738"/>
      <c r="FL132" s="271"/>
      <c r="FM132" s="271"/>
      <c r="FN132" s="738"/>
      <c r="FO132" s="271"/>
      <c r="FP132" s="738"/>
      <c r="FQ132" s="738"/>
      <c r="FR132" s="738"/>
      <c r="FS132" s="271"/>
      <c r="FT132" s="271"/>
      <c r="FU132" s="738"/>
      <c r="FV132" s="271"/>
      <c r="FW132" s="738"/>
      <c r="FX132" s="271"/>
      <c r="FY132" s="738"/>
      <c r="FZ132" s="738"/>
      <c r="GA132" s="738"/>
      <c r="GB132" s="738"/>
      <c r="GC132" s="738"/>
      <c r="GD132" s="738"/>
      <c r="GE132" s="738"/>
      <c r="GF132" s="271"/>
      <c r="GG132" s="738"/>
      <c r="GH132" s="271"/>
      <c r="GI132" s="738"/>
      <c r="GJ132" s="271"/>
      <c r="GK132" s="738"/>
      <c r="GL132" s="738"/>
      <c r="GM132" s="738"/>
      <c r="GN132" s="738"/>
      <c r="GO132" s="271"/>
      <c r="GP132" s="271"/>
      <c r="GQ132" s="271"/>
      <c r="GR132" s="271"/>
      <c r="GS132" s="271"/>
      <c r="GT132" s="271"/>
      <c r="GU132" s="271"/>
      <c r="GV132" s="271"/>
      <c r="GW132" s="269" t="s">
        <v>921</v>
      </c>
      <c r="GX132" s="269" t="s">
        <v>922</v>
      </c>
      <c r="GY132" s="269" t="s">
        <v>923</v>
      </c>
      <c r="GZ132" s="220" t="s">
        <v>924</v>
      </c>
      <c r="HA132" s="427" t="s">
        <v>872</v>
      </c>
      <c r="HB132" s="251" t="s">
        <v>925</v>
      </c>
      <c r="HC132" s="178"/>
      <c r="HD132" s="178"/>
      <c r="HE132" s="178"/>
      <c r="HF132" s="178"/>
      <c r="HG132" s="178"/>
      <c r="HH132" s="178"/>
      <c r="HI132" s="178"/>
      <c r="HJ132" s="178"/>
      <c r="HK132" s="178"/>
      <c r="HL132" s="178"/>
      <c r="HM132" s="178"/>
      <c r="HN132" s="178"/>
      <c r="HO132" s="178"/>
      <c r="HP132" s="178"/>
      <c r="HQ132" s="178"/>
      <c r="HR132" s="178"/>
      <c r="HS132" s="178"/>
      <c r="HT132" s="178"/>
      <c r="HU132" s="178"/>
      <c r="HV132" s="178"/>
      <c r="HW132" s="178"/>
      <c r="HX132" s="178"/>
      <c r="HY132" s="178"/>
      <c r="HZ132" s="178"/>
      <c r="IA132" s="178"/>
      <c r="IB132" s="178"/>
      <c r="IC132" s="178"/>
      <c r="ID132" s="178"/>
      <c r="IE132" s="178"/>
      <c r="IF132" s="178"/>
      <c r="IG132" s="178"/>
      <c r="IH132" s="178"/>
      <c r="II132" s="178"/>
      <c r="IJ132" s="178"/>
      <c r="IK132" s="178"/>
      <c r="IL132" s="178"/>
      <c r="IM132" s="178"/>
      <c r="IN132" s="178"/>
      <c r="IO132" s="178"/>
      <c r="IP132" s="178"/>
      <c r="IQ132" s="178"/>
      <c r="IR132" s="178"/>
      <c r="IS132" s="178"/>
      <c r="IT132" s="178"/>
      <c r="IU132" s="178"/>
      <c r="IV132" s="178"/>
      <c r="IW132" s="178"/>
      <c r="IX132" s="178"/>
      <c r="IY132" s="178"/>
      <c r="IZ132" s="178"/>
      <c r="JA132" s="178"/>
      <c r="JB132" s="178"/>
      <c r="JC132" s="178"/>
      <c r="JD132" s="178"/>
      <c r="JE132" s="178"/>
      <c r="JF132" s="178"/>
      <c r="JG132" s="178"/>
      <c r="JH132" s="178"/>
      <c r="JI132" s="178"/>
      <c r="JJ132" s="178"/>
      <c r="JK132" s="178"/>
      <c r="JL132" s="178"/>
      <c r="JM132" s="178"/>
      <c r="JN132" s="178"/>
      <c r="JO132" s="178"/>
      <c r="JP132" s="178"/>
      <c r="JQ132" s="178"/>
      <c r="JR132" s="178"/>
      <c r="JS132" s="178"/>
      <c r="JT132" s="178"/>
      <c r="JU132" s="178"/>
      <c r="JV132" s="178"/>
      <c r="JW132" s="178"/>
      <c r="JX132" s="178"/>
      <c r="JY132" s="178"/>
      <c r="JZ132" s="178"/>
      <c r="KA132" s="178"/>
    </row>
    <row r="133" spans="1:287" s="360" customFormat="1" ht="179.25" hidden="1" customHeight="1">
      <c r="A133" s="1011"/>
      <c r="B133" s="1397" t="s">
        <v>1418</v>
      </c>
      <c r="C133" s="754" t="s">
        <v>1419</v>
      </c>
      <c r="D133" s="755" t="s">
        <v>1420</v>
      </c>
      <c r="E133" s="861">
        <f t="shared" si="76"/>
        <v>1</v>
      </c>
      <c r="F133" s="861"/>
      <c r="G133" s="861"/>
      <c r="H133" s="861"/>
      <c r="I133" s="861"/>
      <c r="J133" s="858">
        <f t="shared" si="51"/>
        <v>0</v>
      </c>
      <c r="K133" s="858">
        <f t="shared" si="52"/>
        <v>0</v>
      </c>
      <c r="L133" s="858">
        <f t="shared" si="53"/>
        <v>0</v>
      </c>
      <c r="M133" s="858">
        <f t="shared" si="54"/>
        <v>0</v>
      </c>
      <c r="N133" s="858">
        <f t="shared" si="81"/>
        <v>0</v>
      </c>
      <c r="O133" s="861">
        <f t="shared" si="77"/>
        <v>1</v>
      </c>
      <c r="P133" s="861">
        <f t="shared" si="78"/>
        <v>0</v>
      </c>
      <c r="Q133" s="861">
        <f t="shared" si="73"/>
        <v>0</v>
      </c>
      <c r="R133" s="861">
        <f t="shared" si="74"/>
        <v>0</v>
      </c>
      <c r="S133" s="861">
        <f t="shared" si="75"/>
        <v>0</v>
      </c>
      <c r="T133" s="861"/>
      <c r="U133" s="858"/>
      <c r="V133" s="738"/>
      <c r="W133" s="738"/>
      <c r="X133" s="738"/>
      <c r="Y133" s="738"/>
      <c r="Z133" s="738"/>
      <c r="AA133" s="738"/>
      <c r="AB133" s="738"/>
      <c r="AC133" s="738"/>
      <c r="AD133" s="738"/>
      <c r="AE133" s="738"/>
      <c r="AF133" s="738"/>
      <c r="AG133" s="738"/>
      <c r="AH133" s="738"/>
      <c r="AI133" s="738"/>
      <c r="AJ133" s="738"/>
      <c r="AK133" s="738"/>
      <c r="AL133" s="738"/>
      <c r="AM133" s="738"/>
      <c r="AN133" s="738"/>
      <c r="AO133" s="738"/>
      <c r="AP133" s="738"/>
      <c r="AQ133" s="738"/>
      <c r="AR133" s="738"/>
      <c r="AS133" s="738"/>
      <c r="AT133" s="738"/>
      <c r="AU133" s="738"/>
      <c r="AV133" s="738"/>
      <c r="AW133" s="738"/>
      <c r="AX133" s="738"/>
      <c r="AY133" s="738"/>
      <c r="AZ133" s="738"/>
      <c r="BA133" s="738"/>
      <c r="BB133" s="738"/>
      <c r="BC133" s="738"/>
      <c r="BD133" s="738"/>
      <c r="BE133" s="738"/>
      <c r="BF133" s="738"/>
      <c r="BG133" s="738"/>
      <c r="BH133" s="738"/>
      <c r="BI133" s="738"/>
      <c r="BJ133" s="738"/>
      <c r="BK133" s="738"/>
      <c r="BL133" s="738"/>
      <c r="BM133" s="738"/>
      <c r="BN133" s="738"/>
      <c r="BO133" s="738"/>
      <c r="BP133" s="738"/>
      <c r="BQ133" s="738"/>
      <c r="BR133" s="738"/>
      <c r="BS133" s="738"/>
      <c r="BT133" s="738"/>
      <c r="BU133" s="738"/>
      <c r="BV133" s="738"/>
      <c r="BW133" s="738"/>
      <c r="BX133" s="738"/>
      <c r="BY133" s="738"/>
      <c r="BZ133" s="738"/>
      <c r="CA133" s="738"/>
      <c r="CB133" s="738"/>
      <c r="CC133" s="738"/>
      <c r="CD133" s="738"/>
      <c r="CE133" s="738"/>
      <c r="CF133" s="738"/>
      <c r="CG133" s="738"/>
      <c r="CH133" s="738"/>
      <c r="CI133" s="738"/>
      <c r="CJ133" s="738"/>
      <c r="CK133" s="738"/>
      <c r="CL133" s="738"/>
      <c r="CM133" s="738"/>
      <c r="CN133" s="738"/>
      <c r="CO133" s="738"/>
      <c r="CP133" s="738"/>
      <c r="CQ133" s="738"/>
      <c r="CR133" s="738"/>
      <c r="CS133" s="738"/>
      <c r="CT133" s="738"/>
      <c r="CU133" s="738"/>
      <c r="CV133" s="738"/>
      <c r="CW133" s="738"/>
      <c r="CX133" s="738"/>
      <c r="CY133" s="738"/>
      <c r="CZ133" s="738"/>
      <c r="DA133" s="738"/>
      <c r="DB133" s="738"/>
      <c r="DC133" s="738"/>
      <c r="DD133" s="738"/>
      <c r="DE133" s="738"/>
      <c r="DF133" s="738"/>
      <c r="DG133" s="738"/>
      <c r="DH133" s="738"/>
      <c r="DI133" s="738"/>
      <c r="DJ133" s="738"/>
      <c r="DK133" s="738"/>
      <c r="DL133" s="738"/>
      <c r="DM133" s="738"/>
      <c r="DN133" s="738"/>
      <c r="DO133" s="738"/>
      <c r="DP133" s="738"/>
      <c r="DQ133" s="738"/>
      <c r="DR133" s="738"/>
      <c r="DS133" s="738"/>
      <c r="DT133" s="738"/>
      <c r="DU133" s="738"/>
      <c r="DV133" s="738"/>
      <c r="DW133" s="738"/>
      <c r="DX133" s="738"/>
      <c r="DY133" s="738"/>
      <c r="DZ133" s="738"/>
      <c r="EA133" s="738"/>
      <c r="EB133" s="738"/>
      <c r="EC133" s="738"/>
      <c r="ED133" s="738"/>
      <c r="EE133" s="738"/>
      <c r="EF133" s="738"/>
      <c r="EG133" s="738"/>
      <c r="EH133" s="738"/>
      <c r="EI133" s="738"/>
      <c r="EJ133" s="738"/>
      <c r="EK133" s="738"/>
      <c r="EL133" s="738"/>
      <c r="EM133" s="738"/>
      <c r="EN133" s="738"/>
      <c r="EO133" s="738"/>
      <c r="EP133" s="738"/>
      <c r="EQ133" s="738"/>
      <c r="ER133" s="738"/>
      <c r="ES133" s="738"/>
      <c r="ET133" s="738"/>
      <c r="EU133" s="738"/>
      <c r="EV133" s="738"/>
      <c r="EW133" s="738"/>
      <c r="EX133" s="738"/>
      <c r="EY133" s="738"/>
      <c r="EZ133" s="738"/>
      <c r="FA133" s="738"/>
      <c r="FB133" s="738"/>
      <c r="FC133" s="738"/>
      <c r="FD133" s="738"/>
      <c r="FE133" s="738"/>
      <c r="FF133" s="738"/>
      <c r="FG133" s="738"/>
      <c r="FH133" s="738"/>
      <c r="FI133" s="738"/>
      <c r="FJ133" s="738"/>
      <c r="FK133" s="738"/>
      <c r="FL133" s="738"/>
      <c r="FM133" s="738">
        <v>1</v>
      </c>
      <c r="FN133" s="738"/>
      <c r="FO133" s="738"/>
      <c r="FP133" s="738"/>
      <c r="FQ133" s="738"/>
      <c r="FR133" s="738"/>
      <c r="FS133" s="738"/>
      <c r="FT133" s="738"/>
      <c r="FU133" s="738"/>
      <c r="FV133" s="738"/>
      <c r="FW133" s="738"/>
      <c r="FX133" s="738"/>
      <c r="FY133" s="738"/>
      <c r="FZ133" s="738"/>
      <c r="GA133" s="738"/>
      <c r="GB133" s="738"/>
      <c r="GC133" s="738"/>
      <c r="GD133" s="738"/>
      <c r="GE133" s="738"/>
      <c r="GF133" s="738"/>
      <c r="GG133" s="738"/>
      <c r="GH133" s="738"/>
      <c r="GI133" s="738"/>
      <c r="GJ133" s="738"/>
      <c r="GK133" s="738"/>
      <c r="GL133" s="738"/>
      <c r="GM133" s="738"/>
      <c r="GN133" s="738"/>
      <c r="GO133" s="738"/>
      <c r="GP133" s="738"/>
      <c r="GQ133" s="738"/>
      <c r="GR133" s="738"/>
      <c r="GS133" s="738"/>
      <c r="GT133" s="738"/>
      <c r="GU133" s="738"/>
      <c r="GV133" s="738"/>
      <c r="GW133" s="398"/>
      <c r="GX133" s="1013" t="s">
        <v>1421</v>
      </c>
      <c r="GY133" s="1013"/>
      <c r="GZ133" s="1396"/>
      <c r="HA133" s="878"/>
      <c r="HB133" s="753" t="s">
        <v>1358</v>
      </c>
      <c r="HC133" s="178"/>
      <c r="HD133" s="178"/>
      <c r="HE133" s="178"/>
      <c r="HF133" s="178"/>
      <c r="HG133" s="178"/>
      <c r="HH133" s="178"/>
      <c r="HI133" s="178"/>
      <c r="HJ133" s="178"/>
      <c r="HK133" s="178"/>
      <c r="HL133" s="178"/>
      <c r="HM133" s="178"/>
      <c r="HN133" s="178"/>
      <c r="HO133" s="178"/>
      <c r="HP133" s="178"/>
      <c r="HQ133" s="178"/>
      <c r="HR133" s="178"/>
      <c r="HS133" s="178"/>
      <c r="HT133" s="178"/>
      <c r="HU133" s="178"/>
      <c r="HV133" s="178"/>
      <c r="HW133" s="178"/>
      <c r="HX133" s="178"/>
      <c r="HY133" s="178"/>
      <c r="HZ133" s="178"/>
      <c r="IA133" s="178"/>
      <c r="IB133" s="178"/>
      <c r="IC133" s="178"/>
      <c r="ID133" s="178"/>
      <c r="IE133" s="178"/>
      <c r="IF133" s="178"/>
      <c r="IG133" s="178"/>
      <c r="IH133" s="178"/>
      <c r="II133" s="178"/>
      <c r="IJ133" s="178"/>
      <c r="IK133" s="178"/>
      <c r="IL133" s="178"/>
      <c r="IM133" s="178"/>
      <c r="IN133" s="178"/>
      <c r="IO133" s="178"/>
      <c r="IP133" s="178"/>
      <c r="IQ133" s="178"/>
      <c r="IR133" s="178"/>
      <c r="IS133" s="178"/>
      <c r="IT133" s="178"/>
      <c r="IU133" s="178"/>
      <c r="IV133" s="178"/>
      <c r="IW133" s="178"/>
      <c r="IX133" s="178"/>
      <c r="IY133" s="178"/>
      <c r="IZ133" s="178"/>
      <c r="JA133" s="178"/>
      <c r="JB133" s="178"/>
      <c r="JC133" s="178"/>
      <c r="JD133" s="178"/>
      <c r="JE133" s="178"/>
      <c r="JF133" s="178"/>
      <c r="JG133" s="178"/>
      <c r="JH133" s="178"/>
      <c r="JI133" s="178"/>
      <c r="JJ133" s="178"/>
      <c r="JK133" s="178"/>
      <c r="JL133" s="178"/>
      <c r="JM133" s="178"/>
      <c r="JN133" s="178"/>
      <c r="JO133" s="178"/>
      <c r="JP133" s="178"/>
      <c r="JQ133" s="178"/>
      <c r="JR133" s="178"/>
      <c r="JS133" s="178"/>
      <c r="JT133" s="178"/>
      <c r="JU133" s="178"/>
      <c r="JV133" s="178"/>
      <c r="JW133" s="178"/>
      <c r="JX133" s="178"/>
      <c r="JY133" s="178"/>
      <c r="JZ133" s="178"/>
      <c r="KA133" s="178"/>
    </row>
    <row r="134" spans="1:287" s="360" customFormat="1" ht="179.25" hidden="1" customHeight="1">
      <c r="A134" s="1011"/>
      <c r="B134" s="1445" t="s">
        <v>1432</v>
      </c>
      <c r="C134" s="754">
        <v>2</v>
      </c>
      <c r="D134" s="755" t="s">
        <v>1433</v>
      </c>
      <c r="E134" s="861">
        <f t="shared" si="76"/>
        <v>2</v>
      </c>
      <c r="F134" s="861"/>
      <c r="G134" s="861"/>
      <c r="H134" s="861"/>
      <c r="I134" s="861"/>
      <c r="J134" s="858">
        <v>0</v>
      </c>
      <c r="K134" s="858">
        <v>0</v>
      </c>
      <c r="L134" s="858">
        <v>0</v>
      </c>
      <c r="M134" s="858">
        <v>0</v>
      </c>
      <c r="N134" s="858">
        <v>0</v>
      </c>
      <c r="O134" s="861">
        <f t="shared" si="77"/>
        <v>2</v>
      </c>
      <c r="P134" s="861">
        <f t="shared" si="78"/>
        <v>0</v>
      </c>
      <c r="Q134" s="861">
        <f t="shared" si="73"/>
        <v>0</v>
      </c>
      <c r="R134" s="861">
        <f t="shared" si="74"/>
        <v>0</v>
      </c>
      <c r="S134" s="861">
        <f t="shared" si="75"/>
        <v>0</v>
      </c>
      <c r="T134" s="858"/>
      <c r="U134" s="858"/>
      <c r="V134" s="738"/>
      <c r="W134" s="738"/>
      <c r="X134" s="738"/>
      <c r="Y134" s="738"/>
      <c r="Z134" s="738"/>
      <c r="AA134" s="738"/>
      <c r="AB134" s="738"/>
      <c r="AC134" s="738"/>
      <c r="AD134" s="738"/>
      <c r="AE134" s="738"/>
      <c r="AF134" s="738"/>
      <c r="AG134" s="738"/>
      <c r="AH134" s="738"/>
      <c r="AI134" s="738"/>
      <c r="AJ134" s="738"/>
      <c r="AK134" s="738"/>
      <c r="AL134" s="738"/>
      <c r="AM134" s="738"/>
      <c r="AN134" s="738"/>
      <c r="AO134" s="738"/>
      <c r="AP134" s="738"/>
      <c r="AQ134" s="738"/>
      <c r="AR134" s="738"/>
      <c r="AS134" s="738"/>
      <c r="AT134" s="738"/>
      <c r="AU134" s="738"/>
      <c r="AV134" s="738"/>
      <c r="AW134" s="738"/>
      <c r="AX134" s="738"/>
      <c r="AY134" s="738"/>
      <c r="AZ134" s="738"/>
      <c r="BA134" s="738"/>
      <c r="BB134" s="738"/>
      <c r="BC134" s="738"/>
      <c r="BD134" s="738"/>
      <c r="BE134" s="738"/>
      <c r="BF134" s="738"/>
      <c r="BG134" s="738"/>
      <c r="BH134" s="738"/>
      <c r="BI134" s="738"/>
      <c r="BJ134" s="738"/>
      <c r="BK134" s="738"/>
      <c r="BL134" s="738"/>
      <c r="BM134" s="738"/>
      <c r="BN134" s="738"/>
      <c r="BO134" s="738"/>
      <c r="BP134" s="738"/>
      <c r="BQ134" s="738"/>
      <c r="BR134" s="738"/>
      <c r="BS134" s="738"/>
      <c r="BT134" s="738"/>
      <c r="BU134" s="738"/>
      <c r="BV134" s="738"/>
      <c r="BW134" s="738"/>
      <c r="BX134" s="738"/>
      <c r="BY134" s="738"/>
      <c r="BZ134" s="738"/>
      <c r="CA134" s="738"/>
      <c r="CB134" s="738"/>
      <c r="CC134" s="738"/>
      <c r="CD134" s="738"/>
      <c r="CE134" s="738"/>
      <c r="CF134" s="738"/>
      <c r="CG134" s="738"/>
      <c r="CH134" s="738"/>
      <c r="CI134" s="738"/>
      <c r="CJ134" s="738"/>
      <c r="CK134" s="738"/>
      <c r="CL134" s="738"/>
      <c r="CM134" s="738"/>
      <c r="CN134" s="738"/>
      <c r="CO134" s="738"/>
      <c r="CP134" s="738"/>
      <c r="CQ134" s="738"/>
      <c r="CR134" s="738"/>
      <c r="CS134" s="738"/>
      <c r="CT134" s="738"/>
      <c r="CU134" s="738"/>
      <c r="CV134" s="738"/>
      <c r="CW134" s="738"/>
      <c r="CX134" s="738"/>
      <c r="CY134" s="738"/>
      <c r="CZ134" s="738"/>
      <c r="DA134" s="738"/>
      <c r="DB134" s="738"/>
      <c r="DC134" s="738"/>
      <c r="DD134" s="738"/>
      <c r="DE134" s="738"/>
      <c r="DF134" s="738"/>
      <c r="DG134" s="738"/>
      <c r="DH134" s="738"/>
      <c r="DI134" s="738"/>
      <c r="DJ134" s="738"/>
      <c r="DK134" s="738"/>
      <c r="DL134" s="738"/>
      <c r="DM134" s="738"/>
      <c r="DN134" s="738"/>
      <c r="DO134" s="738"/>
      <c r="DP134" s="738"/>
      <c r="DQ134" s="738"/>
      <c r="DR134" s="738"/>
      <c r="DS134" s="738"/>
      <c r="DT134" s="738"/>
      <c r="DU134" s="738"/>
      <c r="DV134" s="738"/>
      <c r="DW134" s="738"/>
      <c r="DX134" s="738"/>
      <c r="DY134" s="738"/>
      <c r="DZ134" s="738"/>
      <c r="EA134" s="738"/>
      <c r="EB134" s="738"/>
      <c r="EC134" s="738"/>
      <c r="ED134" s="738"/>
      <c r="EE134" s="738"/>
      <c r="EF134" s="738"/>
      <c r="EG134" s="738"/>
      <c r="EH134" s="738"/>
      <c r="EI134" s="738"/>
      <c r="EJ134" s="738"/>
      <c r="EK134" s="738"/>
      <c r="EL134" s="738"/>
      <c r="EM134" s="738"/>
      <c r="EN134" s="738"/>
      <c r="EO134" s="738"/>
      <c r="EP134" s="738"/>
      <c r="EQ134" s="738"/>
      <c r="ER134" s="738"/>
      <c r="ES134" s="738"/>
      <c r="ET134" s="738"/>
      <c r="EU134" s="738"/>
      <c r="EV134" s="738"/>
      <c r="EW134" s="738"/>
      <c r="EX134" s="738"/>
      <c r="EY134" s="738"/>
      <c r="EZ134" s="738"/>
      <c r="FA134" s="738"/>
      <c r="FB134" s="738"/>
      <c r="FC134" s="738"/>
      <c r="FD134" s="738"/>
      <c r="FE134" s="738"/>
      <c r="FF134" s="738"/>
      <c r="FG134" s="738"/>
      <c r="FH134" s="738"/>
      <c r="FI134" s="738"/>
      <c r="FJ134" s="738"/>
      <c r="FK134" s="738"/>
      <c r="FL134" s="738"/>
      <c r="FM134" s="738"/>
      <c r="FN134" s="738"/>
      <c r="FO134" s="738"/>
      <c r="FP134" s="738"/>
      <c r="FQ134" s="738"/>
      <c r="FR134" s="738"/>
      <c r="FS134" s="738"/>
      <c r="FT134" s="738"/>
      <c r="FU134" s="738"/>
      <c r="FV134" s="738">
        <v>2</v>
      </c>
      <c r="FW134" s="738"/>
      <c r="FX134" s="738"/>
      <c r="FY134" s="738"/>
      <c r="FZ134" s="738"/>
      <c r="GA134" s="738"/>
      <c r="GB134" s="738"/>
      <c r="GC134" s="738"/>
      <c r="GD134" s="738"/>
      <c r="GE134" s="738"/>
      <c r="GF134" s="738"/>
      <c r="GG134" s="738"/>
      <c r="GH134" s="738"/>
      <c r="GI134" s="738"/>
      <c r="GJ134" s="738"/>
      <c r="GK134" s="738"/>
      <c r="GL134" s="738"/>
      <c r="GM134" s="738"/>
      <c r="GN134" s="738"/>
      <c r="GO134" s="738"/>
      <c r="GP134" s="738"/>
      <c r="GQ134" s="738"/>
      <c r="GR134" s="738"/>
      <c r="GS134" s="738"/>
      <c r="GT134" s="738"/>
      <c r="GU134" s="738"/>
      <c r="GV134" s="738"/>
      <c r="GW134" s="398"/>
      <c r="GX134" s="1013"/>
      <c r="GY134" s="1013"/>
      <c r="GZ134" s="1444"/>
      <c r="HA134" s="878"/>
      <c r="HB134" s="753"/>
      <c r="HC134" s="178"/>
      <c r="HD134" s="178"/>
      <c r="HE134" s="178"/>
      <c r="HF134" s="178"/>
      <c r="HG134" s="178"/>
      <c r="HH134" s="178"/>
      <c r="HI134" s="178"/>
      <c r="HJ134" s="178"/>
      <c r="HK134" s="178"/>
      <c r="HL134" s="178"/>
      <c r="HM134" s="178"/>
      <c r="HN134" s="178"/>
      <c r="HO134" s="178"/>
      <c r="HP134" s="178"/>
      <c r="HQ134" s="178"/>
      <c r="HR134" s="178"/>
      <c r="HS134" s="178"/>
      <c r="HT134" s="178"/>
      <c r="HU134" s="178"/>
      <c r="HV134" s="178"/>
      <c r="HW134" s="178"/>
      <c r="HX134" s="178"/>
      <c r="HY134" s="178"/>
      <c r="HZ134" s="178"/>
      <c r="IA134" s="178"/>
      <c r="IB134" s="178"/>
      <c r="IC134" s="178"/>
      <c r="ID134" s="178"/>
      <c r="IE134" s="178"/>
      <c r="IF134" s="178"/>
      <c r="IG134" s="178"/>
      <c r="IH134" s="178"/>
      <c r="II134" s="178"/>
      <c r="IJ134" s="178"/>
      <c r="IK134" s="178"/>
      <c r="IL134" s="178"/>
      <c r="IM134" s="178"/>
      <c r="IN134" s="178"/>
      <c r="IO134" s="178"/>
      <c r="IP134" s="178"/>
      <c r="IQ134" s="178"/>
      <c r="IR134" s="178"/>
      <c r="IS134" s="178"/>
      <c r="IT134" s="178"/>
      <c r="IU134" s="178"/>
      <c r="IV134" s="178"/>
      <c r="IW134" s="178"/>
      <c r="IX134" s="178"/>
      <c r="IY134" s="178"/>
      <c r="IZ134" s="178"/>
      <c r="JA134" s="178"/>
      <c r="JB134" s="178"/>
      <c r="JC134" s="178"/>
      <c r="JD134" s="178"/>
      <c r="JE134" s="178"/>
      <c r="JF134" s="178"/>
      <c r="JG134" s="178"/>
      <c r="JH134" s="178"/>
      <c r="JI134" s="178"/>
      <c r="JJ134" s="178"/>
      <c r="JK134" s="178"/>
      <c r="JL134" s="178"/>
      <c r="JM134" s="178"/>
      <c r="JN134" s="178"/>
      <c r="JO134" s="178"/>
      <c r="JP134" s="178"/>
      <c r="JQ134" s="178"/>
      <c r="JR134" s="178"/>
      <c r="JS134" s="178"/>
      <c r="JT134" s="178"/>
      <c r="JU134" s="178"/>
      <c r="JV134" s="178"/>
      <c r="JW134" s="178"/>
      <c r="JX134" s="178"/>
      <c r="JY134" s="178"/>
      <c r="JZ134" s="178"/>
      <c r="KA134" s="178"/>
    </row>
    <row r="135" spans="1:287" s="178" customFormat="1" ht="84" hidden="1" customHeight="1">
      <c r="A135" s="222">
        <v>53</v>
      </c>
      <c r="B135" s="993" t="s">
        <v>1202</v>
      </c>
      <c r="C135" s="754" t="s">
        <v>843</v>
      </c>
      <c r="D135" s="755" t="s">
        <v>1203</v>
      </c>
      <c r="E135" s="861">
        <f t="shared" si="76"/>
        <v>2</v>
      </c>
      <c r="F135" s="858">
        <v>0</v>
      </c>
      <c r="G135" s="858">
        <v>0</v>
      </c>
      <c r="H135" s="858">
        <v>0</v>
      </c>
      <c r="I135" s="858">
        <v>0</v>
      </c>
      <c r="J135" s="858">
        <f t="shared" si="51"/>
        <v>0</v>
      </c>
      <c r="K135" s="858">
        <f t="shared" si="52"/>
        <v>1</v>
      </c>
      <c r="L135" s="861">
        <f t="shared" si="53"/>
        <v>2</v>
      </c>
      <c r="M135" s="858">
        <f t="shared" si="54"/>
        <v>0</v>
      </c>
      <c r="N135" s="861">
        <f t="shared" si="81"/>
        <v>0</v>
      </c>
      <c r="O135" s="861">
        <f t="shared" si="77"/>
        <v>0</v>
      </c>
      <c r="P135" s="861">
        <f t="shared" si="78"/>
        <v>0</v>
      </c>
      <c r="Q135" s="861">
        <f t="shared" si="73"/>
        <v>0</v>
      </c>
      <c r="R135" s="861">
        <f t="shared" si="74"/>
        <v>0</v>
      </c>
      <c r="S135" s="861">
        <f t="shared" si="75"/>
        <v>0</v>
      </c>
      <c r="T135" s="861"/>
      <c r="U135" s="861"/>
      <c r="V135" s="271"/>
      <c r="W135" s="271"/>
      <c r="X135" s="271"/>
      <c r="Y135" s="271"/>
      <c r="Z135" s="271"/>
      <c r="AA135" s="271"/>
      <c r="AB135" s="271"/>
      <c r="AC135" s="271"/>
      <c r="AD135" s="271"/>
      <c r="AE135" s="738"/>
      <c r="AF135" s="738"/>
      <c r="AG135" s="738">
        <v>1</v>
      </c>
      <c r="AH135" s="738"/>
      <c r="AI135" s="738"/>
      <c r="AJ135" s="738"/>
      <c r="AK135" s="738"/>
      <c r="AL135" s="738"/>
      <c r="AM135" s="738"/>
      <c r="AN135" s="738"/>
      <c r="AO135" s="738"/>
      <c r="AP135" s="738"/>
      <c r="AQ135" s="738"/>
      <c r="AR135" s="738"/>
      <c r="AS135" s="738"/>
      <c r="AT135" s="738"/>
      <c r="AU135" s="738"/>
      <c r="AV135" s="738"/>
      <c r="AW135" s="738"/>
      <c r="AX135" s="738"/>
      <c r="AY135" s="738"/>
      <c r="AZ135" s="738"/>
      <c r="BA135" s="738"/>
      <c r="BB135" s="738"/>
      <c r="BC135" s="738"/>
      <c r="BD135" s="271"/>
      <c r="BE135" s="271"/>
      <c r="BF135" s="738"/>
      <c r="BG135" s="271"/>
      <c r="BH135" s="271"/>
      <c r="BI135" s="738"/>
      <c r="BJ135" s="738"/>
      <c r="BK135" s="738"/>
      <c r="BL135" s="738"/>
      <c r="BM135" s="738"/>
      <c r="BN135" s="271"/>
      <c r="BO135" s="271"/>
      <c r="BP135" s="271"/>
      <c r="BQ135" s="271"/>
      <c r="BR135" s="738"/>
      <c r="BS135" s="738"/>
      <c r="BT135" s="738"/>
      <c r="BU135" s="738"/>
      <c r="BV135" s="738"/>
      <c r="BW135" s="738"/>
      <c r="BX135" s="738"/>
      <c r="BY135" s="738"/>
      <c r="BZ135" s="738"/>
      <c r="CA135" s="738"/>
      <c r="CB135" s="271">
        <v>2</v>
      </c>
      <c r="CC135" s="738"/>
      <c r="CD135" s="738"/>
      <c r="CE135" s="738"/>
      <c r="CF135" s="271"/>
      <c r="CG135" s="271"/>
      <c r="CH135" s="738"/>
      <c r="CI135" s="271"/>
      <c r="CJ135" s="738"/>
      <c r="CK135" s="738"/>
      <c r="CL135" s="271"/>
      <c r="CM135" s="271"/>
      <c r="CN135" s="271"/>
      <c r="CO135" s="738"/>
      <c r="CP135" s="271"/>
      <c r="CQ135" s="738"/>
      <c r="CR135" s="738"/>
      <c r="CS135" s="738"/>
      <c r="CT135" s="738"/>
      <c r="CU135" s="738"/>
      <c r="CV135" s="738"/>
      <c r="CW135" s="738"/>
      <c r="CX135" s="738"/>
      <c r="CY135" s="738"/>
      <c r="CZ135" s="738"/>
      <c r="DA135" s="738"/>
      <c r="DB135" s="271"/>
      <c r="DC135" s="271"/>
      <c r="DD135" s="271"/>
      <c r="DE135" s="738"/>
      <c r="DF135" s="738"/>
      <c r="DG135" s="271"/>
      <c r="DH135" s="738"/>
      <c r="DI135" s="738"/>
      <c r="DJ135" s="738"/>
      <c r="DK135" s="271"/>
      <c r="DL135" s="738"/>
      <c r="DM135" s="738"/>
      <c r="DN135" s="271"/>
      <c r="DO135" s="271"/>
      <c r="DP135" s="738"/>
      <c r="DQ135" s="738"/>
      <c r="DR135" s="271"/>
      <c r="DS135" s="738"/>
      <c r="DT135" s="738"/>
      <c r="DU135" s="738"/>
      <c r="DV135" s="271"/>
      <c r="DW135" s="271"/>
      <c r="DX135" s="271"/>
      <c r="DY135" s="271"/>
      <c r="DZ135" s="738"/>
      <c r="EA135" s="738"/>
      <c r="EB135" s="271"/>
      <c r="EC135" s="271"/>
      <c r="ED135" s="271"/>
      <c r="EE135" s="271"/>
      <c r="EF135" s="271"/>
      <c r="EG135" s="738"/>
      <c r="EH135" s="738"/>
      <c r="EI135" s="738"/>
      <c r="EJ135" s="271"/>
      <c r="EK135" s="271"/>
      <c r="EL135" s="738"/>
      <c r="EM135" s="738"/>
      <c r="EN135" s="738"/>
      <c r="EO135" s="738"/>
      <c r="EP135" s="738"/>
      <c r="EQ135" s="738"/>
      <c r="ER135" s="271"/>
      <c r="ES135" s="271"/>
      <c r="ET135" s="271"/>
      <c r="EU135" s="738"/>
      <c r="EV135" s="738"/>
      <c r="EW135" s="271"/>
      <c r="EX135" s="271"/>
      <c r="EY135" s="271"/>
      <c r="EZ135" s="271"/>
      <c r="FA135" s="738"/>
      <c r="FB135" s="738"/>
      <c r="FC135" s="738"/>
      <c r="FD135" s="271"/>
      <c r="FE135" s="271"/>
      <c r="FF135" s="271"/>
      <c r="FG135" s="271"/>
      <c r="FH135" s="271"/>
      <c r="FI135" s="738"/>
      <c r="FJ135" s="738"/>
      <c r="FK135" s="738"/>
      <c r="FL135" s="271"/>
      <c r="FM135" s="271"/>
      <c r="FN135" s="738"/>
      <c r="FO135" s="271"/>
      <c r="FP135" s="738"/>
      <c r="FQ135" s="738"/>
      <c r="FR135" s="738"/>
      <c r="FS135" s="271"/>
      <c r="FT135" s="271"/>
      <c r="FU135" s="738"/>
      <c r="FV135" s="271"/>
      <c r="FW135" s="738"/>
      <c r="FX135" s="271"/>
      <c r="FY135" s="738"/>
      <c r="FZ135" s="738"/>
      <c r="GA135" s="738"/>
      <c r="GB135" s="738"/>
      <c r="GC135" s="738"/>
      <c r="GD135" s="738"/>
      <c r="GE135" s="738"/>
      <c r="GF135" s="271"/>
      <c r="GG135" s="738"/>
      <c r="GH135" s="271"/>
      <c r="GI135" s="738"/>
      <c r="GJ135" s="271"/>
      <c r="GK135" s="738"/>
      <c r="GL135" s="738"/>
      <c r="GM135" s="738"/>
      <c r="GN135" s="738"/>
      <c r="GO135" s="271"/>
      <c r="GP135" s="271"/>
      <c r="GQ135" s="271"/>
      <c r="GR135" s="271"/>
      <c r="GS135" s="271"/>
      <c r="GT135" s="271"/>
      <c r="GU135" s="271"/>
      <c r="GV135" s="271"/>
      <c r="GW135" s="414" t="s">
        <v>1265</v>
      </c>
      <c r="GX135" s="415" t="s">
        <v>1264</v>
      </c>
      <c r="GY135" s="415" t="s">
        <v>1266</v>
      </c>
      <c r="GZ135" s="889"/>
      <c r="HA135" s="878" t="s">
        <v>872</v>
      </c>
      <c r="HB135" s="753" t="s">
        <v>847</v>
      </c>
    </row>
    <row r="136" spans="1:287" s="178" customFormat="1" ht="28.5" hidden="1" customHeight="1">
      <c r="A136" s="212">
        <v>54</v>
      </c>
      <c r="B136" s="1611" t="s">
        <v>926</v>
      </c>
      <c r="C136" s="212" t="s">
        <v>843</v>
      </c>
      <c r="D136" s="380" t="s">
        <v>927</v>
      </c>
      <c r="E136" s="861">
        <f t="shared" si="76"/>
        <v>0</v>
      </c>
      <c r="F136" s="377">
        <v>0</v>
      </c>
      <c r="G136" s="377">
        <v>0</v>
      </c>
      <c r="H136" s="377">
        <v>0</v>
      </c>
      <c r="I136" s="377">
        <v>0</v>
      </c>
      <c r="J136" s="858">
        <f t="shared" si="51"/>
        <v>0</v>
      </c>
      <c r="K136" s="861">
        <f t="shared" si="52"/>
        <v>0</v>
      </c>
      <c r="L136" s="861">
        <f t="shared" si="53"/>
        <v>0</v>
      </c>
      <c r="M136" s="858">
        <f t="shared" si="54"/>
        <v>0</v>
      </c>
      <c r="N136" s="861">
        <f t="shared" si="81"/>
        <v>0</v>
      </c>
      <c r="O136" s="861">
        <f t="shared" si="77"/>
        <v>0</v>
      </c>
      <c r="P136" s="861">
        <f t="shared" si="78"/>
        <v>0</v>
      </c>
      <c r="Q136" s="861">
        <f t="shared" si="73"/>
        <v>0</v>
      </c>
      <c r="R136" s="861">
        <f t="shared" si="74"/>
        <v>0</v>
      </c>
      <c r="S136" s="861">
        <f t="shared" si="75"/>
        <v>0</v>
      </c>
      <c r="T136" s="861"/>
      <c r="U136" s="861"/>
      <c r="V136" s="271"/>
      <c r="W136" s="271"/>
      <c r="X136" s="271"/>
      <c r="Y136" s="271"/>
      <c r="Z136" s="271"/>
      <c r="AA136" s="271"/>
      <c r="AB136" s="271"/>
      <c r="AC136" s="271"/>
      <c r="AD136" s="271"/>
      <c r="AE136" s="738"/>
      <c r="AF136" s="738"/>
      <c r="AG136" s="738"/>
      <c r="AH136" s="738"/>
      <c r="AI136" s="738"/>
      <c r="AJ136" s="738"/>
      <c r="AK136" s="738"/>
      <c r="AL136" s="738"/>
      <c r="AM136" s="738"/>
      <c r="AN136" s="738"/>
      <c r="AO136" s="738"/>
      <c r="AP136" s="738"/>
      <c r="AQ136" s="738"/>
      <c r="AR136" s="738"/>
      <c r="AS136" s="738"/>
      <c r="AT136" s="738"/>
      <c r="AU136" s="738"/>
      <c r="AV136" s="738"/>
      <c r="AW136" s="738"/>
      <c r="AX136" s="738"/>
      <c r="AY136" s="738"/>
      <c r="AZ136" s="738"/>
      <c r="BA136" s="738"/>
      <c r="BB136" s="738"/>
      <c r="BC136" s="738"/>
      <c r="BD136" s="271"/>
      <c r="BE136" s="271"/>
      <c r="BF136" s="738"/>
      <c r="BG136" s="271"/>
      <c r="BH136" s="271"/>
      <c r="BI136" s="738"/>
      <c r="BJ136" s="738"/>
      <c r="BK136" s="738"/>
      <c r="BL136" s="738"/>
      <c r="BM136" s="738"/>
      <c r="BN136" s="271"/>
      <c r="BO136" s="271"/>
      <c r="BP136" s="271"/>
      <c r="BQ136" s="271"/>
      <c r="BR136" s="738"/>
      <c r="BS136" s="738"/>
      <c r="BT136" s="738"/>
      <c r="BU136" s="738"/>
      <c r="BV136" s="738"/>
      <c r="BW136" s="738"/>
      <c r="BX136" s="738"/>
      <c r="BY136" s="738"/>
      <c r="BZ136" s="738"/>
      <c r="CA136" s="738"/>
      <c r="CB136" s="271"/>
      <c r="CC136" s="738"/>
      <c r="CD136" s="738"/>
      <c r="CE136" s="738"/>
      <c r="CF136" s="271"/>
      <c r="CG136" s="271"/>
      <c r="CH136" s="738"/>
      <c r="CI136" s="271"/>
      <c r="CJ136" s="738"/>
      <c r="CK136" s="738"/>
      <c r="CL136" s="271"/>
      <c r="CM136" s="271"/>
      <c r="CN136" s="271"/>
      <c r="CO136" s="738"/>
      <c r="CP136" s="271"/>
      <c r="CQ136" s="738"/>
      <c r="CR136" s="738"/>
      <c r="CS136" s="738"/>
      <c r="CT136" s="738"/>
      <c r="CU136" s="738"/>
      <c r="CV136" s="738"/>
      <c r="CW136" s="738"/>
      <c r="CX136" s="738"/>
      <c r="CY136" s="738"/>
      <c r="CZ136" s="738"/>
      <c r="DA136" s="738"/>
      <c r="DB136" s="271"/>
      <c r="DC136" s="271"/>
      <c r="DD136" s="271"/>
      <c r="DE136" s="738"/>
      <c r="DF136" s="738"/>
      <c r="DG136" s="271"/>
      <c r="DH136" s="738"/>
      <c r="DI136" s="738"/>
      <c r="DJ136" s="738"/>
      <c r="DK136" s="271"/>
      <c r="DL136" s="738"/>
      <c r="DM136" s="738"/>
      <c r="DN136" s="271"/>
      <c r="DO136" s="271"/>
      <c r="DP136" s="738"/>
      <c r="DQ136" s="738"/>
      <c r="DR136" s="271"/>
      <c r="DS136" s="738"/>
      <c r="DT136" s="738"/>
      <c r="DU136" s="738"/>
      <c r="DV136" s="271"/>
      <c r="DW136" s="271"/>
      <c r="DX136" s="271"/>
      <c r="DY136" s="271"/>
      <c r="DZ136" s="738"/>
      <c r="EA136" s="738"/>
      <c r="EB136" s="271"/>
      <c r="EC136" s="271"/>
      <c r="ED136" s="271"/>
      <c r="EE136" s="271"/>
      <c r="EF136" s="271"/>
      <c r="EG136" s="738"/>
      <c r="EH136" s="738"/>
      <c r="EI136" s="738"/>
      <c r="EJ136" s="271"/>
      <c r="EK136" s="271"/>
      <c r="EL136" s="738"/>
      <c r="EM136" s="738"/>
      <c r="EN136" s="738"/>
      <c r="EO136" s="738"/>
      <c r="EP136" s="738"/>
      <c r="EQ136" s="738"/>
      <c r="ER136" s="271"/>
      <c r="ES136" s="271"/>
      <c r="ET136" s="271"/>
      <c r="EU136" s="738"/>
      <c r="EV136" s="738"/>
      <c r="EW136" s="271"/>
      <c r="EX136" s="271"/>
      <c r="EY136" s="271"/>
      <c r="EZ136" s="271"/>
      <c r="FA136" s="738"/>
      <c r="FB136" s="738"/>
      <c r="FC136" s="738"/>
      <c r="FD136" s="271"/>
      <c r="FE136" s="271"/>
      <c r="FF136" s="271"/>
      <c r="FG136" s="271"/>
      <c r="FH136" s="271"/>
      <c r="FI136" s="738"/>
      <c r="FJ136" s="738"/>
      <c r="FK136" s="738"/>
      <c r="FL136" s="271"/>
      <c r="FM136" s="271"/>
      <c r="FN136" s="738"/>
      <c r="FO136" s="271"/>
      <c r="FP136" s="738"/>
      <c r="FQ136" s="738"/>
      <c r="FR136" s="738"/>
      <c r="FS136" s="271"/>
      <c r="FT136" s="271"/>
      <c r="FU136" s="738"/>
      <c r="FV136" s="271"/>
      <c r="FW136" s="738"/>
      <c r="FX136" s="271"/>
      <c r="FY136" s="738"/>
      <c r="FZ136" s="738"/>
      <c r="GA136" s="738"/>
      <c r="GB136" s="738"/>
      <c r="GC136" s="738"/>
      <c r="GD136" s="738"/>
      <c r="GE136" s="738"/>
      <c r="GF136" s="271"/>
      <c r="GG136" s="738"/>
      <c r="GH136" s="271"/>
      <c r="GI136" s="738"/>
      <c r="GJ136" s="271"/>
      <c r="GK136" s="738"/>
      <c r="GL136" s="738"/>
      <c r="GM136" s="738"/>
      <c r="GN136" s="738"/>
      <c r="GO136" s="271"/>
      <c r="GP136" s="271"/>
      <c r="GQ136" s="271"/>
      <c r="GR136" s="271"/>
      <c r="GS136" s="271"/>
      <c r="GT136" s="271"/>
      <c r="GU136" s="271"/>
      <c r="GV136" s="271"/>
      <c r="GW136" s="244" t="s">
        <v>897</v>
      </c>
      <c r="GX136" s="244"/>
      <c r="GY136" s="244"/>
      <c r="GZ136" s="294"/>
      <c r="HA136" s="418"/>
      <c r="HB136" s="275" t="s">
        <v>861</v>
      </c>
    </row>
    <row r="137" spans="1:287" s="178" customFormat="1" ht="28.5" hidden="1" customHeight="1">
      <c r="A137" s="217">
        <v>55</v>
      </c>
      <c r="B137" s="1599"/>
      <c r="C137" s="217" t="s">
        <v>843</v>
      </c>
      <c r="D137" s="85" t="s">
        <v>928</v>
      </c>
      <c r="E137" s="861">
        <f t="shared" si="76"/>
        <v>0</v>
      </c>
      <c r="F137" s="377">
        <v>0</v>
      </c>
      <c r="G137" s="377">
        <v>0</v>
      </c>
      <c r="H137" s="377">
        <v>0</v>
      </c>
      <c r="I137" s="377">
        <v>0</v>
      </c>
      <c r="J137" s="858">
        <f t="shared" si="51"/>
        <v>0</v>
      </c>
      <c r="K137" s="861">
        <f t="shared" si="52"/>
        <v>0</v>
      </c>
      <c r="L137" s="861">
        <f t="shared" si="53"/>
        <v>0</v>
      </c>
      <c r="M137" s="858">
        <f t="shared" si="54"/>
        <v>0</v>
      </c>
      <c r="N137" s="861">
        <f t="shared" si="81"/>
        <v>0</v>
      </c>
      <c r="O137" s="861">
        <f t="shared" si="77"/>
        <v>0</v>
      </c>
      <c r="P137" s="861">
        <f t="shared" si="78"/>
        <v>0</v>
      </c>
      <c r="Q137" s="861">
        <f t="shared" si="73"/>
        <v>0</v>
      </c>
      <c r="R137" s="861">
        <f t="shared" si="74"/>
        <v>0</v>
      </c>
      <c r="S137" s="861">
        <f t="shared" si="75"/>
        <v>0</v>
      </c>
      <c r="T137" s="861"/>
      <c r="U137" s="861"/>
      <c r="V137" s="271"/>
      <c r="W137" s="271"/>
      <c r="X137" s="271"/>
      <c r="Y137" s="271"/>
      <c r="Z137" s="271"/>
      <c r="AA137" s="271"/>
      <c r="AB137" s="271"/>
      <c r="AC137" s="271"/>
      <c r="AD137" s="271"/>
      <c r="AE137" s="738"/>
      <c r="AF137" s="738"/>
      <c r="AG137" s="738"/>
      <c r="AH137" s="738"/>
      <c r="AI137" s="738"/>
      <c r="AJ137" s="738"/>
      <c r="AK137" s="738"/>
      <c r="AL137" s="738"/>
      <c r="AM137" s="738"/>
      <c r="AN137" s="738"/>
      <c r="AO137" s="738"/>
      <c r="AP137" s="738"/>
      <c r="AQ137" s="738"/>
      <c r="AR137" s="738"/>
      <c r="AS137" s="738"/>
      <c r="AT137" s="738"/>
      <c r="AU137" s="738"/>
      <c r="AV137" s="738"/>
      <c r="AW137" s="738"/>
      <c r="AX137" s="738"/>
      <c r="AY137" s="738"/>
      <c r="AZ137" s="738"/>
      <c r="BA137" s="738"/>
      <c r="BB137" s="738"/>
      <c r="BC137" s="738"/>
      <c r="BD137" s="271"/>
      <c r="BE137" s="271"/>
      <c r="BF137" s="738"/>
      <c r="BG137" s="271"/>
      <c r="BH137" s="271"/>
      <c r="BI137" s="738"/>
      <c r="BJ137" s="738"/>
      <c r="BK137" s="738"/>
      <c r="BL137" s="738"/>
      <c r="BM137" s="738"/>
      <c r="BN137" s="271"/>
      <c r="BO137" s="271"/>
      <c r="BP137" s="271"/>
      <c r="BQ137" s="271"/>
      <c r="BR137" s="738"/>
      <c r="BS137" s="738"/>
      <c r="BT137" s="738"/>
      <c r="BU137" s="738"/>
      <c r="BV137" s="738"/>
      <c r="BW137" s="738"/>
      <c r="BX137" s="738"/>
      <c r="BY137" s="738"/>
      <c r="BZ137" s="738"/>
      <c r="CA137" s="738"/>
      <c r="CB137" s="271"/>
      <c r="CC137" s="738"/>
      <c r="CD137" s="738"/>
      <c r="CE137" s="738"/>
      <c r="CF137" s="271"/>
      <c r="CG137" s="271"/>
      <c r="CH137" s="738"/>
      <c r="CI137" s="271"/>
      <c r="CJ137" s="738"/>
      <c r="CK137" s="738"/>
      <c r="CL137" s="271"/>
      <c r="CM137" s="271"/>
      <c r="CN137" s="271"/>
      <c r="CO137" s="738"/>
      <c r="CP137" s="271"/>
      <c r="CQ137" s="738"/>
      <c r="CR137" s="738"/>
      <c r="CS137" s="738"/>
      <c r="CT137" s="738"/>
      <c r="CU137" s="738"/>
      <c r="CV137" s="738"/>
      <c r="CW137" s="738"/>
      <c r="CX137" s="738"/>
      <c r="CY137" s="738"/>
      <c r="CZ137" s="738"/>
      <c r="DA137" s="738"/>
      <c r="DB137" s="271"/>
      <c r="DC137" s="271"/>
      <c r="DD137" s="271"/>
      <c r="DE137" s="738"/>
      <c r="DF137" s="738"/>
      <c r="DG137" s="271"/>
      <c r="DH137" s="738"/>
      <c r="DI137" s="738"/>
      <c r="DJ137" s="738"/>
      <c r="DK137" s="271"/>
      <c r="DL137" s="738"/>
      <c r="DM137" s="738"/>
      <c r="DN137" s="271"/>
      <c r="DO137" s="271"/>
      <c r="DP137" s="738"/>
      <c r="DQ137" s="738"/>
      <c r="DR137" s="271"/>
      <c r="DS137" s="738"/>
      <c r="DT137" s="738"/>
      <c r="DU137" s="738"/>
      <c r="DV137" s="271"/>
      <c r="DW137" s="271"/>
      <c r="DX137" s="271"/>
      <c r="DY137" s="271"/>
      <c r="DZ137" s="738"/>
      <c r="EA137" s="738"/>
      <c r="EB137" s="271"/>
      <c r="EC137" s="271"/>
      <c r="ED137" s="271"/>
      <c r="EE137" s="271"/>
      <c r="EF137" s="271"/>
      <c r="EG137" s="738"/>
      <c r="EH137" s="738"/>
      <c r="EI137" s="738"/>
      <c r="EJ137" s="271"/>
      <c r="EK137" s="271"/>
      <c r="EL137" s="738"/>
      <c r="EM137" s="738"/>
      <c r="EN137" s="738"/>
      <c r="EO137" s="738"/>
      <c r="EP137" s="738"/>
      <c r="EQ137" s="738"/>
      <c r="ER137" s="271"/>
      <c r="ES137" s="271"/>
      <c r="ET137" s="271"/>
      <c r="EU137" s="738"/>
      <c r="EV137" s="738"/>
      <c r="EW137" s="271"/>
      <c r="EX137" s="271"/>
      <c r="EY137" s="271"/>
      <c r="EZ137" s="271"/>
      <c r="FA137" s="738"/>
      <c r="FB137" s="738"/>
      <c r="FC137" s="738"/>
      <c r="FD137" s="271"/>
      <c r="FE137" s="271"/>
      <c r="FF137" s="271"/>
      <c r="FG137" s="271"/>
      <c r="FH137" s="271"/>
      <c r="FI137" s="738"/>
      <c r="FJ137" s="738"/>
      <c r="FK137" s="738"/>
      <c r="FL137" s="271"/>
      <c r="FM137" s="271"/>
      <c r="FN137" s="738"/>
      <c r="FO137" s="271"/>
      <c r="FP137" s="738"/>
      <c r="FQ137" s="738"/>
      <c r="FR137" s="738"/>
      <c r="FS137" s="271"/>
      <c r="FT137" s="271"/>
      <c r="FU137" s="738"/>
      <c r="FV137" s="271"/>
      <c r="FW137" s="738"/>
      <c r="FX137" s="271"/>
      <c r="FY137" s="738"/>
      <c r="FZ137" s="738"/>
      <c r="GA137" s="738"/>
      <c r="GB137" s="738"/>
      <c r="GC137" s="738"/>
      <c r="GD137" s="738"/>
      <c r="GE137" s="738"/>
      <c r="GF137" s="271"/>
      <c r="GG137" s="738"/>
      <c r="GH137" s="271"/>
      <c r="GI137" s="738"/>
      <c r="GJ137" s="271"/>
      <c r="GK137" s="738"/>
      <c r="GL137" s="738"/>
      <c r="GM137" s="738"/>
      <c r="GN137" s="738"/>
      <c r="GO137" s="271"/>
      <c r="GP137" s="271"/>
      <c r="GQ137" s="271"/>
      <c r="GR137" s="271"/>
      <c r="GS137" s="271"/>
      <c r="GT137" s="271"/>
      <c r="GU137" s="271"/>
      <c r="GV137" s="271"/>
      <c r="GW137" s="244"/>
      <c r="GX137" s="244" t="s">
        <v>929</v>
      </c>
      <c r="GY137" s="244"/>
      <c r="GZ137" s="294"/>
      <c r="HA137" s="418"/>
      <c r="HB137" s="275" t="s">
        <v>930</v>
      </c>
    </row>
    <row r="138" spans="1:287" s="178" customFormat="1" ht="28.5" hidden="1" customHeight="1">
      <c r="A138" s="222">
        <v>56</v>
      </c>
      <c r="B138" s="1601"/>
      <c r="C138" s="231" t="s">
        <v>843</v>
      </c>
      <c r="D138" s="409" t="s">
        <v>931</v>
      </c>
      <c r="E138" s="861">
        <f t="shared" si="76"/>
        <v>0</v>
      </c>
      <c r="F138" s="377">
        <v>0</v>
      </c>
      <c r="G138" s="377">
        <v>0</v>
      </c>
      <c r="H138" s="377">
        <v>0</v>
      </c>
      <c r="I138" s="377">
        <v>0</v>
      </c>
      <c r="J138" s="858">
        <f t="shared" si="51"/>
        <v>0</v>
      </c>
      <c r="K138" s="861">
        <f t="shared" si="52"/>
        <v>0</v>
      </c>
      <c r="L138" s="861">
        <f t="shared" si="53"/>
        <v>0</v>
      </c>
      <c r="M138" s="858">
        <f t="shared" si="54"/>
        <v>0</v>
      </c>
      <c r="N138" s="861">
        <f t="shared" si="81"/>
        <v>0</v>
      </c>
      <c r="O138" s="861">
        <f t="shared" si="77"/>
        <v>0</v>
      </c>
      <c r="P138" s="861">
        <f t="shared" si="78"/>
        <v>0</v>
      </c>
      <c r="Q138" s="861">
        <f t="shared" si="73"/>
        <v>0</v>
      </c>
      <c r="R138" s="861">
        <f t="shared" si="74"/>
        <v>0</v>
      </c>
      <c r="S138" s="861">
        <f t="shared" si="75"/>
        <v>0</v>
      </c>
      <c r="T138" s="861"/>
      <c r="U138" s="861"/>
      <c r="V138" s="331"/>
      <c r="W138" s="331"/>
      <c r="X138" s="331"/>
      <c r="Y138" s="331"/>
      <c r="Z138" s="331"/>
      <c r="AA138" s="331"/>
      <c r="AB138" s="331"/>
      <c r="AC138" s="331"/>
      <c r="AD138" s="331"/>
      <c r="AE138" s="769"/>
      <c r="AF138" s="769"/>
      <c r="AG138" s="769"/>
      <c r="AH138" s="769"/>
      <c r="AI138" s="769"/>
      <c r="AJ138" s="769"/>
      <c r="AK138" s="769"/>
      <c r="AL138" s="769"/>
      <c r="AM138" s="769"/>
      <c r="AN138" s="769"/>
      <c r="AO138" s="769"/>
      <c r="AP138" s="769"/>
      <c r="AQ138" s="769"/>
      <c r="AR138" s="769"/>
      <c r="AS138" s="769"/>
      <c r="AT138" s="769"/>
      <c r="AU138" s="769"/>
      <c r="AV138" s="769"/>
      <c r="AW138" s="769"/>
      <c r="AX138" s="769"/>
      <c r="AY138" s="769"/>
      <c r="AZ138" s="769"/>
      <c r="BA138" s="769"/>
      <c r="BB138" s="769"/>
      <c r="BC138" s="769"/>
      <c r="BD138" s="331"/>
      <c r="BE138" s="331"/>
      <c r="BF138" s="769"/>
      <c r="BG138" s="331"/>
      <c r="BH138" s="331"/>
      <c r="BI138" s="769"/>
      <c r="BJ138" s="769"/>
      <c r="BK138" s="769"/>
      <c r="BL138" s="769"/>
      <c r="BM138" s="769"/>
      <c r="BN138" s="331"/>
      <c r="BO138" s="331"/>
      <c r="BP138" s="331"/>
      <c r="BQ138" s="331"/>
      <c r="BR138" s="769"/>
      <c r="BS138" s="769"/>
      <c r="BT138" s="769"/>
      <c r="BU138" s="769"/>
      <c r="BV138" s="769"/>
      <c r="BW138" s="769"/>
      <c r="BX138" s="769"/>
      <c r="BY138" s="769"/>
      <c r="BZ138" s="769"/>
      <c r="CA138" s="769"/>
      <c r="CB138" s="331"/>
      <c r="CC138" s="769"/>
      <c r="CD138" s="769"/>
      <c r="CE138" s="769"/>
      <c r="CF138" s="331"/>
      <c r="CG138" s="331"/>
      <c r="CH138" s="769"/>
      <c r="CI138" s="331"/>
      <c r="CJ138" s="769"/>
      <c r="CK138" s="769"/>
      <c r="CL138" s="331"/>
      <c r="CM138" s="331"/>
      <c r="CN138" s="331"/>
      <c r="CO138" s="769"/>
      <c r="CP138" s="331"/>
      <c r="CQ138" s="769"/>
      <c r="CR138" s="769"/>
      <c r="CS138" s="769"/>
      <c r="CT138" s="769"/>
      <c r="CU138" s="769"/>
      <c r="CV138" s="769"/>
      <c r="CW138" s="769"/>
      <c r="CX138" s="769"/>
      <c r="CY138" s="769"/>
      <c r="CZ138" s="769"/>
      <c r="DA138" s="769"/>
      <c r="DB138" s="331"/>
      <c r="DC138" s="331"/>
      <c r="DD138" s="331"/>
      <c r="DE138" s="769"/>
      <c r="DF138" s="769"/>
      <c r="DG138" s="331"/>
      <c r="DH138" s="769"/>
      <c r="DI138" s="769"/>
      <c r="DJ138" s="769"/>
      <c r="DK138" s="331"/>
      <c r="DL138" s="769"/>
      <c r="DM138" s="769"/>
      <c r="DN138" s="331"/>
      <c r="DO138" s="331"/>
      <c r="DP138" s="769"/>
      <c r="DQ138" s="769"/>
      <c r="DR138" s="331"/>
      <c r="DS138" s="769"/>
      <c r="DT138" s="769"/>
      <c r="DU138" s="769"/>
      <c r="DV138" s="331"/>
      <c r="DW138" s="331"/>
      <c r="DX138" s="331"/>
      <c r="DY138" s="331"/>
      <c r="DZ138" s="769"/>
      <c r="EA138" s="769"/>
      <c r="EB138" s="331"/>
      <c r="EC138" s="331"/>
      <c r="ED138" s="331"/>
      <c r="EE138" s="331"/>
      <c r="EF138" s="331"/>
      <c r="EG138" s="769"/>
      <c r="EH138" s="769"/>
      <c r="EI138" s="769"/>
      <c r="EJ138" s="331"/>
      <c r="EK138" s="331"/>
      <c r="EL138" s="769"/>
      <c r="EM138" s="769"/>
      <c r="EN138" s="769"/>
      <c r="EO138" s="769"/>
      <c r="EP138" s="769"/>
      <c r="EQ138" s="769"/>
      <c r="ER138" s="331"/>
      <c r="ES138" s="331"/>
      <c r="ET138" s="331"/>
      <c r="EU138" s="769"/>
      <c r="EV138" s="769"/>
      <c r="EW138" s="331"/>
      <c r="EX138" s="331"/>
      <c r="EY138" s="331"/>
      <c r="EZ138" s="331"/>
      <c r="FA138" s="769"/>
      <c r="FB138" s="769"/>
      <c r="FC138" s="769"/>
      <c r="FD138" s="331"/>
      <c r="FE138" s="331"/>
      <c r="FF138" s="331"/>
      <c r="FG138" s="331"/>
      <c r="FH138" s="331"/>
      <c r="FI138" s="769"/>
      <c r="FJ138" s="769"/>
      <c r="FK138" s="769"/>
      <c r="FL138" s="331"/>
      <c r="FM138" s="331"/>
      <c r="FN138" s="769"/>
      <c r="FO138" s="331"/>
      <c r="FP138" s="769"/>
      <c r="FQ138" s="769"/>
      <c r="FR138" s="769"/>
      <c r="FS138" s="331"/>
      <c r="FT138" s="331"/>
      <c r="FU138" s="769"/>
      <c r="FV138" s="331"/>
      <c r="FW138" s="769"/>
      <c r="FX138" s="331"/>
      <c r="FY138" s="769"/>
      <c r="FZ138" s="769"/>
      <c r="GA138" s="769"/>
      <c r="GB138" s="769"/>
      <c r="GC138" s="769"/>
      <c r="GD138" s="769"/>
      <c r="GE138" s="769"/>
      <c r="GF138" s="331"/>
      <c r="GG138" s="769"/>
      <c r="GH138" s="331"/>
      <c r="GI138" s="769"/>
      <c r="GJ138" s="331"/>
      <c r="GK138" s="769"/>
      <c r="GL138" s="769"/>
      <c r="GM138" s="769"/>
      <c r="GN138" s="769"/>
      <c r="GO138" s="331"/>
      <c r="GP138" s="331"/>
      <c r="GQ138" s="331"/>
      <c r="GR138" s="331"/>
      <c r="GS138" s="331"/>
      <c r="GT138" s="331"/>
      <c r="GU138" s="331"/>
      <c r="GV138" s="331"/>
      <c r="GW138" s="416" t="s">
        <v>932</v>
      </c>
      <c r="GX138" s="244"/>
      <c r="GY138" s="244"/>
      <c r="GZ138" s="294"/>
      <c r="HA138" s="418"/>
      <c r="HB138" s="408" t="s">
        <v>861</v>
      </c>
    </row>
    <row r="139" spans="1:287" s="178" customFormat="1" ht="111.75" hidden="1" customHeight="1">
      <c r="A139" s="217">
        <v>57</v>
      </c>
      <c r="B139" s="1599"/>
      <c r="C139" s="217" t="s">
        <v>933</v>
      </c>
      <c r="D139" s="85" t="s">
        <v>934</v>
      </c>
      <c r="E139" s="861">
        <f t="shared" si="76"/>
        <v>0</v>
      </c>
      <c r="F139" s="377">
        <v>0</v>
      </c>
      <c r="G139" s="377">
        <v>0</v>
      </c>
      <c r="H139" s="377">
        <v>0</v>
      </c>
      <c r="I139" s="377">
        <v>0</v>
      </c>
      <c r="J139" s="858">
        <f t="shared" si="51"/>
        <v>0</v>
      </c>
      <c r="K139" s="861">
        <f t="shared" si="52"/>
        <v>0</v>
      </c>
      <c r="L139" s="861">
        <f t="shared" si="53"/>
        <v>0</v>
      </c>
      <c r="M139" s="858">
        <f t="shared" si="54"/>
        <v>0</v>
      </c>
      <c r="N139" s="861">
        <f t="shared" si="81"/>
        <v>0</v>
      </c>
      <c r="O139" s="861">
        <f t="shared" si="77"/>
        <v>0</v>
      </c>
      <c r="P139" s="861">
        <f t="shared" si="78"/>
        <v>0</v>
      </c>
      <c r="Q139" s="861">
        <f t="shared" si="73"/>
        <v>0</v>
      </c>
      <c r="R139" s="861">
        <f t="shared" si="74"/>
        <v>0</v>
      </c>
      <c r="S139" s="861">
        <f t="shared" si="75"/>
        <v>0</v>
      </c>
      <c r="T139" s="861"/>
      <c r="U139" s="861"/>
      <c r="V139" s="271"/>
      <c r="W139" s="271"/>
      <c r="X139" s="271"/>
      <c r="Y139" s="271"/>
      <c r="Z139" s="271"/>
      <c r="AA139" s="271"/>
      <c r="AB139" s="271"/>
      <c r="AC139" s="271"/>
      <c r="AD139" s="271"/>
      <c r="AE139" s="738"/>
      <c r="AF139" s="738"/>
      <c r="AG139" s="738"/>
      <c r="AH139" s="738"/>
      <c r="AI139" s="738"/>
      <c r="AJ139" s="738"/>
      <c r="AK139" s="738"/>
      <c r="AL139" s="738"/>
      <c r="AM139" s="738"/>
      <c r="AN139" s="738"/>
      <c r="AO139" s="738"/>
      <c r="AP139" s="738"/>
      <c r="AQ139" s="738"/>
      <c r="AR139" s="738"/>
      <c r="AS139" s="738"/>
      <c r="AT139" s="738"/>
      <c r="AU139" s="738"/>
      <c r="AV139" s="738"/>
      <c r="AW139" s="738"/>
      <c r="AX139" s="738"/>
      <c r="AY139" s="738"/>
      <c r="AZ139" s="738"/>
      <c r="BA139" s="738"/>
      <c r="BB139" s="738"/>
      <c r="BC139" s="738"/>
      <c r="BD139" s="271"/>
      <c r="BE139" s="271"/>
      <c r="BF139" s="738"/>
      <c r="BG139" s="271"/>
      <c r="BH139" s="271"/>
      <c r="BI139" s="738"/>
      <c r="BJ139" s="738"/>
      <c r="BK139" s="738"/>
      <c r="BL139" s="738"/>
      <c r="BM139" s="738"/>
      <c r="BN139" s="271"/>
      <c r="BO139" s="271"/>
      <c r="BP139" s="271"/>
      <c r="BQ139" s="271"/>
      <c r="BR139" s="738"/>
      <c r="BS139" s="738"/>
      <c r="BT139" s="738"/>
      <c r="BU139" s="738"/>
      <c r="BV139" s="738"/>
      <c r="BW139" s="738"/>
      <c r="BX139" s="738"/>
      <c r="BY139" s="738"/>
      <c r="BZ139" s="738"/>
      <c r="CA139" s="738"/>
      <c r="CB139" s="271"/>
      <c r="CC139" s="738"/>
      <c r="CD139" s="738"/>
      <c r="CE139" s="738"/>
      <c r="CF139" s="271"/>
      <c r="CG139" s="271"/>
      <c r="CH139" s="738"/>
      <c r="CI139" s="271"/>
      <c r="CJ139" s="738"/>
      <c r="CK139" s="738"/>
      <c r="CL139" s="271"/>
      <c r="CM139" s="271"/>
      <c r="CN139" s="271"/>
      <c r="CO139" s="738"/>
      <c r="CP139" s="271"/>
      <c r="CQ139" s="738"/>
      <c r="CR139" s="738"/>
      <c r="CS139" s="738"/>
      <c r="CT139" s="738"/>
      <c r="CU139" s="738"/>
      <c r="CV139" s="738"/>
      <c r="CW139" s="738"/>
      <c r="CX139" s="738"/>
      <c r="CY139" s="738"/>
      <c r="CZ139" s="738"/>
      <c r="DA139" s="738"/>
      <c r="DB139" s="271"/>
      <c r="DC139" s="271"/>
      <c r="DD139" s="271"/>
      <c r="DE139" s="738"/>
      <c r="DF139" s="738"/>
      <c r="DG139" s="271"/>
      <c r="DH139" s="738"/>
      <c r="DI139" s="738"/>
      <c r="DJ139" s="738"/>
      <c r="DK139" s="271"/>
      <c r="DL139" s="738"/>
      <c r="DM139" s="738"/>
      <c r="DN139" s="271"/>
      <c r="DO139" s="271"/>
      <c r="DP139" s="738"/>
      <c r="DQ139" s="738"/>
      <c r="DR139" s="271"/>
      <c r="DS139" s="738"/>
      <c r="DT139" s="738"/>
      <c r="DU139" s="738"/>
      <c r="DV139" s="271"/>
      <c r="DW139" s="271"/>
      <c r="DX139" s="271"/>
      <c r="DY139" s="271"/>
      <c r="DZ139" s="738"/>
      <c r="EA139" s="738"/>
      <c r="EB139" s="271"/>
      <c r="EC139" s="271"/>
      <c r="ED139" s="271"/>
      <c r="EE139" s="271"/>
      <c r="EF139" s="271"/>
      <c r="EG139" s="738"/>
      <c r="EH139" s="738"/>
      <c r="EI139" s="738"/>
      <c r="EJ139" s="271"/>
      <c r="EK139" s="271"/>
      <c r="EL139" s="738"/>
      <c r="EM139" s="738"/>
      <c r="EN139" s="738"/>
      <c r="EO139" s="738"/>
      <c r="EP139" s="738"/>
      <c r="EQ139" s="738"/>
      <c r="ER139" s="271"/>
      <c r="ES139" s="271"/>
      <c r="ET139" s="271"/>
      <c r="EU139" s="738"/>
      <c r="EV139" s="738"/>
      <c r="EW139" s="271"/>
      <c r="EX139" s="271"/>
      <c r="EY139" s="271"/>
      <c r="EZ139" s="271"/>
      <c r="FA139" s="738"/>
      <c r="FB139" s="738"/>
      <c r="FC139" s="738"/>
      <c r="FD139" s="271"/>
      <c r="FE139" s="271"/>
      <c r="FF139" s="271"/>
      <c r="FG139" s="271"/>
      <c r="FH139" s="271"/>
      <c r="FI139" s="738"/>
      <c r="FJ139" s="738"/>
      <c r="FK139" s="738"/>
      <c r="FL139" s="271"/>
      <c r="FM139" s="271"/>
      <c r="FN139" s="738"/>
      <c r="FO139" s="271"/>
      <c r="FP139" s="738"/>
      <c r="FQ139" s="738"/>
      <c r="FR139" s="738"/>
      <c r="FS139" s="271"/>
      <c r="FT139" s="271"/>
      <c r="FU139" s="738"/>
      <c r="FV139" s="271"/>
      <c r="FW139" s="738"/>
      <c r="FX139" s="271"/>
      <c r="FY139" s="738"/>
      <c r="FZ139" s="738"/>
      <c r="GA139" s="738"/>
      <c r="GB139" s="738"/>
      <c r="GC139" s="738"/>
      <c r="GD139" s="738"/>
      <c r="GE139" s="738"/>
      <c r="GF139" s="271"/>
      <c r="GG139" s="738"/>
      <c r="GH139" s="271"/>
      <c r="GI139" s="738"/>
      <c r="GJ139" s="271"/>
      <c r="GK139" s="738"/>
      <c r="GL139" s="738"/>
      <c r="GM139" s="738"/>
      <c r="GN139" s="738"/>
      <c r="GO139" s="271"/>
      <c r="GP139" s="271"/>
      <c r="GQ139" s="271"/>
      <c r="GR139" s="271"/>
      <c r="GS139" s="271"/>
      <c r="GT139" s="271"/>
      <c r="GU139" s="271"/>
      <c r="GV139" s="271"/>
      <c r="GW139" s="233" t="s">
        <v>935</v>
      </c>
      <c r="GX139" s="244" t="s">
        <v>936</v>
      </c>
      <c r="GY139" s="244" t="s">
        <v>937</v>
      </c>
      <c r="GZ139" s="244" t="s">
        <v>938</v>
      </c>
      <c r="HA139" s="428" t="s">
        <v>872</v>
      </c>
      <c r="HB139" s="251" t="s">
        <v>939</v>
      </c>
    </row>
    <row r="140" spans="1:287" s="178" customFormat="1" ht="44.25" hidden="1" customHeight="1">
      <c r="A140" s="217">
        <v>58</v>
      </c>
      <c r="B140" s="1601"/>
      <c r="C140" s="231" t="s">
        <v>843</v>
      </c>
      <c r="D140" s="378" t="s">
        <v>940</v>
      </c>
      <c r="E140" s="861">
        <f t="shared" si="76"/>
        <v>0</v>
      </c>
      <c r="F140" s="377">
        <v>0</v>
      </c>
      <c r="G140" s="377">
        <v>0</v>
      </c>
      <c r="H140" s="377">
        <v>0</v>
      </c>
      <c r="I140" s="377">
        <v>0</v>
      </c>
      <c r="J140" s="858">
        <f t="shared" si="51"/>
        <v>0</v>
      </c>
      <c r="K140" s="861">
        <f t="shared" si="52"/>
        <v>0</v>
      </c>
      <c r="L140" s="861">
        <f t="shared" si="53"/>
        <v>0</v>
      </c>
      <c r="M140" s="858">
        <f t="shared" si="54"/>
        <v>0</v>
      </c>
      <c r="N140" s="861">
        <f t="shared" si="81"/>
        <v>0</v>
      </c>
      <c r="O140" s="861">
        <f t="shared" si="77"/>
        <v>0</v>
      </c>
      <c r="P140" s="861">
        <f t="shared" si="78"/>
        <v>0</v>
      </c>
      <c r="Q140" s="861">
        <f t="shared" si="73"/>
        <v>0</v>
      </c>
      <c r="R140" s="861">
        <f t="shared" si="74"/>
        <v>0</v>
      </c>
      <c r="S140" s="861">
        <f t="shared" si="75"/>
        <v>0</v>
      </c>
      <c r="T140" s="861"/>
      <c r="U140" s="861"/>
      <c r="V140" s="413"/>
      <c r="W140" s="413"/>
      <c r="X140" s="413"/>
      <c r="Y140" s="413"/>
      <c r="Z140" s="413"/>
      <c r="AA140" s="413"/>
      <c r="AB140" s="413"/>
      <c r="AC140" s="413"/>
      <c r="AD140" s="413"/>
      <c r="AE140" s="413"/>
      <c r="AF140" s="413"/>
      <c r="AG140" s="413"/>
      <c r="AH140" s="413"/>
      <c r="AI140" s="413"/>
      <c r="AJ140" s="413"/>
      <c r="AK140" s="413"/>
      <c r="AL140" s="413"/>
      <c r="AM140" s="413"/>
      <c r="AN140" s="413"/>
      <c r="AO140" s="413"/>
      <c r="AP140" s="413"/>
      <c r="AQ140" s="413"/>
      <c r="AR140" s="413"/>
      <c r="AS140" s="413"/>
      <c r="AT140" s="413"/>
      <c r="AU140" s="413"/>
      <c r="AV140" s="413"/>
      <c r="AW140" s="413"/>
      <c r="AX140" s="413"/>
      <c r="AY140" s="413"/>
      <c r="AZ140" s="413"/>
      <c r="BA140" s="413"/>
      <c r="BB140" s="413"/>
      <c r="BC140" s="413"/>
      <c r="BD140" s="413"/>
      <c r="BE140" s="413"/>
      <c r="BF140" s="413"/>
      <c r="BG140" s="413"/>
      <c r="BH140" s="413"/>
      <c r="BI140" s="413"/>
      <c r="BJ140" s="413"/>
      <c r="BK140" s="413"/>
      <c r="BL140" s="413"/>
      <c r="BM140" s="413"/>
      <c r="BN140" s="958"/>
      <c r="BO140" s="958"/>
      <c r="BP140" s="958"/>
      <c r="BQ140" s="958"/>
      <c r="BR140" s="958"/>
      <c r="BS140" s="958"/>
      <c r="BT140" s="958"/>
      <c r="BU140" s="958"/>
      <c r="BV140" s="958"/>
      <c r="BW140" s="958"/>
      <c r="BX140" s="958"/>
      <c r="BY140" s="958"/>
      <c r="BZ140" s="958"/>
      <c r="CA140" s="958"/>
      <c r="CB140" s="413"/>
      <c r="CC140" s="958"/>
      <c r="CD140" s="958"/>
      <c r="CE140" s="958"/>
      <c r="CF140" s="413"/>
      <c r="CG140" s="413"/>
      <c r="CH140" s="958"/>
      <c r="CI140" s="413"/>
      <c r="CJ140" s="958"/>
      <c r="CK140" s="958"/>
      <c r="CL140" s="413"/>
      <c r="CM140" s="413"/>
      <c r="CN140" s="413"/>
      <c r="CO140" s="958"/>
      <c r="CP140" s="413"/>
      <c r="CQ140" s="958"/>
      <c r="CR140" s="958"/>
      <c r="CS140" s="958"/>
      <c r="CT140" s="958"/>
      <c r="CU140" s="958"/>
      <c r="CV140" s="958"/>
      <c r="CW140" s="958"/>
      <c r="CX140" s="958"/>
      <c r="CY140" s="958"/>
      <c r="CZ140" s="958"/>
      <c r="DA140" s="958"/>
      <c r="DB140" s="413"/>
      <c r="DC140" s="413"/>
      <c r="DD140" s="413"/>
      <c r="DE140" s="958"/>
      <c r="DF140" s="958"/>
      <c r="DG140" s="413"/>
      <c r="DH140" s="958"/>
      <c r="DI140" s="958"/>
      <c r="DJ140" s="958"/>
      <c r="DK140" s="413"/>
      <c r="DL140" s="958"/>
      <c r="DM140" s="958"/>
      <c r="DN140" s="413"/>
      <c r="DO140" s="413"/>
      <c r="DP140" s="958"/>
      <c r="DQ140" s="958"/>
      <c r="DR140" s="413"/>
      <c r="DS140" s="958"/>
      <c r="DT140" s="958"/>
      <c r="DU140" s="958"/>
      <c r="DV140" s="413"/>
      <c r="DW140" s="413"/>
      <c r="DX140" s="413"/>
      <c r="DY140" s="413"/>
      <c r="DZ140" s="958"/>
      <c r="EA140" s="958"/>
      <c r="EB140" s="413"/>
      <c r="EC140" s="413"/>
      <c r="ED140" s="413"/>
      <c r="EE140" s="413"/>
      <c r="EF140" s="413"/>
      <c r="EG140" s="958"/>
      <c r="EH140" s="958"/>
      <c r="EI140" s="958"/>
      <c r="EJ140" s="413"/>
      <c r="EK140" s="413"/>
      <c r="EL140" s="958"/>
      <c r="EM140" s="958"/>
      <c r="EN140" s="958"/>
      <c r="EO140" s="958"/>
      <c r="EP140" s="958"/>
      <c r="EQ140" s="958"/>
      <c r="ER140" s="413"/>
      <c r="ES140" s="413"/>
      <c r="ET140" s="413"/>
      <c r="EU140" s="958"/>
      <c r="EV140" s="958"/>
      <c r="EW140" s="413"/>
      <c r="EX140" s="413"/>
      <c r="EY140" s="413"/>
      <c r="EZ140" s="413"/>
      <c r="FA140" s="958"/>
      <c r="FB140" s="958"/>
      <c r="FC140" s="958"/>
      <c r="FD140" s="413"/>
      <c r="FE140" s="413"/>
      <c r="FF140" s="413"/>
      <c r="FG140" s="413"/>
      <c r="FH140" s="413"/>
      <c r="FI140" s="958"/>
      <c r="FJ140" s="958"/>
      <c r="FK140" s="958"/>
      <c r="FL140" s="413"/>
      <c r="FM140" s="413"/>
      <c r="FN140" s="958"/>
      <c r="FO140" s="413"/>
      <c r="FP140" s="958"/>
      <c r="FQ140" s="958"/>
      <c r="FR140" s="958"/>
      <c r="FS140" s="413"/>
      <c r="FT140" s="413"/>
      <c r="FU140" s="958"/>
      <c r="FV140" s="413"/>
      <c r="FW140" s="958"/>
      <c r="FX140" s="413"/>
      <c r="FY140" s="958"/>
      <c r="FZ140" s="958"/>
      <c r="GA140" s="958"/>
      <c r="GB140" s="958"/>
      <c r="GC140" s="958"/>
      <c r="GD140" s="958"/>
      <c r="GE140" s="958"/>
      <c r="GF140" s="413"/>
      <c r="GG140" s="958"/>
      <c r="GH140" s="413"/>
      <c r="GI140" s="958"/>
      <c r="GJ140" s="413"/>
      <c r="GK140" s="958"/>
      <c r="GL140" s="958"/>
      <c r="GM140" s="958"/>
      <c r="GN140" s="958"/>
      <c r="GO140" s="413"/>
      <c r="GP140" s="413"/>
      <c r="GQ140" s="413"/>
      <c r="GR140" s="413"/>
      <c r="GS140" s="413"/>
      <c r="GT140" s="413"/>
      <c r="GU140" s="413"/>
      <c r="GV140" s="413"/>
      <c r="GW140" s="414" t="s">
        <v>941</v>
      </c>
      <c r="GX140" s="244"/>
      <c r="GY140" s="244"/>
      <c r="GZ140" s="294"/>
      <c r="HA140" s="418"/>
      <c r="HB140" s="275" t="s">
        <v>847</v>
      </c>
    </row>
    <row r="141" spans="1:287" s="15" customFormat="1" ht="28.5" hidden="1" customHeight="1">
      <c r="A141" s="217">
        <v>59</v>
      </c>
      <c r="B141" s="1612"/>
      <c r="C141" s="212" t="s">
        <v>843</v>
      </c>
      <c r="D141" s="375" t="s">
        <v>942</v>
      </c>
      <c r="E141" s="861">
        <f t="shared" si="76"/>
        <v>0</v>
      </c>
      <c r="F141" s="377">
        <v>0</v>
      </c>
      <c r="G141" s="377">
        <v>0</v>
      </c>
      <c r="H141" s="377">
        <v>0</v>
      </c>
      <c r="I141" s="377">
        <v>0</v>
      </c>
      <c r="J141" s="858">
        <f t="shared" si="51"/>
        <v>0</v>
      </c>
      <c r="K141" s="861">
        <f t="shared" si="52"/>
        <v>0</v>
      </c>
      <c r="L141" s="861">
        <f t="shared" si="53"/>
        <v>0</v>
      </c>
      <c r="M141" s="858">
        <f t="shared" ref="M141:M154" si="85">SUM(CQ141:DR141)</f>
        <v>0</v>
      </c>
      <c r="N141" s="861">
        <f t="shared" si="81"/>
        <v>0</v>
      </c>
      <c r="O141" s="861">
        <f t="shared" si="77"/>
        <v>0</v>
      </c>
      <c r="P141" s="861">
        <f t="shared" si="78"/>
        <v>0</v>
      </c>
      <c r="Q141" s="861">
        <f t="shared" si="73"/>
        <v>0</v>
      </c>
      <c r="R141" s="861">
        <f t="shared" si="74"/>
        <v>0</v>
      </c>
      <c r="S141" s="861">
        <f t="shared" si="75"/>
        <v>0</v>
      </c>
      <c r="T141" s="861"/>
      <c r="U141" s="861"/>
      <c r="V141" s="86"/>
      <c r="W141" s="86"/>
      <c r="X141" s="86"/>
      <c r="Y141" s="86"/>
      <c r="Z141" s="86"/>
      <c r="AA141" s="86"/>
      <c r="AB141" s="86"/>
      <c r="AC141" s="86"/>
      <c r="AD141" s="86"/>
      <c r="AE141" s="734"/>
      <c r="AF141" s="734"/>
      <c r="AG141" s="734"/>
      <c r="AH141" s="734"/>
      <c r="AI141" s="734"/>
      <c r="AJ141" s="734"/>
      <c r="AK141" s="734"/>
      <c r="AL141" s="734"/>
      <c r="AM141" s="734"/>
      <c r="AN141" s="734"/>
      <c r="AO141" s="734"/>
      <c r="AP141" s="734"/>
      <c r="AQ141" s="734"/>
      <c r="AR141" s="734"/>
      <c r="AS141" s="734"/>
      <c r="AT141" s="734"/>
      <c r="AU141" s="734"/>
      <c r="AV141" s="734"/>
      <c r="AW141" s="734"/>
      <c r="AX141" s="734"/>
      <c r="AY141" s="734"/>
      <c r="AZ141" s="734"/>
      <c r="BA141" s="734"/>
      <c r="BB141" s="734"/>
      <c r="BC141" s="734"/>
      <c r="BD141" s="86"/>
      <c r="BE141" s="86"/>
      <c r="BF141" s="734"/>
      <c r="BG141" s="86"/>
      <c r="BH141" s="86"/>
      <c r="BI141" s="734"/>
      <c r="BJ141" s="734"/>
      <c r="BK141" s="734"/>
      <c r="BL141" s="734"/>
      <c r="BM141" s="734"/>
      <c r="BN141" s="86"/>
      <c r="BO141" s="86"/>
      <c r="BP141" s="86"/>
      <c r="BQ141" s="86"/>
      <c r="BR141" s="734"/>
      <c r="BS141" s="734"/>
      <c r="BT141" s="734"/>
      <c r="BU141" s="734"/>
      <c r="BV141" s="734"/>
      <c r="BW141" s="734"/>
      <c r="BX141" s="734"/>
      <c r="BY141" s="734"/>
      <c r="BZ141" s="734"/>
      <c r="CA141" s="734"/>
      <c r="CB141" s="86"/>
      <c r="CC141" s="734"/>
      <c r="CD141" s="734"/>
      <c r="CE141" s="734"/>
      <c r="CF141" s="86"/>
      <c r="CG141" s="86"/>
      <c r="CH141" s="734"/>
      <c r="CI141" s="86"/>
      <c r="CJ141" s="734"/>
      <c r="CK141" s="734"/>
      <c r="CL141" s="86"/>
      <c r="CM141" s="86"/>
      <c r="CN141" s="86"/>
      <c r="CO141" s="734"/>
      <c r="CP141" s="86"/>
      <c r="CQ141" s="734"/>
      <c r="CR141" s="734"/>
      <c r="CS141" s="734"/>
      <c r="CT141" s="734"/>
      <c r="CU141" s="734"/>
      <c r="CV141" s="734"/>
      <c r="CW141" s="734"/>
      <c r="CX141" s="734"/>
      <c r="CY141" s="734"/>
      <c r="CZ141" s="734"/>
      <c r="DA141" s="734"/>
      <c r="DB141" s="86"/>
      <c r="DC141" s="86"/>
      <c r="DD141" s="86"/>
      <c r="DE141" s="734"/>
      <c r="DF141" s="734"/>
      <c r="DG141" s="86"/>
      <c r="DH141" s="734"/>
      <c r="DI141" s="734"/>
      <c r="DJ141" s="734"/>
      <c r="DK141" s="86"/>
      <c r="DL141" s="734"/>
      <c r="DM141" s="734"/>
      <c r="DN141" s="86"/>
      <c r="DO141" s="86"/>
      <c r="DP141" s="734"/>
      <c r="DQ141" s="734"/>
      <c r="DR141" s="86"/>
      <c r="DS141" s="734"/>
      <c r="DT141" s="734"/>
      <c r="DU141" s="734"/>
      <c r="DV141" s="86"/>
      <c r="DW141" s="86"/>
      <c r="DX141" s="86"/>
      <c r="DY141" s="86"/>
      <c r="DZ141" s="734"/>
      <c r="EA141" s="734"/>
      <c r="EB141" s="86"/>
      <c r="EC141" s="86"/>
      <c r="ED141" s="86"/>
      <c r="EE141" s="86"/>
      <c r="EF141" s="86"/>
      <c r="EG141" s="734"/>
      <c r="EH141" s="734"/>
      <c r="EI141" s="734"/>
      <c r="EJ141" s="86"/>
      <c r="EK141" s="86"/>
      <c r="EL141" s="734"/>
      <c r="EM141" s="734"/>
      <c r="EN141" s="734"/>
      <c r="EO141" s="734"/>
      <c r="EP141" s="734"/>
      <c r="EQ141" s="734"/>
      <c r="ER141" s="86"/>
      <c r="ES141" s="86"/>
      <c r="ET141" s="86"/>
      <c r="EU141" s="734"/>
      <c r="EV141" s="734"/>
      <c r="EW141" s="86"/>
      <c r="EX141" s="86"/>
      <c r="EY141" s="86"/>
      <c r="EZ141" s="86"/>
      <c r="FA141" s="734"/>
      <c r="FB141" s="734"/>
      <c r="FC141" s="734"/>
      <c r="FD141" s="86"/>
      <c r="FE141" s="86"/>
      <c r="FF141" s="86"/>
      <c r="FG141" s="86"/>
      <c r="FH141" s="86"/>
      <c r="FI141" s="734"/>
      <c r="FJ141" s="734"/>
      <c r="FK141" s="734"/>
      <c r="FL141" s="86"/>
      <c r="FM141" s="86"/>
      <c r="FN141" s="734"/>
      <c r="FO141" s="86"/>
      <c r="FP141" s="734"/>
      <c r="FQ141" s="734"/>
      <c r="FR141" s="734"/>
      <c r="FS141" s="86"/>
      <c r="FT141" s="86"/>
      <c r="FU141" s="734"/>
      <c r="FV141" s="86"/>
      <c r="FW141" s="734"/>
      <c r="FX141" s="86"/>
      <c r="FY141" s="734"/>
      <c r="FZ141" s="734"/>
      <c r="GA141" s="734"/>
      <c r="GB141" s="734"/>
      <c r="GC141" s="734"/>
      <c r="GD141" s="734"/>
      <c r="GE141" s="734"/>
      <c r="GF141" s="86"/>
      <c r="GG141" s="734"/>
      <c r="GH141" s="86"/>
      <c r="GI141" s="734"/>
      <c r="GJ141" s="86"/>
      <c r="GK141" s="734"/>
      <c r="GL141" s="734"/>
      <c r="GM141" s="734"/>
      <c r="GN141" s="734"/>
      <c r="GO141" s="86"/>
      <c r="GP141" s="86"/>
      <c r="GQ141" s="86"/>
      <c r="GR141" s="86"/>
      <c r="GS141" s="86"/>
      <c r="GT141" s="86"/>
      <c r="GU141" s="86"/>
      <c r="GV141" s="86"/>
      <c r="GW141" s="399" t="s">
        <v>943</v>
      </c>
      <c r="GX141" s="399"/>
      <c r="GY141" s="417"/>
      <c r="GZ141" s="424"/>
      <c r="HA141" s="425"/>
      <c r="HB141" s="275" t="s">
        <v>861</v>
      </c>
    </row>
    <row r="142" spans="1:287" s="15" customFormat="1" ht="48.75" hidden="1" customHeight="1">
      <c r="A142" s="217">
        <v>60</v>
      </c>
      <c r="B142" s="223"/>
      <c r="C142" s="212" t="s">
        <v>843</v>
      </c>
      <c r="D142" s="375" t="s">
        <v>944</v>
      </c>
      <c r="E142" s="861">
        <f t="shared" si="76"/>
        <v>0</v>
      </c>
      <c r="F142" s="377">
        <v>0</v>
      </c>
      <c r="G142" s="377">
        <v>0</v>
      </c>
      <c r="H142" s="377">
        <v>0</v>
      </c>
      <c r="I142" s="377">
        <v>0</v>
      </c>
      <c r="J142" s="858">
        <f t="shared" si="51"/>
        <v>0</v>
      </c>
      <c r="K142" s="861">
        <f t="shared" si="52"/>
        <v>0</v>
      </c>
      <c r="L142" s="861">
        <f t="shared" si="53"/>
        <v>0</v>
      </c>
      <c r="M142" s="858">
        <f t="shared" si="85"/>
        <v>0</v>
      </c>
      <c r="N142" s="861">
        <f t="shared" si="81"/>
        <v>0</v>
      </c>
      <c r="O142" s="861">
        <f t="shared" si="77"/>
        <v>0</v>
      </c>
      <c r="P142" s="861">
        <f t="shared" si="78"/>
        <v>0</v>
      </c>
      <c r="Q142" s="861">
        <f t="shared" si="73"/>
        <v>0</v>
      </c>
      <c r="R142" s="861">
        <f t="shared" si="74"/>
        <v>0</v>
      </c>
      <c r="S142" s="861">
        <f t="shared" si="75"/>
        <v>0</v>
      </c>
      <c r="T142" s="861"/>
      <c r="U142" s="861"/>
      <c r="V142" s="86"/>
      <c r="W142" s="86"/>
      <c r="X142" s="86"/>
      <c r="Y142" s="86"/>
      <c r="Z142" s="86"/>
      <c r="AA142" s="86"/>
      <c r="AB142" s="86"/>
      <c r="AC142" s="86"/>
      <c r="AD142" s="86"/>
      <c r="AE142" s="734"/>
      <c r="AF142" s="734"/>
      <c r="AG142" s="734"/>
      <c r="AH142" s="734"/>
      <c r="AI142" s="734"/>
      <c r="AJ142" s="734"/>
      <c r="AK142" s="734"/>
      <c r="AL142" s="734"/>
      <c r="AM142" s="734"/>
      <c r="AN142" s="734"/>
      <c r="AO142" s="734"/>
      <c r="AP142" s="734"/>
      <c r="AQ142" s="734"/>
      <c r="AR142" s="734"/>
      <c r="AS142" s="734"/>
      <c r="AT142" s="734"/>
      <c r="AU142" s="734"/>
      <c r="AV142" s="734"/>
      <c r="AW142" s="734"/>
      <c r="AX142" s="734"/>
      <c r="AY142" s="734"/>
      <c r="AZ142" s="734"/>
      <c r="BA142" s="734"/>
      <c r="BB142" s="734"/>
      <c r="BC142" s="734"/>
      <c r="BD142" s="86"/>
      <c r="BE142" s="86"/>
      <c r="BF142" s="734"/>
      <c r="BG142" s="86"/>
      <c r="BH142" s="86"/>
      <c r="BI142" s="734"/>
      <c r="BJ142" s="734"/>
      <c r="BK142" s="734"/>
      <c r="BL142" s="734"/>
      <c r="BM142" s="734"/>
      <c r="BN142" s="86"/>
      <c r="BO142" s="86"/>
      <c r="BP142" s="86"/>
      <c r="BQ142" s="86"/>
      <c r="BR142" s="734"/>
      <c r="BS142" s="734"/>
      <c r="BT142" s="734"/>
      <c r="BU142" s="734"/>
      <c r="BV142" s="734"/>
      <c r="BW142" s="734"/>
      <c r="BX142" s="734"/>
      <c r="BY142" s="734"/>
      <c r="BZ142" s="734"/>
      <c r="CA142" s="734"/>
      <c r="CB142" s="86"/>
      <c r="CC142" s="734"/>
      <c r="CD142" s="734"/>
      <c r="CE142" s="734"/>
      <c r="CF142" s="86"/>
      <c r="CG142" s="86"/>
      <c r="CH142" s="734"/>
      <c r="CI142" s="86"/>
      <c r="CJ142" s="734"/>
      <c r="CK142" s="734"/>
      <c r="CL142" s="86"/>
      <c r="CM142" s="86"/>
      <c r="CN142" s="86"/>
      <c r="CO142" s="734"/>
      <c r="CP142" s="86"/>
      <c r="CQ142" s="734"/>
      <c r="CR142" s="734"/>
      <c r="CS142" s="734"/>
      <c r="CT142" s="734"/>
      <c r="CU142" s="734"/>
      <c r="CV142" s="734"/>
      <c r="CW142" s="734"/>
      <c r="CX142" s="734"/>
      <c r="CY142" s="734"/>
      <c r="CZ142" s="734"/>
      <c r="DA142" s="734"/>
      <c r="DB142" s="86"/>
      <c r="DC142" s="86"/>
      <c r="DD142" s="86"/>
      <c r="DE142" s="734"/>
      <c r="DF142" s="734"/>
      <c r="DG142" s="86"/>
      <c r="DH142" s="734"/>
      <c r="DI142" s="734"/>
      <c r="DJ142" s="734"/>
      <c r="DK142" s="86"/>
      <c r="DL142" s="734"/>
      <c r="DM142" s="734"/>
      <c r="DN142" s="86"/>
      <c r="DO142" s="86"/>
      <c r="DP142" s="734"/>
      <c r="DQ142" s="734"/>
      <c r="DR142" s="86"/>
      <c r="DS142" s="734"/>
      <c r="DT142" s="734"/>
      <c r="DU142" s="734"/>
      <c r="DV142" s="86"/>
      <c r="DW142" s="86"/>
      <c r="DX142" s="86"/>
      <c r="DY142" s="86"/>
      <c r="DZ142" s="734"/>
      <c r="EA142" s="734"/>
      <c r="EB142" s="86"/>
      <c r="EC142" s="86"/>
      <c r="ED142" s="86"/>
      <c r="EE142" s="86"/>
      <c r="EF142" s="86"/>
      <c r="EG142" s="734"/>
      <c r="EH142" s="734"/>
      <c r="EI142" s="734"/>
      <c r="EJ142" s="86"/>
      <c r="EK142" s="86"/>
      <c r="EL142" s="734"/>
      <c r="EM142" s="734"/>
      <c r="EN142" s="734"/>
      <c r="EO142" s="734"/>
      <c r="EP142" s="734"/>
      <c r="EQ142" s="734"/>
      <c r="ER142" s="86"/>
      <c r="ES142" s="86"/>
      <c r="ET142" s="86"/>
      <c r="EU142" s="734"/>
      <c r="EV142" s="734"/>
      <c r="EW142" s="86"/>
      <c r="EX142" s="86"/>
      <c r="EY142" s="86"/>
      <c r="EZ142" s="86"/>
      <c r="FA142" s="734"/>
      <c r="FB142" s="734"/>
      <c r="FC142" s="734"/>
      <c r="FD142" s="86"/>
      <c r="FE142" s="86"/>
      <c r="FF142" s="86"/>
      <c r="FG142" s="86"/>
      <c r="FH142" s="86"/>
      <c r="FI142" s="734"/>
      <c r="FJ142" s="734"/>
      <c r="FK142" s="734"/>
      <c r="FL142" s="86"/>
      <c r="FM142" s="86"/>
      <c r="FN142" s="734"/>
      <c r="FO142" s="86"/>
      <c r="FP142" s="734"/>
      <c r="FQ142" s="734"/>
      <c r="FR142" s="734"/>
      <c r="FS142" s="86"/>
      <c r="FT142" s="86"/>
      <c r="FU142" s="734"/>
      <c r="FV142" s="86"/>
      <c r="FW142" s="734"/>
      <c r="FX142" s="86"/>
      <c r="FY142" s="734"/>
      <c r="FZ142" s="734"/>
      <c r="GA142" s="734"/>
      <c r="GB142" s="734"/>
      <c r="GC142" s="734"/>
      <c r="GD142" s="734"/>
      <c r="GE142" s="734"/>
      <c r="GF142" s="86"/>
      <c r="GG142" s="734"/>
      <c r="GH142" s="86"/>
      <c r="GI142" s="734"/>
      <c r="GJ142" s="86"/>
      <c r="GK142" s="734"/>
      <c r="GL142" s="734"/>
      <c r="GM142" s="734"/>
      <c r="GN142" s="734"/>
      <c r="GO142" s="86"/>
      <c r="GP142" s="86"/>
      <c r="GQ142" s="86"/>
      <c r="GR142" s="86"/>
      <c r="GS142" s="86"/>
      <c r="GT142" s="86"/>
      <c r="GU142" s="86"/>
      <c r="GV142" s="86"/>
      <c r="GW142" s="399"/>
      <c r="GX142" s="399" t="s">
        <v>945</v>
      </c>
      <c r="GY142" s="417"/>
      <c r="GZ142" s="424"/>
      <c r="HA142" s="424"/>
      <c r="HB142" s="243" t="s">
        <v>946</v>
      </c>
    </row>
    <row r="143" spans="1:287" s="15" customFormat="1" ht="30" hidden="1" customHeight="1">
      <c r="A143" s="217">
        <v>61</v>
      </c>
      <c r="B143" s="410" t="s">
        <v>947</v>
      </c>
      <c r="C143" s="212" t="s">
        <v>843</v>
      </c>
      <c r="D143" s="375" t="s">
        <v>948</v>
      </c>
      <c r="E143" s="861">
        <f t="shared" si="76"/>
        <v>0</v>
      </c>
      <c r="F143" s="377">
        <v>0</v>
      </c>
      <c r="G143" s="377">
        <v>0</v>
      </c>
      <c r="H143" s="377">
        <v>0</v>
      </c>
      <c r="I143" s="377">
        <v>0</v>
      </c>
      <c r="J143" s="858">
        <f t="shared" si="51"/>
        <v>0</v>
      </c>
      <c r="K143" s="861">
        <f t="shared" si="52"/>
        <v>0</v>
      </c>
      <c r="L143" s="861">
        <f t="shared" si="53"/>
        <v>0</v>
      </c>
      <c r="M143" s="858">
        <f t="shared" si="85"/>
        <v>0</v>
      </c>
      <c r="N143" s="861">
        <f t="shared" si="81"/>
        <v>0</v>
      </c>
      <c r="O143" s="861">
        <f t="shared" si="77"/>
        <v>0</v>
      </c>
      <c r="P143" s="861">
        <f t="shared" si="78"/>
        <v>0</v>
      </c>
      <c r="Q143" s="861">
        <f t="shared" si="73"/>
        <v>0</v>
      </c>
      <c r="R143" s="861">
        <f t="shared" si="74"/>
        <v>0</v>
      </c>
      <c r="S143" s="861">
        <f t="shared" si="75"/>
        <v>0</v>
      </c>
      <c r="T143" s="861"/>
      <c r="U143" s="861"/>
      <c r="V143" s="86"/>
      <c r="W143" s="86"/>
      <c r="X143" s="86"/>
      <c r="Y143" s="86"/>
      <c r="Z143" s="86"/>
      <c r="AA143" s="86"/>
      <c r="AB143" s="86"/>
      <c r="AC143" s="86"/>
      <c r="AD143" s="86"/>
      <c r="AE143" s="734"/>
      <c r="AF143" s="734"/>
      <c r="AG143" s="734"/>
      <c r="AH143" s="734"/>
      <c r="AI143" s="734"/>
      <c r="AJ143" s="734"/>
      <c r="AK143" s="734"/>
      <c r="AL143" s="734"/>
      <c r="AM143" s="734"/>
      <c r="AN143" s="734"/>
      <c r="AO143" s="734"/>
      <c r="AP143" s="734"/>
      <c r="AQ143" s="734"/>
      <c r="AR143" s="734"/>
      <c r="AS143" s="734"/>
      <c r="AT143" s="734"/>
      <c r="AU143" s="734"/>
      <c r="AV143" s="734"/>
      <c r="AW143" s="734"/>
      <c r="AX143" s="734"/>
      <c r="AY143" s="734"/>
      <c r="AZ143" s="734"/>
      <c r="BA143" s="734"/>
      <c r="BB143" s="734"/>
      <c r="BC143" s="734"/>
      <c r="BD143" s="86"/>
      <c r="BE143" s="86"/>
      <c r="BF143" s="734"/>
      <c r="BG143" s="86"/>
      <c r="BH143" s="86"/>
      <c r="BI143" s="734"/>
      <c r="BJ143" s="734"/>
      <c r="BK143" s="734"/>
      <c r="BL143" s="734"/>
      <c r="BM143" s="734"/>
      <c r="BN143" s="86"/>
      <c r="BO143" s="86"/>
      <c r="BP143" s="86"/>
      <c r="BQ143" s="86"/>
      <c r="BR143" s="734"/>
      <c r="BS143" s="734"/>
      <c r="BT143" s="734"/>
      <c r="BU143" s="734"/>
      <c r="BV143" s="734"/>
      <c r="BW143" s="734"/>
      <c r="BX143" s="734"/>
      <c r="BY143" s="734"/>
      <c r="BZ143" s="734"/>
      <c r="CA143" s="734"/>
      <c r="CB143" s="86"/>
      <c r="CC143" s="734"/>
      <c r="CD143" s="734"/>
      <c r="CE143" s="734"/>
      <c r="CF143" s="86"/>
      <c r="CG143" s="86"/>
      <c r="CH143" s="734"/>
      <c r="CI143" s="86"/>
      <c r="CJ143" s="734"/>
      <c r="CK143" s="734"/>
      <c r="CL143" s="86"/>
      <c r="CM143" s="86"/>
      <c r="CN143" s="86"/>
      <c r="CO143" s="734"/>
      <c r="CP143" s="86"/>
      <c r="CQ143" s="734"/>
      <c r="CR143" s="734"/>
      <c r="CS143" s="734"/>
      <c r="CT143" s="734"/>
      <c r="CU143" s="734"/>
      <c r="CV143" s="734"/>
      <c r="CW143" s="734"/>
      <c r="CX143" s="734"/>
      <c r="CY143" s="734"/>
      <c r="CZ143" s="734"/>
      <c r="DA143" s="734"/>
      <c r="DB143" s="86"/>
      <c r="DC143" s="86"/>
      <c r="DD143" s="86"/>
      <c r="DE143" s="734"/>
      <c r="DF143" s="734"/>
      <c r="DG143" s="86"/>
      <c r="DH143" s="734"/>
      <c r="DI143" s="734"/>
      <c r="DJ143" s="734"/>
      <c r="DK143" s="86"/>
      <c r="DL143" s="734"/>
      <c r="DM143" s="734"/>
      <c r="DN143" s="86"/>
      <c r="DO143" s="86"/>
      <c r="DP143" s="734"/>
      <c r="DQ143" s="734"/>
      <c r="DR143" s="86"/>
      <c r="DS143" s="734"/>
      <c r="DT143" s="734"/>
      <c r="DU143" s="734"/>
      <c r="DV143" s="86"/>
      <c r="DW143" s="86"/>
      <c r="DX143" s="86"/>
      <c r="DY143" s="86"/>
      <c r="DZ143" s="734"/>
      <c r="EA143" s="734"/>
      <c r="EB143" s="86"/>
      <c r="EC143" s="86"/>
      <c r="ED143" s="86"/>
      <c r="EE143" s="86"/>
      <c r="EF143" s="86"/>
      <c r="EG143" s="734"/>
      <c r="EH143" s="734"/>
      <c r="EI143" s="734"/>
      <c r="EJ143" s="86"/>
      <c r="EK143" s="86"/>
      <c r="EL143" s="734"/>
      <c r="EM143" s="734"/>
      <c r="EN143" s="734"/>
      <c r="EO143" s="734"/>
      <c r="EP143" s="734"/>
      <c r="EQ143" s="734"/>
      <c r="ER143" s="86"/>
      <c r="ES143" s="86"/>
      <c r="ET143" s="86"/>
      <c r="EU143" s="734"/>
      <c r="EV143" s="734"/>
      <c r="EW143" s="86"/>
      <c r="EX143" s="86"/>
      <c r="EY143" s="86"/>
      <c r="EZ143" s="86"/>
      <c r="FA143" s="734"/>
      <c r="FB143" s="734"/>
      <c r="FC143" s="734"/>
      <c r="FD143" s="86"/>
      <c r="FE143" s="86"/>
      <c r="FF143" s="86"/>
      <c r="FG143" s="86"/>
      <c r="FH143" s="86"/>
      <c r="FI143" s="734"/>
      <c r="FJ143" s="734"/>
      <c r="FK143" s="734"/>
      <c r="FL143" s="86"/>
      <c r="FM143" s="86"/>
      <c r="FN143" s="734"/>
      <c r="FO143" s="86"/>
      <c r="FP143" s="734"/>
      <c r="FQ143" s="734"/>
      <c r="FR143" s="734"/>
      <c r="FS143" s="86"/>
      <c r="FT143" s="86"/>
      <c r="FU143" s="734"/>
      <c r="FV143" s="86"/>
      <c r="FW143" s="734"/>
      <c r="FX143" s="86"/>
      <c r="FY143" s="734"/>
      <c r="FZ143" s="734"/>
      <c r="GA143" s="734"/>
      <c r="GB143" s="734"/>
      <c r="GC143" s="734"/>
      <c r="GD143" s="734"/>
      <c r="GE143" s="734"/>
      <c r="GF143" s="86"/>
      <c r="GG143" s="734"/>
      <c r="GH143" s="86"/>
      <c r="GI143" s="734"/>
      <c r="GJ143" s="86"/>
      <c r="GK143" s="734"/>
      <c r="GL143" s="734"/>
      <c r="GM143" s="734"/>
      <c r="GN143" s="734"/>
      <c r="GO143" s="86"/>
      <c r="GP143" s="86"/>
      <c r="GQ143" s="86"/>
      <c r="GR143" s="86"/>
      <c r="GS143" s="86"/>
      <c r="GT143" s="86"/>
      <c r="GU143" s="86"/>
      <c r="GV143" s="86"/>
      <c r="GW143" s="244" t="s">
        <v>949</v>
      </c>
      <c r="GX143" s="233"/>
      <c r="GY143" s="85"/>
      <c r="GZ143" s="424"/>
      <c r="HA143" s="425"/>
      <c r="HB143" s="408" t="s">
        <v>861</v>
      </c>
    </row>
    <row r="144" spans="1:287" s="15" customFormat="1" ht="84.75" hidden="1" customHeight="1">
      <c r="A144" s="217">
        <v>62</v>
      </c>
      <c r="B144" s="1599" t="s">
        <v>950</v>
      </c>
      <c r="C144" s="217" t="s">
        <v>848</v>
      </c>
      <c r="D144" s="85" t="s">
        <v>951</v>
      </c>
      <c r="E144" s="861">
        <f t="shared" si="76"/>
        <v>0</v>
      </c>
      <c r="F144" s="377">
        <v>0</v>
      </c>
      <c r="G144" s="377">
        <v>0</v>
      </c>
      <c r="H144" s="377">
        <v>0</v>
      </c>
      <c r="I144" s="377">
        <v>0</v>
      </c>
      <c r="J144" s="858">
        <f t="shared" si="51"/>
        <v>0</v>
      </c>
      <c r="K144" s="861">
        <f t="shared" si="52"/>
        <v>0</v>
      </c>
      <c r="L144" s="861">
        <f t="shared" si="53"/>
        <v>0</v>
      </c>
      <c r="M144" s="858">
        <f t="shared" si="85"/>
        <v>0</v>
      </c>
      <c r="N144" s="861">
        <f t="shared" si="81"/>
        <v>0</v>
      </c>
      <c r="O144" s="861">
        <f t="shared" si="77"/>
        <v>0</v>
      </c>
      <c r="P144" s="861">
        <f t="shared" si="78"/>
        <v>0</v>
      </c>
      <c r="Q144" s="861">
        <f t="shared" si="73"/>
        <v>0</v>
      </c>
      <c r="R144" s="861">
        <f t="shared" si="74"/>
        <v>0</v>
      </c>
      <c r="S144" s="861">
        <f t="shared" si="75"/>
        <v>0</v>
      </c>
      <c r="T144" s="861"/>
      <c r="U144" s="861"/>
      <c r="V144" s="86"/>
      <c r="W144" s="86"/>
      <c r="X144" s="86"/>
      <c r="Y144" s="86"/>
      <c r="Z144" s="86"/>
      <c r="AA144" s="86"/>
      <c r="AB144" s="86"/>
      <c r="AC144" s="86"/>
      <c r="AD144" s="86"/>
      <c r="AE144" s="734"/>
      <c r="AF144" s="734"/>
      <c r="AG144" s="734"/>
      <c r="AH144" s="734"/>
      <c r="AI144" s="734"/>
      <c r="AJ144" s="734"/>
      <c r="AK144" s="734"/>
      <c r="AL144" s="734"/>
      <c r="AM144" s="734"/>
      <c r="AN144" s="734"/>
      <c r="AO144" s="734"/>
      <c r="AP144" s="734"/>
      <c r="AQ144" s="734"/>
      <c r="AR144" s="734"/>
      <c r="AS144" s="734"/>
      <c r="AT144" s="734"/>
      <c r="AU144" s="734"/>
      <c r="AV144" s="734"/>
      <c r="AW144" s="734"/>
      <c r="AX144" s="734"/>
      <c r="AY144" s="734"/>
      <c r="AZ144" s="734"/>
      <c r="BA144" s="734"/>
      <c r="BB144" s="734"/>
      <c r="BC144" s="734"/>
      <c r="BD144" s="86"/>
      <c r="BE144" s="86"/>
      <c r="BF144" s="734"/>
      <c r="BG144" s="86"/>
      <c r="BH144" s="86"/>
      <c r="BI144" s="734"/>
      <c r="BJ144" s="734"/>
      <c r="BK144" s="734"/>
      <c r="BL144" s="734"/>
      <c r="BM144" s="734"/>
      <c r="BN144" s="86"/>
      <c r="BO144" s="86"/>
      <c r="BP144" s="86"/>
      <c r="BQ144" s="86"/>
      <c r="BR144" s="734"/>
      <c r="BS144" s="734"/>
      <c r="BT144" s="734"/>
      <c r="BU144" s="734"/>
      <c r="BV144" s="734"/>
      <c r="BW144" s="734"/>
      <c r="BX144" s="734"/>
      <c r="BY144" s="734"/>
      <c r="BZ144" s="734"/>
      <c r="CA144" s="734"/>
      <c r="CB144" s="86"/>
      <c r="CC144" s="734"/>
      <c r="CD144" s="734"/>
      <c r="CE144" s="734"/>
      <c r="CF144" s="86"/>
      <c r="CG144" s="86"/>
      <c r="CH144" s="734"/>
      <c r="CI144" s="86"/>
      <c r="CJ144" s="734"/>
      <c r="CK144" s="734"/>
      <c r="CL144" s="86"/>
      <c r="CM144" s="86"/>
      <c r="CN144" s="86"/>
      <c r="CO144" s="734"/>
      <c r="CP144" s="86"/>
      <c r="CQ144" s="734"/>
      <c r="CR144" s="734"/>
      <c r="CS144" s="734"/>
      <c r="CT144" s="734"/>
      <c r="CU144" s="734"/>
      <c r="CV144" s="734"/>
      <c r="CW144" s="734"/>
      <c r="CX144" s="734"/>
      <c r="CY144" s="734"/>
      <c r="CZ144" s="734"/>
      <c r="DA144" s="734"/>
      <c r="DB144" s="86"/>
      <c r="DC144" s="86"/>
      <c r="DD144" s="86"/>
      <c r="DE144" s="734"/>
      <c r="DF144" s="734"/>
      <c r="DG144" s="86"/>
      <c r="DH144" s="734"/>
      <c r="DI144" s="734"/>
      <c r="DJ144" s="734"/>
      <c r="DK144" s="86"/>
      <c r="DL144" s="734"/>
      <c r="DM144" s="734"/>
      <c r="DN144" s="86"/>
      <c r="DO144" s="86"/>
      <c r="DP144" s="734"/>
      <c r="DQ144" s="734"/>
      <c r="DR144" s="86"/>
      <c r="DS144" s="734"/>
      <c r="DT144" s="734"/>
      <c r="DU144" s="734"/>
      <c r="DV144" s="86"/>
      <c r="DW144" s="86"/>
      <c r="DX144" s="86"/>
      <c r="DY144" s="86"/>
      <c r="DZ144" s="734"/>
      <c r="EA144" s="734"/>
      <c r="EB144" s="86"/>
      <c r="EC144" s="86"/>
      <c r="ED144" s="86"/>
      <c r="EE144" s="86"/>
      <c r="EF144" s="86"/>
      <c r="EG144" s="734"/>
      <c r="EH144" s="734"/>
      <c r="EI144" s="734"/>
      <c r="EJ144" s="86"/>
      <c r="EK144" s="86"/>
      <c r="EL144" s="734"/>
      <c r="EM144" s="734"/>
      <c r="EN144" s="734"/>
      <c r="EO144" s="734"/>
      <c r="EP144" s="734"/>
      <c r="EQ144" s="734"/>
      <c r="ER144" s="86"/>
      <c r="ES144" s="86"/>
      <c r="ET144" s="86"/>
      <c r="EU144" s="734"/>
      <c r="EV144" s="734"/>
      <c r="EW144" s="86"/>
      <c r="EX144" s="86"/>
      <c r="EY144" s="86"/>
      <c r="EZ144" s="86"/>
      <c r="FA144" s="734"/>
      <c r="FB144" s="734"/>
      <c r="FC144" s="734"/>
      <c r="FD144" s="86"/>
      <c r="FE144" s="86"/>
      <c r="FF144" s="86"/>
      <c r="FG144" s="86"/>
      <c r="FH144" s="86"/>
      <c r="FI144" s="734"/>
      <c r="FJ144" s="734"/>
      <c r="FK144" s="734"/>
      <c r="FL144" s="86"/>
      <c r="FM144" s="86"/>
      <c r="FN144" s="734"/>
      <c r="FO144" s="86"/>
      <c r="FP144" s="734"/>
      <c r="FQ144" s="734"/>
      <c r="FR144" s="734"/>
      <c r="FS144" s="86"/>
      <c r="FT144" s="86"/>
      <c r="FU144" s="734"/>
      <c r="FV144" s="86"/>
      <c r="FW144" s="734"/>
      <c r="FX144" s="86"/>
      <c r="FY144" s="734"/>
      <c r="FZ144" s="734"/>
      <c r="GA144" s="734"/>
      <c r="GB144" s="734"/>
      <c r="GC144" s="734"/>
      <c r="GD144" s="734"/>
      <c r="GE144" s="734"/>
      <c r="GF144" s="86"/>
      <c r="GG144" s="734"/>
      <c r="GH144" s="86"/>
      <c r="GI144" s="734"/>
      <c r="GJ144" s="86"/>
      <c r="GK144" s="734"/>
      <c r="GL144" s="734"/>
      <c r="GM144" s="734"/>
      <c r="GN144" s="734"/>
      <c r="GO144" s="86"/>
      <c r="GP144" s="86"/>
      <c r="GQ144" s="86"/>
      <c r="GR144" s="86"/>
      <c r="GS144" s="86"/>
      <c r="GT144" s="86"/>
      <c r="GU144" s="86"/>
      <c r="GV144" s="86"/>
      <c r="GW144" s="233" t="s">
        <v>952</v>
      </c>
      <c r="GX144" s="233" t="s">
        <v>953</v>
      </c>
      <c r="GY144" s="85"/>
      <c r="GZ144" s="217" t="s">
        <v>954</v>
      </c>
      <c r="HA144" s="924" t="s">
        <v>872</v>
      </c>
      <c r="HB144" s="251" t="s">
        <v>955</v>
      </c>
    </row>
    <row r="145" spans="1:210" s="15" customFormat="1" ht="84.75" hidden="1" customHeight="1">
      <c r="A145" s="754">
        <v>63</v>
      </c>
      <c r="B145" s="1600"/>
      <c r="C145" s="754" t="s">
        <v>1292</v>
      </c>
      <c r="D145" s="755" t="s">
        <v>1302</v>
      </c>
      <c r="E145" s="861">
        <f t="shared" si="76"/>
        <v>2</v>
      </c>
      <c r="F145" s="858"/>
      <c r="G145" s="858"/>
      <c r="H145" s="858"/>
      <c r="I145" s="858"/>
      <c r="J145" s="858">
        <v>0</v>
      </c>
      <c r="K145" s="858">
        <v>0</v>
      </c>
      <c r="L145" s="858">
        <f t="shared" ref="L145:L154" si="86">SUM(BL145:CP145)</f>
        <v>1</v>
      </c>
      <c r="M145" s="858">
        <f t="shared" si="85"/>
        <v>1</v>
      </c>
      <c r="N145" s="861">
        <f t="shared" si="81"/>
        <v>0</v>
      </c>
      <c r="O145" s="861">
        <f t="shared" si="77"/>
        <v>0</v>
      </c>
      <c r="P145" s="861">
        <f t="shared" si="78"/>
        <v>0</v>
      </c>
      <c r="Q145" s="861">
        <f t="shared" si="73"/>
        <v>0</v>
      </c>
      <c r="R145" s="861">
        <f t="shared" si="74"/>
        <v>0</v>
      </c>
      <c r="S145" s="861">
        <f t="shared" si="75"/>
        <v>0</v>
      </c>
      <c r="T145" s="861"/>
      <c r="U145" s="861"/>
      <c r="V145" s="959"/>
      <c r="W145" s="959"/>
      <c r="X145" s="959"/>
      <c r="Y145" s="959"/>
      <c r="Z145" s="959"/>
      <c r="AA145" s="959"/>
      <c r="AB145" s="959"/>
      <c r="AC145" s="959"/>
      <c r="AD145" s="959"/>
      <c r="AE145" s="959"/>
      <c r="AF145" s="959"/>
      <c r="AG145" s="959"/>
      <c r="AH145" s="959"/>
      <c r="AI145" s="959"/>
      <c r="AJ145" s="959"/>
      <c r="AK145" s="959"/>
      <c r="AL145" s="959"/>
      <c r="AM145" s="959"/>
      <c r="AN145" s="959"/>
      <c r="AO145" s="959"/>
      <c r="AP145" s="959"/>
      <c r="AQ145" s="959"/>
      <c r="AR145" s="959"/>
      <c r="AS145" s="959"/>
      <c r="AT145" s="959"/>
      <c r="AU145" s="959"/>
      <c r="AV145" s="959"/>
      <c r="AW145" s="959"/>
      <c r="AX145" s="959"/>
      <c r="AY145" s="959"/>
      <c r="AZ145" s="959"/>
      <c r="BA145" s="734"/>
      <c r="BB145" s="734"/>
      <c r="BC145" s="734"/>
      <c r="BD145" s="734"/>
      <c r="BE145" s="734"/>
      <c r="BF145" s="734"/>
      <c r="BG145" s="734"/>
      <c r="BH145" s="734"/>
      <c r="BI145" s="734"/>
      <c r="BJ145" s="734"/>
      <c r="BK145" s="734"/>
      <c r="BL145" s="734"/>
      <c r="BM145" s="734"/>
      <c r="BN145" s="734"/>
      <c r="BO145" s="734"/>
      <c r="BP145" s="734"/>
      <c r="BQ145" s="734"/>
      <c r="BR145" s="734"/>
      <c r="BS145" s="734"/>
      <c r="BT145" s="734"/>
      <c r="BU145" s="734"/>
      <c r="BV145" s="734"/>
      <c r="BW145" s="734"/>
      <c r="BX145" s="734"/>
      <c r="BY145" s="734"/>
      <c r="BZ145" s="734"/>
      <c r="CA145" s="734"/>
      <c r="CB145" s="734"/>
      <c r="CC145" s="734"/>
      <c r="CD145" s="734"/>
      <c r="CE145" s="734"/>
      <c r="CF145" s="734"/>
      <c r="CG145" s="734"/>
      <c r="CH145" s="734"/>
      <c r="CI145" s="734"/>
      <c r="CJ145" s="734"/>
      <c r="CK145" s="734"/>
      <c r="CL145" s="734"/>
      <c r="CM145" s="734">
        <v>1</v>
      </c>
      <c r="CN145" s="734"/>
      <c r="CO145" s="734"/>
      <c r="CP145" s="734"/>
      <c r="CQ145" s="734"/>
      <c r="CR145" s="734"/>
      <c r="CS145" s="734"/>
      <c r="CT145" s="734"/>
      <c r="CU145" s="734"/>
      <c r="CV145" s="734"/>
      <c r="CW145" s="734"/>
      <c r="CX145" s="734"/>
      <c r="CY145" s="734"/>
      <c r="CZ145" s="734"/>
      <c r="DA145" s="734"/>
      <c r="DB145" s="734"/>
      <c r="DC145" s="734"/>
      <c r="DD145" s="734"/>
      <c r="DE145" s="734"/>
      <c r="DF145" s="734"/>
      <c r="DG145" s="734">
        <v>1</v>
      </c>
      <c r="DH145" s="734"/>
      <c r="DI145" s="734"/>
      <c r="DJ145" s="734"/>
      <c r="DK145" s="734"/>
      <c r="DL145" s="734"/>
      <c r="DM145" s="734"/>
      <c r="DN145" s="734"/>
      <c r="DO145" s="734"/>
      <c r="DP145" s="734"/>
      <c r="DQ145" s="734"/>
      <c r="DR145" s="734"/>
      <c r="DS145" s="734"/>
      <c r="DT145" s="734"/>
      <c r="DU145" s="734"/>
      <c r="DV145" s="734"/>
      <c r="DW145" s="734"/>
      <c r="DX145" s="734"/>
      <c r="DY145" s="734"/>
      <c r="DZ145" s="734"/>
      <c r="EA145" s="734"/>
      <c r="EB145" s="734"/>
      <c r="EC145" s="734"/>
      <c r="ED145" s="734"/>
      <c r="EE145" s="734"/>
      <c r="EF145" s="734"/>
      <c r="EG145" s="734"/>
      <c r="EH145" s="734"/>
      <c r="EI145" s="734"/>
      <c r="EJ145" s="734"/>
      <c r="EK145" s="734"/>
      <c r="EL145" s="734"/>
      <c r="EM145" s="734"/>
      <c r="EN145" s="734"/>
      <c r="EO145" s="734"/>
      <c r="EP145" s="734"/>
      <c r="EQ145" s="734"/>
      <c r="ER145" s="734"/>
      <c r="ES145" s="734"/>
      <c r="ET145" s="734"/>
      <c r="EU145" s="734"/>
      <c r="EV145" s="734"/>
      <c r="EW145" s="734"/>
      <c r="EX145" s="734"/>
      <c r="EY145" s="734"/>
      <c r="EZ145" s="734"/>
      <c r="FA145" s="734"/>
      <c r="FB145" s="734"/>
      <c r="FC145" s="734"/>
      <c r="FD145" s="734"/>
      <c r="FE145" s="734"/>
      <c r="FF145" s="734"/>
      <c r="FG145" s="734"/>
      <c r="FH145" s="734"/>
      <c r="FI145" s="734"/>
      <c r="FJ145" s="734"/>
      <c r="FK145" s="734"/>
      <c r="FL145" s="734"/>
      <c r="FM145" s="734"/>
      <c r="FN145" s="734"/>
      <c r="FO145" s="734"/>
      <c r="FP145" s="734"/>
      <c r="FQ145" s="734"/>
      <c r="FR145" s="734"/>
      <c r="FS145" s="734"/>
      <c r="FT145" s="734"/>
      <c r="FU145" s="734"/>
      <c r="FV145" s="734"/>
      <c r="FW145" s="734"/>
      <c r="FX145" s="734"/>
      <c r="FY145" s="734"/>
      <c r="FZ145" s="734"/>
      <c r="GA145" s="734"/>
      <c r="GB145" s="734"/>
      <c r="GC145" s="734"/>
      <c r="GD145" s="734"/>
      <c r="GE145" s="734"/>
      <c r="GF145" s="734"/>
      <c r="GG145" s="734"/>
      <c r="GH145" s="734"/>
      <c r="GI145" s="734"/>
      <c r="GJ145" s="734"/>
      <c r="GK145" s="734"/>
      <c r="GL145" s="734"/>
      <c r="GM145" s="734"/>
      <c r="GN145" s="734"/>
      <c r="GO145" s="734"/>
      <c r="GP145" s="734"/>
      <c r="GQ145" s="734"/>
      <c r="GR145" s="959"/>
      <c r="GS145" s="959"/>
      <c r="GT145" s="959"/>
      <c r="GU145" s="959"/>
      <c r="GV145" s="959"/>
      <c r="GW145" s="921"/>
      <c r="GX145" s="921"/>
      <c r="GY145" s="755"/>
      <c r="GZ145" s="754"/>
      <c r="HA145" s="926"/>
      <c r="HB145" s="864" t="s">
        <v>1293</v>
      </c>
    </row>
    <row r="146" spans="1:210" s="15" customFormat="1" ht="84.75" hidden="1" customHeight="1">
      <c r="A146" s="754"/>
      <c r="B146" s="1600"/>
      <c r="C146" s="754" t="s">
        <v>1150</v>
      </c>
      <c r="D146" s="755" t="s">
        <v>1320</v>
      </c>
      <c r="E146" s="861">
        <f t="shared" si="76"/>
        <v>1</v>
      </c>
      <c r="F146" s="858"/>
      <c r="G146" s="858"/>
      <c r="H146" s="858"/>
      <c r="I146" s="858"/>
      <c r="J146" s="858">
        <v>0</v>
      </c>
      <c r="K146" s="858">
        <v>0</v>
      </c>
      <c r="L146" s="858">
        <v>0</v>
      </c>
      <c r="M146" s="858">
        <f t="shared" si="85"/>
        <v>0</v>
      </c>
      <c r="N146" s="861">
        <f t="shared" si="81"/>
        <v>1</v>
      </c>
      <c r="O146" s="861">
        <f t="shared" si="77"/>
        <v>0</v>
      </c>
      <c r="P146" s="861">
        <f t="shared" si="78"/>
        <v>0</v>
      </c>
      <c r="Q146" s="861">
        <f t="shared" si="73"/>
        <v>0</v>
      </c>
      <c r="R146" s="861">
        <f t="shared" si="74"/>
        <v>0</v>
      </c>
      <c r="S146" s="861">
        <f t="shared" si="75"/>
        <v>0</v>
      </c>
      <c r="T146" s="861"/>
      <c r="U146" s="861"/>
      <c r="V146" s="959"/>
      <c r="W146" s="959"/>
      <c r="X146" s="959"/>
      <c r="Y146" s="959"/>
      <c r="Z146" s="959"/>
      <c r="AA146" s="959"/>
      <c r="AB146" s="959"/>
      <c r="AC146" s="959"/>
      <c r="AD146" s="959"/>
      <c r="AE146" s="959"/>
      <c r="AF146" s="959"/>
      <c r="AG146" s="959"/>
      <c r="AH146" s="959"/>
      <c r="AI146" s="959"/>
      <c r="AJ146" s="959"/>
      <c r="AK146" s="959"/>
      <c r="AL146" s="959"/>
      <c r="AM146" s="959"/>
      <c r="AN146" s="959"/>
      <c r="AO146" s="959"/>
      <c r="AP146" s="959"/>
      <c r="AQ146" s="959"/>
      <c r="AR146" s="959"/>
      <c r="AS146" s="959"/>
      <c r="AT146" s="959"/>
      <c r="AU146" s="959"/>
      <c r="AV146" s="959"/>
      <c r="AW146" s="959"/>
      <c r="AX146" s="959"/>
      <c r="AY146" s="959"/>
      <c r="AZ146" s="959"/>
      <c r="BA146" s="734"/>
      <c r="BB146" s="734"/>
      <c r="BC146" s="734"/>
      <c r="BD146" s="734"/>
      <c r="BE146" s="734"/>
      <c r="BF146" s="734"/>
      <c r="BG146" s="734"/>
      <c r="BH146" s="734"/>
      <c r="BI146" s="734"/>
      <c r="BJ146" s="734"/>
      <c r="BK146" s="734"/>
      <c r="BL146" s="734"/>
      <c r="BM146" s="734"/>
      <c r="BN146" s="734"/>
      <c r="BO146" s="734"/>
      <c r="BP146" s="734"/>
      <c r="BQ146" s="734"/>
      <c r="BR146" s="734"/>
      <c r="BS146" s="734"/>
      <c r="BT146" s="734"/>
      <c r="BU146" s="734"/>
      <c r="BV146" s="734"/>
      <c r="BW146" s="734"/>
      <c r="BX146" s="734"/>
      <c r="BY146" s="734"/>
      <c r="BZ146" s="734"/>
      <c r="CA146" s="734"/>
      <c r="CB146" s="734"/>
      <c r="CC146" s="734"/>
      <c r="CD146" s="734"/>
      <c r="CE146" s="734"/>
      <c r="CF146" s="734"/>
      <c r="CG146" s="734"/>
      <c r="CH146" s="734"/>
      <c r="CI146" s="734"/>
      <c r="CJ146" s="734"/>
      <c r="CK146" s="734"/>
      <c r="CL146" s="734"/>
      <c r="CM146" s="734"/>
      <c r="CN146" s="734"/>
      <c r="CO146" s="734"/>
      <c r="CP146" s="734"/>
      <c r="CQ146" s="734"/>
      <c r="CR146" s="734"/>
      <c r="CS146" s="734"/>
      <c r="CT146" s="734"/>
      <c r="CU146" s="734"/>
      <c r="CV146" s="734"/>
      <c r="CW146" s="734"/>
      <c r="CX146" s="734"/>
      <c r="CY146" s="734"/>
      <c r="CZ146" s="734"/>
      <c r="DA146" s="734"/>
      <c r="DB146" s="734"/>
      <c r="DC146" s="734"/>
      <c r="DD146" s="734"/>
      <c r="DE146" s="734"/>
      <c r="DF146" s="734"/>
      <c r="DG146" s="734"/>
      <c r="DH146" s="734"/>
      <c r="DI146" s="734"/>
      <c r="DJ146" s="734"/>
      <c r="DK146" s="734"/>
      <c r="DL146" s="734"/>
      <c r="DM146" s="734"/>
      <c r="DN146" s="734"/>
      <c r="DO146" s="734"/>
      <c r="DP146" s="734"/>
      <c r="DQ146" s="734"/>
      <c r="DR146" s="734"/>
      <c r="DS146" s="734">
        <v>1</v>
      </c>
      <c r="DT146" s="734"/>
      <c r="DU146" s="734"/>
      <c r="DV146" s="734"/>
      <c r="DW146" s="734"/>
      <c r="DX146" s="734"/>
      <c r="DY146" s="734"/>
      <c r="DZ146" s="734"/>
      <c r="EA146" s="734"/>
      <c r="EB146" s="734"/>
      <c r="EC146" s="734"/>
      <c r="ED146" s="734"/>
      <c r="EE146" s="734"/>
      <c r="EF146" s="734"/>
      <c r="EG146" s="734"/>
      <c r="EH146" s="734"/>
      <c r="EI146" s="734"/>
      <c r="EJ146" s="734"/>
      <c r="EK146" s="734"/>
      <c r="EL146" s="734"/>
      <c r="EM146" s="734"/>
      <c r="EN146" s="734"/>
      <c r="EO146" s="734"/>
      <c r="EP146" s="734"/>
      <c r="EQ146" s="734"/>
      <c r="ER146" s="734"/>
      <c r="ES146" s="734"/>
      <c r="ET146" s="734"/>
      <c r="EU146" s="734"/>
      <c r="EV146" s="734"/>
      <c r="EW146" s="734"/>
      <c r="EX146" s="734"/>
      <c r="EY146" s="734"/>
      <c r="EZ146" s="734"/>
      <c r="FA146" s="734"/>
      <c r="FB146" s="734"/>
      <c r="FC146" s="734"/>
      <c r="FD146" s="734"/>
      <c r="FE146" s="734"/>
      <c r="FF146" s="734"/>
      <c r="FG146" s="734"/>
      <c r="FH146" s="734"/>
      <c r="FI146" s="734"/>
      <c r="FJ146" s="734"/>
      <c r="FK146" s="734"/>
      <c r="FL146" s="734"/>
      <c r="FM146" s="734"/>
      <c r="FN146" s="734"/>
      <c r="FO146" s="734"/>
      <c r="FP146" s="734"/>
      <c r="FQ146" s="734"/>
      <c r="FR146" s="734"/>
      <c r="FS146" s="734"/>
      <c r="FT146" s="734"/>
      <c r="FU146" s="734"/>
      <c r="FV146" s="734"/>
      <c r="FW146" s="734"/>
      <c r="FX146" s="734"/>
      <c r="FY146" s="734"/>
      <c r="FZ146" s="734"/>
      <c r="GA146" s="734"/>
      <c r="GB146" s="734"/>
      <c r="GC146" s="734"/>
      <c r="GD146" s="734"/>
      <c r="GE146" s="734"/>
      <c r="GF146" s="734"/>
      <c r="GG146" s="734"/>
      <c r="GH146" s="734"/>
      <c r="GI146" s="734"/>
      <c r="GJ146" s="734"/>
      <c r="GK146" s="734"/>
      <c r="GL146" s="734"/>
      <c r="GM146" s="734"/>
      <c r="GN146" s="734"/>
      <c r="GO146" s="734"/>
      <c r="GP146" s="734"/>
      <c r="GQ146" s="734"/>
      <c r="GR146" s="959"/>
      <c r="GS146" s="959"/>
      <c r="GT146" s="959"/>
      <c r="GU146" s="959"/>
      <c r="GV146" s="959"/>
      <c r="GW146" s="414"/>
      <c r="GX146" s="1177" t="s">
        <v>1322</v>
      </c>
      <c r="GY146" s="893"/>
      <c r="GZ146" s="1011"/>
      <c r="HA146" s="926"/>
      <c r="HB146" s="864"/>
    </row>
    <row r="147" spans="1:210" s="15" customFormat="1" ht="84.75" hidden="1" customHeight="1">
      <c r="A147" s="754"/>
      <c r="B147" s="1600"/>
      <c r="C147" s="754" t="s">
        <v>1150</v>
      </c>
      <c r="D147" s="755" t="s">
        <v>1454</v>
      </c>
      <c r="E147" s="858">
        <f t="shared" si="76"/>
        <v>1</v>
      </c>
      <c r="F147" s="858"/>
      <c r="G147" s="858"/>
      <c r="H147" s="858"/>
      <c r="I147" s="858"/>
      <c r="J147" s="858"/>
      <c r="K147" s="858"/>
      <c r="L147" s="858">
        <f t="shared" ref="L147" si="87">SUM(EU147:FX147)</f>
        <v>0</v>
      </c>
      <c r="M147" s="858">
        <f t="shared" ref="M147" si="88">SUM(EV147:FY147)</f>
        <v>0</v>
      </c>
      <c r="N147" s="858">
        <f t="shared" ref="N147" si="89">SUM(EW147:FZ147)</f>
        <v>0</v>
      </c>
      <c r="O147" s="858">
        <f t="shared" si="77"/>
        <v>0</v>
      </c>
      <c r="P147" s="858">
        <f t="shared" si="78"/>
        <v>1</v>
      </c>
      <c r="Q147" s="858">
        <f t="shared" si="73"/>
        <v>0</v>
      </c>
      <c r="R147" s="858">
        <f t="shared" si="74"/>
        <v>0</v>
      </c>
      <c r="S147" s="858">
        <f t="shared" si="75"/>
        <v>1</v>
      </c>
      <c r="T147" s="858"/>
      <c r="U147" s="858"/>
      <c r="V147" s="959"/>
      <c r="W147" s="959"/>
      <c r="X147" s="959"/>
      <c r="Y147" s="959"/>
      <c r="Z147" s="959"/>
      <c r="AA147" s="959"/>
      <c r="AB147" s="959"/>
      <c r="AC147" s="959"/>
      <c r="AD147" s="959"/>
      <c r="AE147" s="959"/>
      <c r="AF147" s="959"/>
      <c r="AG147" s="959"/>
      <c r="AH147" s="959"/>
      <c r="AI147" s="959"/>
      <c r="AJ147" s="959"/>
      <c r="AK147" s="959"/>
      <c r="AL147" s="959"/>
      <c r="AM147" s="959"/>
      <c r="AN147" s="959"/>
      <c r="AO147" s="959"/>
      <c r="AP147" s="959"/>
      <c r="AQ147" s="959"/>
      <c r="AR147" s="959"/>
      <c r="AS147" s="959"/>
      <c r="AT147" s="959"/>
      <c r="AU147" s="959"/>
      <c r="AV147" s="959"/>
      <c r="AW147" s="959"/>
      <c r="AX147" s="959"/>
      <c r="AY147" s="959"/>
      <c r="AZ147" s="959"/>
      <c r="BA147" s="734"/>
      <c r="BB147" s="734"/>
      <c r="BC147" s="734"/>
      <c r="BD147" s="734"/>
      <c r="BE147" s="734"/>
      <c r="BF147" s="734"/>
      <c r="BG147" s="734"/>
      <c r="BH147" s="734"/>
      <c r="BI147" s="734"/>
      <c r="BJ147" s="734"/>
      <c r="BK147" s="734"/>
      <c r="BL147" s="734"/>
      <c r="BM147" s="734"/>
      <c r="BN147" s="734"/>
      <c r="BO147" s="734"/>
      <c r="BP147" s="734"/>
      <c r="BQ147" s="734"/>
      <c r="BR147" s="734"/>
      <c r="BS147" s="734"/>
      <c r="BT147" s="734"/>
      <c r="BU147" s="734"/>
      <c r="BV147" s="734"/>
      <c r="BW147" s="734"/>
      <c r="BX147" s="734"/>
      <c r="BY147" s="734"/>
      <c r="BZ147" s="734"/>
      <c r="CA147" s="734"/>
      <c r="CB147" s="734"/>
      <c r="CC147" s="734"/>
      <c r="CD147" s="734"/>
      <c r="CE147" s="734"/>
      <c r="CF147" s="734"/>
      <c r="CG147" s="734"/>
      <c r="CH147" s="734"/>
      <c r="CI147" s="734"/>
      <c r="CJ147" s="734"/>
      <c r="CK147" s="734"/>
      <c r="CL147" s="734"/>
      <c r="CM147" s="734"/>
      <c r="CN147" s="734"/>
      <c r="CO147" s="734"/>
      <c r="CP147" s="734"/>
      <c r="CQ147" s="734"/>
      <c r="CR147" s="734"/>
      <c r="CS147" s="734"/>
      <c r="CT147" s="734"/>
      <c r="CU147" s="734"/>
      <c r="CV147" s="734"/>
      <c r="CW147" s="734"/>
      <c r="CX147" s="734"/>
      <c r="CY147" s="734"/>
      <c r="CZ147" s="734"/>
      <c r="DA147" s="734"/>
      <c r="DB147" s="734"/>
      <c r="DC147" s="734"/>
      <c r="DD147" s="734"/>
      <c r="DE147" s="734"/>
      <c r="DF147" s="734"/>
      <c r="DG147" s="734"/>
      <c r="DH147" s="734"/>
      <c r="DI147" s="734"/>
      <c r="DJ147" s="734"/>
      <c r="DK147" s="734"/>
      <c r="DL147" s="734"/>
      <c r="DM147" s="734"/>
      <c r="DN147" s="734"/>
      <c r="DO147" s="734"/>
      <c r="DP147" s="734"/>
      <c r="DQ147" s="734"/>
      <c r="DR147" s="734"/>
      <c r="DS147" s="734"/>
      <c r="DT147" s="734"/>
      <c r="DU147" s="734"/>
      <c r="DV147" s="734"/>
      <c r="DW147" s="734"/>
      <c r="DX147" s="734"/>
      <c r="DY147" s="734"/>
      <c r="DZ147" s="734"/>
      <c r="EA147" s="734"/>
      <c r="EB147" s="734"/>
      <c r="EC147" s="734"/>
      <c r="ED147" s="734"/>
      <c r="EE147" s="734"/>
      <c r="EF147" s="734"/>
      <c r="EG147" s="734"/>
      <c r="EH147" s="734"/>
      <c r="EI147" s="734"/>
      <c r="EJ147" s="734"/>
      <c r="EK147" s="734"/>
      <c r="EL147" s="734"/>
      <c r="EM147" s="734"/>
      <c r="EN147" s="734"/>
      <c r="EO147" s="734"/>
      <c r="EP147" s="734"/>
      <c r="EQ147" s="734"/>
      <c r="ER147" s="734"/>
      <c r="ES147" s="734"/>
      <c r="ET147" s="734"/>
      <c r="EU147" s="734"/>
      <c r="EV147" s="734"/>
      <c r="EW147" s="734"/>
      <c r="EX147" s="734"/>
      <c r="EY147" s="734"/>
      <c r="EZ147" s="734"/>
      <c r="FA147" s="734"/>
      <c r="FB147" s="734"/>
      <c r="FC147" s="734"/>
      <c r="FD147" s="734"/>
      <c r="FE147" s="734"/>
      <c r="FF147" s="734"/>
      <c r="FG147" s="734"/>
      <c r="FH147" s="734"/>
      <c r="FI147" s="734"/>
      <c r="FJ147" s="734"/>
      <c r="FK147" s="734"/>
      <c r="FL147" s="734"/>
      <c r="FM147" s="734"/>
      <c r="FN147" s="734"/>
      <c r="FO147" s="734"/>
      <c r="FP147" s="734"/>
      <c r="FQ147" s="734"/>
      <c r="FR147" s="734"/>
      <c r="FS147" s="734"/>
      <c r="FT147" s="734"/>
      <c r="FU147" s="734"/>
      <c r="FV147" s="734"/>
      <c r="FW147" s="734"/>
      <c r="FX147" s="734"/>
      <c r="FY147" s="734"/>
      <c r="FZ147" s="734"/>
      <c r="GA147" s="734"/>
      <c r="GB147" s="734"/>
      <c r="GC147" s="734"/>
      <c r="GD147" s="734"/>
      <c r="GE147" s="734"/>
      <c r="GF147" s="734"/>
      <c r="GG147" s="734"/>
      <c r="GH147" s="734"/>
      <c r="GI147" s="734"/>
      <c r="GJ147" s="734"/>
      <c r="GK147" s="734"/>
      <c r="GL147" s="734"/>
      <c r="GM147" s="734"/>
      <c r="GN147" s="734"/>
      <c r="GO147" s="734"/>
      <c r="GP147" s="734">
        <v>1</v>
      </c>
      <c r="GQ147" s="734"/>
      <c r="GR147" s="959"/>
      <c r="GS147" s="959"/>
      <c r="GT147" s="959"/>
      <c r="GU147" s="959"/>
      <c r="GV147" s="959"/>
      <c r="GW147" s="921"/>
      <c r="GX147" s="863" t="s">
        <v>1455</v>
      </c>
      <c r="GY147" s="755"/>
      <c r="GZ147" s="754"/>
      <c r="HA147" s="926"/>
      <c r="HB147" s="872" t="s">
        <v>1358</v>
      </c>
    </row>
    <row r="148" spans="1:210" s="15" customFormat="1" ht="84.75" hidden="1" customHeight="1">
      <c r="A148" s="754">
        <v>64</v>
      </c>
      <c r="B148" s="1600"/>
      <c r="C148" s="754" t="s">
        <v>1237</v>
      </c>
      <c r="D148" s="755" t="s">
        <v>1238</v>
      </c>
      <c r="E148" s="861">
        <f t="shared" si="76"/>
        <v>1</v>
      </c>
      <c r="F148" s="858">
        <v>0</v>
      </c>
      <c r="G148" s="858">
        <v>0</v>
      </c>
      <c r="H148" s="858">
        <v>0</v>
      </c>
      <c r="I148" s="858">
        <v>0</v>
      </c>
      <c r="J148" s="858">
        <v>0</v>
      </c>
      <c r="K148" s="858">
        <f t="shared" si="52"/>
        <v>3</v>
      </c>
      <c r="L148" s="861">
        <f t="shared" si="86"/>
        <v>1</v>
      </c>
      <c r="M148" s="858">
        <f t="shared" si="85"/>
        <v>0</v>
      </c>
      <c r="N148" s="861">
        <f t="shared" si="81"/>
        <v>0</v>
      </c>
      <c r="O148" s="861">
        <f t="shared" si="77"/>
        <v>0</v>
      </c>
      <c r="P148" s="861">
        <f t="shared" si="78"/>
        <v>0</v>
      </c>
      <c r="Q148" s="861">
        <f t="shared" si="73"/>
        <v>0</v>
      </c>
      <c r="R148" s="861">
        <f t="shared" si="74"/>
        <v>0</v>
      </c>
      <c r="S148" s="861">
        <f t="shared" si="75"/>
        <v>0</v>
      </c>
      <c r="T148" s="861"/>
      <c r="U148" s="861"/>
      <c r="V148" s="922"/>
      <c r="W148" s="922"/>
      <c r="X148" s="922"/>
      <c r="Y148" s="922"/>
      <c r="Z148" s="922"/>
      <c r="AA148" s="922"/>
      <c r="AB148" s="922"/>
      <c r="AC148" s="922"/>
      <c r="AD148" s="922"/>
      <c r="AE148" s="922"/>
      <c r="AF148" s="922"/>
      <c r="AG148" s="922"/>
      <c r="AH148" s="922"/>
      <c r="AI148" s="922"/>
      <c r="AJ148" s="922"/>
      <c r="AK148" s="922"/>
      <c r="AL148" s="922"/>
      <c r="AM148" s="922"/>
      <c r="AN148" s="922"/>
      <c r="AO148" s="922"/>
      <c r="AP148" s="922"/>
      <c r="AQ148" s="922"/>
      <c r="AR148" s="922"/>
      <c r="AS148" s="922"/>
      <c r="AT148" s="922"/>
      <c r="AU148" s="922"/>
      <c r="AV148" s="922"/>
      <c r="AW148" s="922"/>
      <c r="AX148" s="922"/>
      <c r="AY148" s="922"/>
      <c r="AZ148" s="922"/>
      <c r="BA148" s="734"/>
      <c r="BB148" s="734"/>
      <c r="BC148" s="734"/>
      <c r="BD148" s="734">
        <v>2</v>
      </c>
      <c r="BE148" s="734"/>
      <c r="BF148" s="734"/>
      <c r="BG148" s="734">
        <v>1</v>
      </c>
      <c r="BH148" s="734"/>
      <c r="BI148" s="734"/>
      <c r="BJ148" s="734"/>
      <c r="BK148" s="734"/>
      <c r="BL148" s="734"/>
      <c r="BM148" s="734"/>
      <c r="BN148" s="86"/>
      <c r="BO148" s="86"/>
      <c r="BP148" s="86"/>
      <c r="BQ148" s="86"/>
      <c r="BR148" s="734"/>
      <c r="BS148" s="734"/>
      <c r="BT148" s="734"/>
      <c r="BU148" s="734"/>
      <c r="BV148" s="734"/>
      <c r="BW148" s="734"/>
      <c r="BX148" s="734"/>
      <c r="BY148" s="734"/>
      <c r="BZ148" s="734"/>
      <c r="CA148" s="734"/>
      <c r="CB148" s="734"/>
      <c r="CC148" s="734"/>
      <c r="CD148" s="734"/>
      <c r="CE148" s="734"/>
      <c r="CF148" s="734"/>
      <c r="CG148" s="734"/>
      <c r="CH148" s="734"/>
      <c r="CI148" s="734"/>
      <c r="CJ148" s="734"/>
      <c r="CK148" s="734"/>
      <c r="CL148" s="734"/>
      <c r="CM148" s="734"/>
      <c r="CN148" s="734"/>
      <c r="CO148" s="734"/>
      <c r="CP148" s="734">
        <v>1</v>
      </c>
      <c r="CQ148" s="734"/>
      <c r="CR148" s="734"/>
      <c r="CS148" s="734"/>
      <c r="CT148" s="734"/>
      <c r="CU148" s="734"/>
      <c r="CV148" s="734"/>
      <c r="CW148" s="734"/>
      <c r="CX148" s="734"/>
      <c r="CY148" s="734"/>
      <c r="CZ148" s="734"/>
      <c r="DA148" s="734"/>
      <c r="DB148" s="734"/>
      <c r="DC148" s="734"/>
      <c r="DD148" s="734"/>
      <c r="DE148" s="734"/>
      <c r="DF148" s="734"/>
      <c r="DG148" s="734"/>
      <c r="DH148" s="734"/>
      <c r="DI148" s="734"/>
      <c r="DJ148" s="734"/>
      <c r="DK148" s="734"/>
      <c r="DL148" s="734"/>
      <c r="DM148" s="734"/>
      <c r="DN148" s="734"/>
      <c r="DO148" s="734"/>
      <c r="DP148" s="734"/>
      <c r="DQ148" s="734"/>
      <c r="DR148" s="734"/>
      <c r="DS148" s="734"/>
      <c r="DT148" s="734"/>
      <c r="DU148" s="734"/>
      <c r="DV148" s="734"/>
      <c r="DW148" s="734"/>
      <c r="DX148" s="734"/>
      <c r="DY148" s="734"/>
      <c r="DZ148" s="734"/>
      <c r="EA148" s="734"/>
      <c r="EB148" s="734"/>
      <c r="EC148" s="734"/>
      <c r="ED148" s="734"/>
      <c r="EE148" s="734"/>
      <c r="EF148" s="734"/>
      <c r="EG148" s="734"/>
      <c r="EH148" s="734"/>
      <c r="EI148" s="734"/>
      <c r="EJ148" s="734"/>
      <c r="EK148" s="734"/>
      <c r="EL148" s="734"/>
      <c r="EM148" s="734"/>
      <c r="EN148" s="734"/>
      <c r="EO148" s="734"/>
      <c r="EP148" s="734"/>
      <c r="EQ148" s="734"/>
      <c r="ER148" s="734"/>
      <c r="ES148" s="734"/>
      <c r="ET148" s="734"/>
      <c r="EU148" s="734"/>
      <c r="EV148" s="734"/>
      <c r="EW148" s="734"/>
      <c r="EX148" s="734"/>
      <c r="EY148" s="734"/>
      <c r="EZ148" s="734"/>
      <c r="FA148" s="734"/>
      <c r="FB148" s="734"/>
      <c r="FC148" s="734"/>
      <c r="FD148" s="734"/>
      <c r="FE148" s="734"/>
      <c r="FF148" s="734"/>
      <c r="FG148" s="734"/>
      <c r="FH148" s="734"/>
      <c r="FI148" s="734"/>
      <c r="FJ148" s="734"/>
      <c r="FK148" s="734"/>
      <c r="FL148" s="734"/>
      <c r="FM148" s="734"/>
      <c r="FN148" s="734"/>
      <c r="FO148" s="734"/>
      <c r="FP148" s="734"/>
      <c r="FQ148" s="734"/>
      <c r="FR148" s="734"/>
      <c r="FS148" s="734"/>
      <c r="FT148" s="734"/>
      <c r="FU148" s="734"/>
      <c r="FV148" s="734"/>
      <c r="FW148" s="734"/>
      <c r="FX148" s="734"/>
      <c r="FY148" s="734"/>
      <c r="FZ148" s="734"/>
      <c r="GA148" s="734"/>
      <c r="GB148" s="734"/>
      <c r="GC148" s="734"/>
      <c r="GD148" s="734"/>
      <c r="GE148" s="734"/>
      <c r="GF148" s="734"/>
      <c r="GG148" s="734"/>
      <c r="GH148" s="734"/>
      <c r="GI148" s="734"/>
      <c r="GJ148" s="734"/>
      <c r="GK148" s="734"/>
      <c r="GL148" s="734"/>
      <c r="GM148" s="734"/>
      <c r="GN148" s="734"/>
      <c r="GO148" s="734"/>
      <c r="GP148" s="734"/>
      <c r="GQ148" s="734"/>
      <c r="GR148" s="922"/>
      <c r="GS148" s="922"/>
      <c r="GT148" s="922"/>
      <c r="GU148" s="922"/>
      <c r="GV148" s="922"/>
      <c r="GW148" s="414" t="s">
        <v>1239</v>
      </c>
      <c r="GX148" s="415" t="s">
        <v>1240</v>
      </c>
      <c r="GY148" s="87"/>
      <c r="GZ148" s="923"/>
      <c r="HA148" s="926"/>
      <c r="HB148" s="864" t="s">
        <v>1154</v>
      </c>
    </row>
    <row r="149" spans="1:210" s="15" customFormat="1" ht="42.75" hidden="1" customHeight="1">
      <c r="A149" s="818">
        <v>65</v>
      </c>
      <c r="B149" s="1601"/>
      <c r="C149" s="1253" t="s">
        <v>843</v>
      </c>
      <c r="D149" s="780" t="s">
        <v>956</v>
      </c>
      <c r="E149" s="861">
        <f t="shared" si="76"/>
        <v>0</v>
      </c>
      <c r="F149" s="858">
        <v>0</v>
      </c>
      <c r="G149" s="858">
        <v>0</v>
      </c>
      <c r="H149" s="858">
        <v>0</v>
      </c>
      <c r="I149" s="858">
        <v>0</v>
      </c>
      <c r="J149" s="861">
        <f t="shared" si="51"/>
        <v>0</v>
      </c>
      <c r="K149" s="861">
        <f t="shared" si="52"/>
        <v>0</v>
      </c>
      <c r="L149" s="861">
        <f t="shared" si="86"/>
        <v>0</v>
      </c>
      <c r="M149" s="861">
        <f t="shared" si="85"/>
        <v>0</v>
      </c>
      <c r="N149" s="861">
        <f t="shared" si="81"/>
        <v>0</v>
      </c>
      <c r="O149" s="861">
        <f t="shared" si="77"/>
        <v>0</v>
      </c>
      <c r="P149" s="861">
        <f t="shared" si="78"/>
        <v>0</v>
      </c>
      <c r="Q149" s="861">
        <f t="shared" si="73"/>
        <v>0</v>
      </c>
      <c r="R149" s="861">
        <f t="shared" si="74"/>
        <v>0</v>
      </c>
      <c r="S149" s="861">
        <f t="shared" si="75"/>
        <v>0</v>
      </c>
      <c r="T149" s="861"/>
      <c r="U149" s="861"/>
      <c r="V149" s="734"/>
      <c r="W149" s="734"/>
      <c r="X149" s="734"/>
      <c r="Y149" s="734"/>
      <c r="Z149" s="734"/>
      <c r="AA149" s="734"/>
      <c r="AB149" s="734"/>
      <c r="AC149" s="734"/>
      <c r="AD149" s="734"/>
      <c r="AE149" s="734"/>
      <c r="AF149" s="734"/>
      <c r="AG149" s="734"/>
      <c r="AH149" s="734"/>
      <c r="AI149" s="734"/>
      <c r="AJ149" s="734"/>
      <c r="AK149" s="734"/>
      <c r="AL149" s="734"/>
      <c r="AM149" s="734"/>
      <c r="AN149" s="734"/>
      <c r="AO149" s="734"/>
      <c r="AP149" s="734"/>
      <c r="AQ149" s="734"/>
      <c r="AR149" s="734"/>
      <c r="AS149" s="734"/>
      <c r="AT149" s="734"/>
      <c r="AU149" s="734"/>
      <c r="AV149" s="734"/>
      <c r="AW149" s="734"/>
      <c r="AX149" s="734"/>
      <c r="AY149" s="734"/>
      <c r="AZ149" s="734"/>
      <c r="BA149" s="734"/>
      <c r="BB149" s="734"/>
      <c r="BC149" s="734"/>
      <c r="BD149" s="734"/>
      <c r="BE149" s="734"/>
      <c r="BF149" s="734"/>
      <c r="BG149" s="734"/>
      <c r="BH149" s="734"/>
      <c r="BI149" s="734"/>
      <c r="BJ149" s="734"/>
      <c r="BK149" s="734"/>
      <c r="BL149" s="734"/>
      <c r="BM149" s="734"/>
      <c r="BN149" s="734"/>
      <c r="BO149" s="734"/>
      <c r="BP149" s="734"/>
      <c r="BQ149" s="734"/>
      <c r="BR149" s="734"/>
      <c r="BS149" s="734"/>
      <c r="BT149" s="734"/>
      <c r="BU149" s="734"/>
      <c r="BV149" s="734"/>
      <c r="BW149" s="734"/>
      <c r="BX149" s="734"/>
      <c r="BY149" s="734"/>
      <c r="BZ149" s="734"/>
      <c r="CA149" s="734"/>
      <c r="CB149" s="734"/>
      <c r="CC149" s="734"/>
      <c r="CD149" s="734"/>
      <c r="CE149" s="734"/>
      <c r="CF149" s="734"/>
      <c r="CG149" s="734"/>
      <c r="CH149" s="734"/>
      <c r="CI149" s="734"/>
      <c r="CJ149" s="734"/>
      <c r="CK149" s="734"/>
      <c r="CL149" s="734"/>
      <c r="CM149" s="734"/>
      <c r="CN149" s="734"/>
      <c r="CO149" s="734"/>
      <c r="CP149" s="734"/>
      <c r="CQ149" s="734"/>
      <c r="CR149" s="734"/>
      <c r="CS149" s="734"/>
      <c r="CT149" s="734"/>
      <c r="CU149" s="734"/>
      <c r="CV149" s="734"/>
      <c r="CW149" s="734"/>
      <c r="CX149" s="734"/>
      <c r="CY149" s="734"/>
      <c r="CZ149" s="734"/>
      <c r="DA149" s="734"/>
      <c r="DB149" s="734"/>
      <c r="DC149" s="734"/>
      <c r="DD149" s="734"/>
      <c r="DE149" s="734"/>
      <c r="DF149" s="734"/>
      <c r="DG149" s="734"/>
      <c r="DH149" s="734"/>
      <c r="DI149" s="734"/>
      <c r="DJ149" s="734"/>
      <c r="DK149" s="734"/>
      <c r="DL149" s="734"/>
      <c r="DM149" s="734"/>
      <c r="DN149" s="734"/>
      <c r="DO149" s="734"/>
      <c r="DP149" s="734"/>
      <c r="DQ149" s="734"/>
      <c r="DR149" s="734"/>
      <c r="DS149" s="734"/>
      <c r="DT149" s="734"/>
      <c r="DU149" s="734"/>
      <c r="DV149" s="734"/>
      <c r="DW149" s="734"/>
      <c r="DX149" s="734"/>
      <c r="DY149" s="734"/>
      <c r="DZ149" s="734"/>
      <c r="EA149" s="734"/>
      <c r="EB149" s="734"/>
      <c r="EC149" s="734"/>
      <c r="ED149" s="734"/>
      <c r="EE149" s="734"/>
      <c r="EF149" s="734"/>
      <c r="EG149" s="773"/>
      <c r="EH149" s="773"/>
      <c r="EI149" s="773"/>
      <c r="EJ149" s="773"/>
      <c r="EK149" s="773"/>
      <c r="EL149" s="773"/>
      <c r="EM149" s="773"/>
      <c r="EN149" s="773"/>
      <c r="EO149" s="773"/>
      <c r="EP149" s="773"/>
      <c r="EQ149" s="773"/>
      <c r="ER149" s="773"/>
      <c r="ES149" s="773"/>
      <c r="ET149" s="773"/>
      <c r="EU149" s="773"/>
      <c r="EV149" s="773"/>
      <c r="EW149" s="773"/>
      <c r="EX149" s="773"/>
      <c r="EY149" s="773"/>
      <c r="EZ149" s="773"/>
      <c r="FA149" s="773"/>
      <c r="FB149" s="773"/>
      <c r="FC149" s="773"/>
      <c r="FD149" s="773"/>
      <c r="FE149" s="773"/>
      <c r="FF149" s="773"/>
      <c r="FG149" s="773"/>
      <c r="FH149" s="773"/>
      <c r="FI149" s="773"/>
      <c r="FJ149" s="773"/>
      <c r="FK149" s="773"/>
      <c r="FL149" s="773"/>
      <c r="FM149" s="773"/>
      <c r="FN149" s="773"/>
      <c r="FO149" s="773"/>
      <c r="FP149" s="773"/>
      <c r="FQ149" s="773"/>
      <c r="FR149" s="773"/>
      <c r="FS149" s="773"/>
      <c r="FT149" s="773"/>
      <c r="FU149" s="773"/>
      <c r="FV149" s="773"/>
      <c r="FW149" s="773"/>
      <c r="FX149" s="773"/>
      <c r="FY149" s="773"/>
      <c r="FZ149" s="773"/>
      <c r="GA149" s="773"/>
      <c r="GB149" s="773"/>
      <c r="GC149" s="773"/>
      <c r="GD149" s="773"/>
      <c r="GE149" s="773"/>
      <c r="GF149" s="773"/>
      <c r="GG149" s="773"/>
      <c r="GH149" s="773"/>
      <c r="GI149" s="773"/>
      <c r="GJ149" s="773"/>
      <c r="GK149" s="773"/>
      <c r="GL149" s="773"/>
      <c r="GM149" s="773"/>
      <c r="GN149" s="773"/>
      <c r="GO149" s="773"/>
      <c r="GP149" s="773"/>
      <c r="GQ149" s="773"/>
      <c r="GR149" s="164"/>
      <c r="GS149" s="164"/>
      <c r="GT149" s="164"/>
      <c r="GU149" s="164"/>
      <c r="GV149" s="164"/>
      <c r="GW149" s="1262" t="s">
        <v>957</v>
      </c>
      <c r="GX149" s="1210"/>
      <c r="GY149" s="771"/>
      <c r="GZ149" s="1015"/>
      <c r="HA149" s="1263"/>
      <c r="HB149" s="407"/>
    </row>
    <row r="150" spans="1:210" s="15" customFormat="1" ht="42.75" hidden="1" customHeight="1">
      <c r="A150" s="818"/>
      <c r="B150" s="1417" t="s">
        <v>1426</v>
      </c>
      <c r="C150" s="754" t="s">
        <v>843</v>
      </c>
      <c r="D150" s="755" t="s">
        <v>1427</v>
      </c>
      <c r="E150" s="861">
        <f t="shared" si="76"/>
        <v>1</v>
      </c>
      <c r="F150" s="858"/>
      <c r="G150" s="858"/>
      <c r="H150" s="858"/>
      <c r="I150" s="858"/>
      <c r="J150" s="858">
        <v>0</v>
      </c>
      <c r="K150" s="858">
        <v>0</v>
      </c>
      <c r="L150" s="858">
        <v>0</v>
      </c>
      <c r="M150" s="858">
        <v>0</v>
      </c>
      <c r="N150" s="858">
        <v>0</v>
      </c>
      <c r="O150" s="861">
        <f t="shared" si="77"/>
        <v>1</v>
      </c>
      <c r="P150" s="861">
        <f t="shared" si="78"/>
        <v>0</v>
      </c>
      <c r="Q150" s="861">
        <f t="shared" si="73"/>
        <v>0</v>
      </c>
      <c r="R150" s="861">
        <f t="shared" si="74"/>
        <v>0</v>
      </c>
      <c r="S150" s="861">
        <f t="shared" si="75"/>
        <v>0</v>
      </c>
      <c r="T150" s="858"/>
      <c r="U150" s="858"/>
      <c r="V150" s="959"/>
      <c r="W150" s="959"/>
      <c r="X150" s="959"/>
      <c r="Y150" s="959"/>
      <c r="Z150" s="959"/>
      <c r="AA150" s="959"/>
      <c r="AB150" s="959"/>
      <c r="AC150" s="959"/>
      <c r="AD150" s="959"/>
      <c r="AE150" s="959"/>
      <c r="AF150" s="959"/>
      <c r="AG150" s="959"/>
      <c r="AH150" s="959"/>
      <c r="AI150" s="959"/>
      <c r="AJ150" s="959"/>
      <c r="AK150" s="959"/>
      <c r="AL150" s="959"/>
      <c r="AM150" s="959"/>
      <c r="AN150" s="959"/>
      <c r="AO150" s="959"/>
      <c r="AP150" s="959"/>
      <c r="AQ150" s="959"/>
      <c r="AR150" s="959"/>
      <c r="AS150" s="959"/>
      <c r="AT150" s="959"/>
      <c r="AU150" s="959"/>
      <c r="AV150" s="959"/>
      <c r="AW150" s="959"/>
      <c r="AX150" s="959"/>
      <c r="AY150" s="959"/>
      <c r="AZ150" s="959"/>
      <c r="BA150" s="959"/>
      <c r="BB150" s="959"/>
      <c r="BC150" s="959"/>
      <c r="BD150" s="959"/>
      <c r="BE150" s="959"/>
      <c r="BF150" s="959"/>
      <c r="BG150" s="959"/>
      <c r="BH150" s="959"/>
      <c r="BI150" s="959"/>
      <c r="BJ150" s="959"/>
      <c r="BK150" s="959"/>
      <c r="BL150" s="959"/>
      <c r="BM150" s="959"/>
      <c r="BN150" s="959"/>
      <c r="BO150" s="959"/>
      <c r="BP150" s="959"/>
      <c r="BQ150" s="959"/>
      <c r="BR150" s="959"/>
      <c r="BS150" s="959"/>
      <c r="BT150" s="959"/>
      <c r="BU150" s="959"/>
      <c r="BV150" s="959"/>
      <c r="BW150" s="959"/>
      <c r="BX150" s="959"/>
      <c r="BY150" s="959"/>
      <c r="BZ150" s="959"/>
      <c r="CA150" s="959"/>
      <c r="CB150" s="959"/>
      <c r="CC150" s="1416"/>
      <c r="CD150" s="1416"/>
      <c r="CE150" s="1416"/>
      <c r="CF150" s="1416"/>
      <c r="CG150" s="1416"/>
      <c r="CH150" s="1416"/>
      <c r="CI150" s="1416"/>
      <c r="CJ150" s="1416"/>
      <c r="CK150" s="1416"/>
      <c r="CL150" s="1416"/>
      <c r="CM150" s="1416"/>
      <c r="CN150" s="1416"/>
      <c r="CO150" s="1416"/>
      <c r="CP150" s="1416"/>
      <c r="CQ150" s="1416"/>
      <c r="CR150" s="1416"/>
      <c r="CS150" s="1416"/>
      <c r="CT150" s="1416"/>
      <c r="CU150" s="1416"/>
      <c r="CV150" s="1416"/>
      <c r="CW150" s="1416"/>
      <c r="CX150" s="1416"/>
      <c r="CY150" s="1416"/>
      <c r="CZ150" s="1416"/>
      <c r="DA150" s="1416"/>
      <c r="DB150" s="1416"/>
      <c r="DC150" s="1416"/>
      <c r="DD150" s="1416"/>
      <c r="DE150" s="1416"/>
      <c r="DF150" s="1416"/>
      <c r="DG150" s="1416"/>
      <c r="DH150" s="1416"/>
      <c r="DI150" s="1416"/>
      <c r="DJ150" s="1416"/>
      <c r="DK150" s="1416"/>
      <c r="DL150" s="1416"/>
      <c r="DM150" s="1416"/>
      <c r="DN150" s="1416"/>
      <c r="DO150" s="1416"/>
      <c r="DP150" s="1416"/>
      <c r="DQ150" s="1416"/>
      <c r="DR150" s="1416"/>
      <c r="DS150" s="1416"/>
      <c r="DT150" s="1416"/>
      <c r="DU150" s="1416"/>
      <c r="DV150" s="1416"/>
      <c r="DW150" s="1416"/>
      <c r="DX150" s="1416"/>
      <c r="DY150" s="1416"/>
      <c r="DZ150" s="1416"/>
      <c r="EA150" s="1416"/>
      <c r="EB150" s="1416"/>
      <c r="EC150" s="1416"/>
      <c r="ED150" s="1416"/>
      <c r="EE150" s="1416"/>
      <c r="EF150" s="1416"/>
      <c r="EG150" s="773"/>
      <c r="EH150" s="773"/>
      <c r="EI150" s="773"/>
      <c r="EJ150" s="773"/>
      <c r="EK150" s="773"/>
      <c r="EL150" s="773"/>
      <c r="EM150" s="773"/>
      <c r="EN150" s="773"/>
      <c r="EO150" s="773"/>
      <c r="EP150" s="773"/>
      <c r="EQ150" s="773"/>
      <c r="ER150" s="773"/>
      <c r="ES150" s="773"/>
      <c r="ET150" s="773"/>
      <c r="EU150" s="773"/>
      <c r="EV150" s="773"/>
      <c r="EW150" s="773"/>
      <c r="EX150" s="773"/>
      <c r="EY150" s="773"/>
      <c r="EZ150" s="773"/>
      <c r="FA150" s="773"/>
      <c r="FB150" s="773"/>
      <c r="FC150" s="773"/>
      <c r="FD150" s="773"/>
      <c r="FE150" s="773"/>
      <c r="FF150" s="773"/>
      <c r="FG150" s="773"/>
      <c r="FH150" s="773"/>
      <c r="FI150" s="773"/>
      <c r="FJ150" s="773"/>
      <c r="FK150" s="773"/>
      <c r="FL150" s="773"/>
      <c r="FM150" s="773"/>
      <c r="FN150" s="773"/>
      <c r="FO150" s="773"/>
      <c r="FP150" s="734">
        <v>1</v>
      </c>
      <c r="FQ150" s="734"/>
      <c r="FR150" s="734"/>
      <c r="FS150" s="734"/>
      <c r="FT150" s="734"/>
      <c r="FU150" s="734"/>
      <c r="FV150" s="734"/>
      <c r="FW150" s="734"/>
      <c r="FX150" s="734"/>
      <c r="FY150" s="734"/>
      <c r="FZ150" s="734"/>
      <c r="GA150" s="734"/>
      <c r="GB150" s="734"/>
      <c r="GC150" s="734"/>
      <c r="GD150" s="734"/>
      <c r="GE150" s="734"/>
      <c r="GF150" s="734"/>
      <c r="GG150" s="734"/>
      <c r="GH150" s="734"/>
      <c r="GI150" s="734"/>
      <c r="GJ150" s="734"/>
      <c r="GK150" s="734"/>
      <c r="GL150" s="734"/>
      <c r="GM150" s="734"/>
      <c r="GN150" s="734"/>
      <c r="GO150" s="734"/>
      <c r="GP150" s="734"/>
      <c r="GQ150" s="734"/>
      <c r="GR150" s="959"/>
      <c r="GS150" s="959"/>
      <c r="GT150" s="959"/>
      <c r="GU150" s="959"/>
      <c r="GV150" s="959"/>
      <c r="GW150" s="921"/>
      <c r="GX150" s="921"/>
      <c r="GY150" s="755"/>
      <c r="GZ150" s="888"/>
      <c r="HA150" s="888"/>
      <c r="HB150" s="864" t="s">
        <v>1359</v>
      </c>
    </row>
    <row r="151" spans="1:210" s="15" customFormat="1" ht="59.25" hidden="1" customHeight="1">
      <c r="A151" s="754"/>
      <c r="B151" s="1417" t="s">
        <v>1425</v>
      </c>
      <c r="C151" s="754" t="s">
        <v>843</v>
      </c>
      <c r="D151" s="755" t="s">
        <v>1392</v>
      </c>
      <c r="E151" s="861">
        <f t="shared" si="76"/>
        <v>3</v>
      </c>
      <c r="F151" s="858"/>
      <c r="G151" s="858"/>
      <c r="H151" s="858"/>
      <c r="I151" s="858"/>
      <c r="J151" s="858">
        <v>0</v>
      </c>
      <c r="K151" s="858">
        <v>0</v>
      </c>
      <c r="L151" s="858">
        <v>0</v>
      </c>
      <c r="M151" s="858">
        <v>0</v>
      </c>
      <c r="N151" s="858">
        <f t="shared" si="81"/>
        <v>2</v>
      </c>
      <c r="O151" s="861">
        <f t="shared" si="77"/>
        <v>1</v>
      </c>
      <c r="P151" s="861">
        <f t="shared" si="78"/>
        <v>0</v>
      </c>
      <c r="Q151" s="861">
        <f t="shared" si="73"/>
        <v>0</v>
      </c>
      <c r="R151" s="861">
        <f t="shared" si="74"/>
        <v>0</v>
      </c>
      <c r="S151" s="861">
        <f t="shared" si="75"/>
        <v>0</v>
      </c>
      <c r="T151" s="861"/>
      <c r="U151" s="858"/>
      <c r="V151" s="959"/>
      <c r="W151" s="959"/>
      <c r="X151" s="959"/>
      <c r="Y151" s="959"/>
      <c r="Z151" s="959"/>
      <c r="AA151" s="959"/>
      <c r="AB151" s="959"/>
      <c r="AC151" s="959"/>
      <c r="AD151" s="959"/>
      <c r="AE151" s="959"/>
      <c r="AF151" s="959"/>
      <c r="AG151" s="959"/>
      <c r="AH151" s="959"/>
      <c r="AI151" s="959"/>
      <c r="AJ151" s="959"/>
      <c r="AK151" s="959"/>
      <c r="AL151" s="959"/>
      <c r="AM151" s="959"/>
      <c r="AN151" s="959"/>
      <c r="AO151" s="959"/>
      <c r="AP151" s="959"/>
      <c r="AQ151" s="959"/>
      <c r="AR151" s="959"/>
      <c r="AS151" s="959"/>
      <c r="AT151" s="959"/>
      <c r="AU151" s="959"/>
      <c r="AV151" s="959"/>
      <c r="AW151" s="959"/>
      <c r="AX151" s="959"/>
      <c r="AY151" s="959"/>
      <c r="AZ151" s="959"/>
      <c r="BA151" s="959"/>
      <c r="BB151" s="959"/>
      <c r="BC151" s="959"/>
      <c r="BD151" s="959"/>
      <c r="BE151" s="959"/>
      <c r="BF151" s="959"/>
      <c r="BG151" s="959"/>
      <c r="BH151" s="959"/>
      <c r="BI151" s="959"/>
      <c r="BJ151" s="959"/>
      <c r="BK151" s="959"/>
      <c r="BL151" s="959"/>
      <c r="BM151" s="959"/>
      <c r="BN151" s="959"/>
      <c r="BO151" s="959"/>
      <c r="BP151" s="959"/>
      <c r="BQ151" s="959"/>
      <c r="BR151" s="959"/>
      <c r="BS151" s="959"/>
      <c r="BT151" s="959"/>
      <c r="BU151" s="959"/>
      <c r="BV151" s="959"/>
      <c r="BW151" s="959"/>
      <c r="BX151" s="959"/>
      <c r="BY151" s="959"/>
      <c r="BZ151" s="959"/>
      <c r="CA151" s="959"/>
      <c r="CB151" s="959"/>
      <c r="CC151" s="1252"/>
      <c r="CD151" s="1252"/>
      <c r="CE151" s="1252"/>
      <c r="CF151" s="1252"/>
      <c r="CG151" s="1252"/>
      <c r="CH151" s="1252"/>
      <c r="CI151" s="1252"/>
      <c r="CJ151" s="1252"/>
      <c r="CK151" s="1252"/>
      <c r="CL151" s="1252"/>
      <c r="CM151" s="1252"/>
      <c r="CN151" s="1252"/>
      <c r="CO151" s="1252"/>
      <c r="CP151" s="1252"/>
      <c r="CQ151" s="1252"/>
      <c r="CR151" s="1252"/>
      <c r="CS151" s="1252"/>
      <c r="CT151" s="1252"/>
      <c r="CU151" s="1252"/>
      <c r="CV151" s="1252"/>
      <c r="CW151" s="1252"/>
      <c r="CX151" s="1252"/>
      <c r="CY151" s="1252"/>
      <c r="CZ151" s="1252"/>
      <c r="DA151" s="1252"/>
      <c r="DB151" s="1252"/>
      <c r="DC151" s="1252"/>
      <c r="DD151" s="1252"/>
      <c r="DE151" s="1252"/>
      <c r="DF151" s="1252"/>
      <c r="DG151" s="1252"/>
      <c r="DH151" s="1252"/>
      <c r="DI151" s="1252"/>
      <c r="DJ151" s="1252"/>
      <c r="DK151" s="1252"/>
      <c r="DL151" s="1252"/>
      <c r="DM151" s="1252"/>
      <c r="DN151" s="1252"/>
      <c r="DO151" s="1252"/>
      <c r="DP151" s="1252"/>
      <c r="DQ151" s="1252"/>
      <c r="DR151" s="1252"/>
      <c r="DS151" s="1252"/>
      <c r="DT151" s="1252"/>
      <c r="DU151" s="1252"/>
      <c r="DV151" s="1252"/>
      <c r="DW151" s="1252"/>
      <c r="DX151" s="1252"/>
      <c r="DY151" s="1252"/>
      <c r="DZ151" s="1252"/>
      <c r="EA151" s="1252"/>
      <c r="EB151" s="1252"/>
      <c r="EC151" s="1252"/>
      <c r="ED151" s="1252"/>
      <c r="EE151" s="1252"/>
      <c r="EF151" s="1252"/>
      <c r="EG151" s="734"/>
      <c r="EH151" s="734"/>
      <c r="EI151" s="734"/>
      <c r="EJ151" s="734">
        <v>2</v>
      </c>
      <c r="EK151" s="734"/>
      <c r="EL151" s="734"/>
      <c r="EM151" s="734"/>
      <c r="EN151" s="734"/>
      <c r="EO151" s="734"/>
      <c r="EP151" s="734"/>
      <c r="EQ151" s="734"/>
      <c r="ER151" s="734"/>
      <c r="ES151" s="734"/>
      <c r="ET151" s="734"/>
      <c r="EU151" s="734"/>
      <c r="EV151" s="734"/>
      <c r="EW151" s="734"/>
      <c r="EX151" s="734"/>
      <c r="EY151" s="734"/>
      <c r="EZ151" s="734"/>
      <c r="FA151" s="734"/>
      <c r="FB151" s="734"/>
      <c r="FC151" s="734"/>
      <c r="FD151" s="734">
        <v>1</v>
      </c>
      <c r="FE151" s="734"/>
      <c r="FF151" s="734"/>
      <c r="FG151" s="734"/>
      <c r="FH151" s="734"/>
      <c r="FI151" s="734"/>
      <c r="FJ151" s="734"/>
      <c r="FK151" s="734"/>
      <c r="FL151" s="734"/>
      <c r="FM151" s="734"/>
      <c r="FN151" s="734"/>
      <c r="FO151" s="734"/>
      <c r="FP151" s="734"/>
      <c r="FQ151" s="734"/>
      <c r="FR151" s="734"/>
      <c r="FS151" s="734"/>
      <c r="FT151" s="734"/>
      <c r="FU151" s="734"/>
      <c r="FV151" s="734"/>
      <c r="FW151" s="734"/>
      <c r="FX151" s="734"/>
      <c r="FY151" s="734"/>
      <c r="FZ151" s="734"/>
      <c r="GA151" s="734"/>
      <c r="GB151" s="734"/>
      <c r="GC151" s="734"/>
      <c r="GD151" s="734"/>
      <c r="GE151" s="734"/>
      <c r="GF151" s="734"/>
      <c r="GG151" s="734"/>
      <c r="GH151" s="734"/>
      <c r="GI151" s="734"/>
      <c r="GJ151" s="734"/>
      <c r="GK151" s="734"/>
      <c r="GL151" s="734"/>
      <c r="GM151" s="734"/>
      <c r="GN151" s="734"/>
      <c r="GO151" s="734"/>
      <c r="GP151" s="734"/>
      <c r="GQ151" s="734"/>
      <c r="GR151" s="959"/>
      <c r="GS151" s="959"/>
      <c r="GT151" s="959"/>
      <c r="GU151" s="959"/>
      <c r="GV151" s="959"/>
      <c r="GW151" s="921"/>
      <c r="GX151" s="921" t="s">
        <v>1393</v>
      </c>
      <c r="GY151" s="755"/>
      <c r="GZ151" s="888"/>
      <c r="HA151" s="888"/>
      <c r="HB151" s="864" t="s">
        <v>1359</v>
      </c>
    </row>
    <row r="152" spans="1:210" s="15" customFormat="1" ht="51.75" hidden="1" customHeight="1">
      <c r="A152" s="754">
        <v>66</v>
      </c>
      <c r="B152" s="1163" t="s">
        <v>1318</v>
      </c>
      <c r="C152" s="1011" t="s">
        <v>1286</v>
      </c>
      <c r="D152" s="755" t="s">
        <v>1287</v>
      </c>
      <c r="E152" s="861">
        <f t="shared" si="76"/>
        <v>5</v>
      </c>
      <c r="F152" s="858">
        <v>0</v>
      </c>
      <c r="G152" s="858">
        <v>0</v>
      </c>
      <c r="H152" s="858">
        <v>0</v>
      </c>
      <c r="I152" s="858">
        <v>0</v>
      </c>
      <c r="J152" s="858">
        <v>0</v>
      </c>
      <c r="K152" s="858">
        <v>0</v>
      </c>
      <c r="L152" s="858">
        <f t="shared" si="86"/>
        <v>4</v>
      </c>
      <c r="M152" s="858">
        <f t="shared" si="85"/>
        <v>0</v>
      </c>
      <c r="N152" s="861">
        <f t="shared" si="81"/>
        <v>1</v>
      </c>
      <c r="O152" s="861">
        <f t="shared" si="77"/>
        <v>0</v>
      </c>
      <c r="P152" s="861">
        <f t="shared" si="78"/>
        <v>0</v>
      </c>
      <c r="Q152" s="861">
        <f t="shared" si="73"/>
        <v>0</v>
      </c>
      <c r="R152" s="861">
        <f t="shared" si="74"/>
        <v>0</v>
      </c>
      <c r="S152" s="861">
        <f t="shared" si="75"/>
        <v>0</v>
      </c>
      <c r="T152" s="861"/>
      <c r="U152" s="861"/>
      <c r="V152" s="959"/>
      <c r="W152" s="959"/>
      <c r="X152" s="959"/>
      <c r="Y152" s="959"/>
      <c r="Z152" s="959"/>
      <c r="AA152" s="959"/>
      <c r="AB152" s="959"/>
      <c r="AC152" s="959"/>
      <c r="AD152" s="959"/>
      <c r="AE152" s="959"/>
      <c r="AF152" s="959"/>
      <c r="AG152" s="959"/>
      <c r="AH152" s="959"/>
      <c r="AI152" s="959"/>
      <c r="AJ152" s="959"/>
      <c r="AK152" s="959"/>
      <c r="AL152" s="959"/>
      <c r="AM152" s="959"/>
      <c r="AN152" s="959"/>
      <c r="AO152" s="959"/>
      <c r="AP152" s="959"/>
      <c r="AQ152" s="959"/>
      <c r="AR152" s="959"/>
      <c r="AS152" s="959"/>
      <c r="AT152" s="959"/>
      <c r="AU152" s="959"/>
      <c r="AV152" s="959"/>
      <c r="AW152" s="959"/>
      <c r="AX152" s="959"/>
      <c r="AY152" s="959"/>
      <c r="AZ152" s="959"/>
      <c r="BA152" s="959"/>
      <c r="BB152" s="959"/>
      <c r="BC152" s="959"/>
      <c r="BD152" s="959"/>
      <c r="BE152" s="959"/>
      <c r="BF152" s="959"/>
      <c r="BG152" s="959"/>
      <c r="BH152" s="959"/>
      <c r="BI152" s="959"/>
      <c r="BJ152" s="959"/>
      <c r="BK152" s="959"/>
      <c r="BL152" s="959"/>
      <c r="BM152" s="959"/>
      <c r="BN152" s="959"/>
      <c r="BO152" s="959"/>
      <c r="BP152" s="959"/>
      <c r="BQ152" s="959"/>
      <c r="BR152" s="959"/>
      <c r="BS152" s="959"/>
      <c r="BT152" s="959"/>
      <c r="BU152" s="959"/>
      <c r="BV152" s="959"/>
      <c r="BW152" s="959"/>
      <c r="BX152" s="959"/>
      <c r="BY152" s="959"/>
      <c r="BZ152" s="959"/>
      <c r="CA152" s="959"/>
      <c r="CB152" s="959"/>
      <c r="CC152" s="734"/>
      <c r="CD152" s="734"/>
      <c r="CE152" s="734"/>
      <c r="CF152" s="734"/>
      <c r="CG152" s="734"/>
      <c r="CH152" s="734"/>
      <c r="CI152" s="734"/>
      <c r="CJ152" s="734">
        <v>2</v>
      </c>
      <c r="CK152" s="734"/>
      <c r="CL152" s="734"/>
      <c r="CM152" s="734"/>
      <c r="CN152" s="734"/>
      <c r="CO152" s="734"/>
      <c r="CP152" s="734">
        <v>2</v>
      </c>
      <c r="CQ152" s="734"/>
      <c r="CR152" s="734"/>
      <c r="CS152" s="734"/>
      <c r="CT152" s="734"/>
      <c r="CU152" s="734"/>
      <c r="CV152" s="734"/>
      <c r="CW152" s="734"/>
      <c r="CX152" s="734"/>
      <c r="CY152" s="734"/>
      <c r="CZ152" s="734"/>
      <c r="DA152" s="734"/>
      <c r="DB152" s="734"/>
      <c r="DC152" s="734"/>
      <c r="DD152" s="734"/>
      <c r="DE152" s="734"/>
      <c r="DF152" s="734"/>
      <c r="DG152" s="734"/>
      <c r="DH152" s="734"/>
      <c r="DI152" s="734"/>
      <c r="DJ152" s="734"/>
      <c r="DK152" s="734"/>
      <c r="DL152" s="734"/>
      <c r="DM152" s="734"/>
      <c r="DN152" s="734"/>
      <c r="DO152" s="734"/>
      <c r="DP152" s="734"/>
      <c r="DQ152" s="734"/>
      <c r="DR152" s="734"/>
      <c r="DS152" s="734"/>
      <c r="DT152" s="734"/>
      <c r="DU152" s="734"/>
      <c r="DV152" s="734"/>
      <c r="DW152" s="734"/>
      <c r="DX152" s="734"/>
      <c r="DY152" s="734"/>
      <c r="DZ152" s="734"/>
      <c r="EA152" s="734"/>
      <c r="EB152" s="734"/>
      <c r="EC152" s="734"/>
      <c r="ED152" s="734"/>
      <c r="EE152" s="734"/>
      <c r="EF152" s="734"/>
      <c r="EG152" s="734"/>
      <c r="EH152" s="734"/>
      <c r="EI152" s="734"/>
      <c r="EJ152" s="734"/>
      <c r="EK152" s="734">
        <v>1</v>
      </c>
      <c r="EL152" s="734"/>
      <c r="EM152" s="734"/>
      <c r="EN152" s="734"/>
      <c r="EO152" s="734"/>
      <c r="EP152" s="734"/>
      <c r="EQ152" s="734"/>
      <c r="ER152" s="734"/>
      <c r="ES152" s="734"/>
      <c r="ET152" s="734"/>
      <c r="EU152" s="734"/>
      <c r="EV152" s="734"/>
      <c r="EW152" s="734"/>
      <c r="EX152" s="734"/>
      <c r="EY152" s="734"/>
      <c r="EZ152" s="734"/>
      <c r="FA152" s="734"/>
      <c r="FB152" s="734"/>
      <c r="FC152" s="734"/>
      <c r="FD152" s="734"/>
      <c r="FE152" s="734"/>
      <c r="FF152" s="734"/>
      <c r="FG152" s="734"/>
      <c r="FH152" s="734"/>
      <c r="FI152" s="734"/>
      <c r="FJ152" s="734"/>
      <c r="FK152" s="734"/>
      <c r="FL152" s="734"/>
      <c r="FM152" s="734"/>
      <c r="FN152" s="734"/>
      <c r="FO152" s="734"/>
      <c r="FP152" s="734"/>
      <c r="FQ152" s="734"/>
      <c r="FR152" s="734"/>
      <c r="FS152" s="734"/>
      <c r="FT152" s="734"/>
      <c r="FU152" s="734"/>
      <c r="FV152" s="734"/>
      <c r="FW152" s="734"/>
      <c r="FX152" s="734"/>
      <c r="FY152" s="734"/>
      <c r="FZ152" s="734"/>
      <c r="GA152" s="734"/>
      <c r="GB152" s="734"/>
      <c r="GC152" s="734"/>
      <c r="GD152" s="734"/>
      <c r="GE152" s="734"/>
      <c r="GF152" s="734"/>
      <c r="GG152" s="734"/>
      <c r="GH152" s="734"/>
      <c r="GI152" s="734"/>
      <c r="GJ152" s="734"/>
      <c r="GK152" s="734"/>
      <c r="GL152" s="734"/>
      <c r="GM152" s="734"/>
      <c r="GN152" s="734"/>
      <c r="GO152" s="734"/>
      <c r="GP152" s="734"/>
      <c r="GQ152" s="734"/>
      <c r="GR152" s="959"/>
      <c r="GS152" s="959"/>
      <c r="GT152" s="959"/>
      <c r="GU152" s="959"/>
      <c r="GV152" s="959"/>
      <c r="GW152" s="414"/>
      <c r="GX152" s="1054" t="s">
        <v>1361</v>
      </c>
      <c r="GY152" s="893"/>
      <c r="GZ152" s="1055"/>
      <c r="HA152" s="888"/>
      <c r="HB152" s="864" t="s">
        <v>1295</v>
      </c>
    </row>
    <row r="153" spans="1:210" s="15" customFormat="1" ht="51.75" hidden="1" customHeight="1">
      <c r="A153" s="754">
        <v>67</v>
      </c>
      <c r="B153" s="1359" t="s">
        <v>1397</v>
      </c>
      <c r="C153" s="1011" t="s">
        <v>1398</v>
      </c>
      <c r="D153" s="755" t="s">
        <v>1402</v>
      </c>
      <c r="E153" s="861">
        <f t="shared" si="76"/>
        <v>2</v>
      </c>
      <c r="F153" s="858">
        <v>0</v>
      </c>
      <c r="G153" s="858">
        <v>0</v>
      </c>
      <c r="H153" s="858">
        <v>0</v>
      </c>
      <c r="I153" s="858">
        <v>0</v>
      </c>
      <c r="J153" s="858">
        <f t="shared" ref="J153" si="90">SUM(V153:AF153)</f>
        <v>0</v>
      </c>
      <c r="K153" s="858">
        <f t="shared" ref="K153" si="91">SUM(AG153:BK153)</f>
        <v>0</v>
      </c>
      <c r="L153" s="858">
        <f t="shared" ref="L153" si="92">SUM(BL153:CP153)</f>
        <v>0</v>
      </c>
      <c r="M153" s="858">
        <f t="shared" ref="M153" si="93">SUM(CQ153:DR153)</f>
        <v>0</v>
      </c>
      <c r="N153" s="858">
        <f t="shared" ref="N153" si="94">SUM(DS153:EW153)</f>
        <v>0</v>
      </c>
      <c r="O153" s="861">
        <f t="shared" si="77"/>
        <v>2</v>
      </c>
      <c r="P153" s="861">
        <f t="shared" si="78"/>
        <v>0</v>
      </c>
      <c r="Q153" s="861">
        <f t="shared" si="73"/>
        <v>0</v>
      </c>
      <c r="R153" s="861">
        <f t="shared" si="74"/>
        <v>0</v>
      </c>
      <c r="S153" s="861">
        <f t="shared" si="75"/>
        <v>0</v>
      </c>
      <c r="T153" s="861"/>
      <c r="U153" s="858"/>
      <c r="V153" s="959"/>
      <c r="W153" s="959"/>
      <c r="X153" s="959"/>
      <c r="Y153" s="959"/>
      <c r="Z153" s="959"/>
      <c r="AA153" s="959"/>
      <c r="AB153" s="959"/>
      <c r="AC153" s="959"/>
      <c r="AD153" s="959"/>
      <c r="AE153" s="959"/>
      <c r="AF153" s="959"/>
      <c r="AG153" s="959"/>
      <c r="AH153" s="959"/>
      <c r="AI153" s="959"/>
      <c r="AJ153" s="959"/>
      <c r="AK153" s="959"/>
      <c r="AL153" s="959"/>
      <c r="AM153" s="959"/>
      <c r="AN153" s="959"/>
      <c r="AO153" s="959"/>
      <c r="AP153" s="959"/>
      <c r="AQ153" s="959"/>
      <c r="AR153" s="959"/>
      <c r="AS153" s="959"/>
      <c r="AT153" s="959"/>
      <c r="AU153" s="959"/>
      <c r="AV153" s="959"/>
      <c r="AW153" s="959"/>
      <c r="AX153" s="959"/>
      <c r="AY153" s="959"/>
      <c r="AZ153" s="959"/>
      <c r="BA153" s="959"/>
      <c r="BB153" s="959"/>
      <c r="BC153" s="959"/>
      <c r="BD153" s="959"/>
      <c r="BE153" s="959"/>
      <c r="BF153" s="959"/>
      <c r="BG153" s="959"/>
      <c r="BH153" s="959"/>
      <c r="BI153" s="959"/>
      <c r="BJ153" s="959"/>
      <c r="BK153" s="959"/>
      <c r="BL153" s="959"/>
      <c r="BM153" s="959"/>
      <c r="BN153" s="959"/>
      <c r="BO153" s="959"/>
      <c r="BP153" s="959"/>
      <c r="BQ153" s="959"/>
      <c r="BR153" s="959"/>
      <c r="BS153" s="959"/>
      <c r="BT153" s="959"/>
      <c r="BU153" s="959"/>
      <c r="BV153" s="959"/>
      <c r="BW153" s="959"/>
      <c r="BX153" s="959"/>
      <c r="BY153" s="959"/>
      <c r="BZ153" s="959"/>
      <c r="CA153" s="959"/>
      <c r="CB153" s="959"/>
      <c r="CC153" s="734"/>
      <c r="CD153" s="734"/>
      <c r="CE153" s="734"/>
      <c r="CF153" s="734"/>
      <c r="CG153" s="734"/>
      <c r="CH153" s="734"/>
      <c r="CI153" s="734"/>
      <c r="CJ153" s="734"/>
      <c r="CK153" s="734"/>
      <c r="CL153" s="734"/>
      <c r="CM153" s="734"/>
      <c r="CN153" s="734"/>
      <c r="CO153" s="734"/>
      <c r="CP153" s="734"/>
      <c r="CQ153" s="734"/>
      <c r="CR153" s="734"/>
      <c r="CS153" s="734"/>
      <c r="CT153" s="734"/>
      <c r="CU153" s="734"/>
      <c r="CV153" s="734"/>
      <c r="CW153" s="734"/>
      <c r="CX153" s="734"/>
      <c r="CY153" s="734"/>
      <c r="CZ153" s="734"/>
      <c r="DA153" s="734"/>
      <c r="DB153" s="734"/>
      <c r="DC153" s="734"/>
      <c r="DD153" s="734"/>
      <c r="DE153" s="734"/>
      <c r="DF153" s="734"/>
      <c r="DG153" s="734"/>
      <c r="DH153" s="734"/>
      <c r="DI153" s="734"/>
      <c r="DJ153" s="734"/>
      <c r="DK153" s="734"/>
      <c r="DL153" s="734"/>
      <c r="DM153" s="734"/>
      <c r="DN153" s="734"/>
      <c r="DO153" s="734"/>
      <c r="DP153" s="734"/>
      <c r="DQ153" s="734"/>
      <c r="DR153" s="734"/>
      <c r="DS153" s="734"/>
      <c r="DT153" s="734"/>
      <c r="DU153" s="734"/>
      <c r="DV153" s="734"/>
      <c r="DW153" s="734"/>
      <c r="DX153" s="734"/>
      <c r="DY153" s="734"/>
      <c r="DZ153" s="734"/>
      <c r="EA153" s="734"/>
      <c r="EB153" s="734"/>
      <c r="EC153" s="734"/>
      <c r="ED153" s="734"/>
      <c r="EE153" s="734"/>
      <c r="EF153" s="734"/>
      <c r="EG153" s="734"/>
      <c r="EH153" s="734"/>
      <c r="EI153" s="734"/>
      <c r="EJ153" s="734"/>
      <c r="EK153" s="734"/>
      <c r="EL153" s="734"/>
      <c r="EM153" s="734"/>
      <c r="EN153" s="734"/>
      <c r="EO153" s="734"/>
      <c r="EP153" s="734"/>
      <c r="EQ153" s="734"/>
      <c r="ER153" s="734"/>
      <c r="ES153" s="734"/>
      <c r="ET153" s="734"/>
      <c r="EU153" s="734"/>
      <c r="EV153" s="734"/>
      <c r="EW153" s="734"/>
      <c r="EX153" s="734"/>
      <c r="EY153" s="734"/>
      <c r="EZ153" s="734"/>
      <c r="FA153" s="734"/>
      <c r="FB153" s="734"/>
      <c r="FC153" s="734"/>
      <c r="FD153" s="734"/>
      <c r="FE153" s="734"/>
      <c r="FF153" s="734">
        <v>1</v>
      </c>
      <c r="FG153" s="734">
        <v>1</v>
      </c>
      <c r="FH153" s="734"/>
      <c r="FI153" s="734"/>
      <c r="FJ153" s="734"/>
      <c r="FK153" s="734"/>
      <c r="FL153" s="734"/>
      <c r="FM153" s="734"/>
      <c r="FN153" s="734"/>
      <c r="FO153" s="734"/>
      <c r="FP153" s="734"/>
      <c r="FQ153" s="734"/>
      <c r="FR153" s="734"/>
      <c r="FS153" s="734"/>
      <c r="FT153" s="734"/>
      <c r="FU153" s="734"/>
      <c r="FV153" s="734"/>
      <c r="FW153" s="734"/>
      <c r="FX153" s="734"/>
      <c r="FY153" s="734"/>
      <c r="FZ153" s="734"/>
      <c r="GA153" s="734"/>
      <c r="GB153" s="734"/>
      <c r="GC153" s="734"/>
      <c r="GD153" s="734"/>
      <c r="GE153" s="734"/>
      <c r="GF153" s="734"/>
      <c r="GG153" s="734"/>
      <c r="GH153" s="734"/>
      <c r="GI153" s="734"/>
      <c r="GJ153" s="734"/>
      <c r="GK153" s="734"/>
      <c r="GL153" s="734"/>
      <c r="GM153" s="734"/>
      <c r="GN153" s="734"/>
      <c r="GO153" s="734"/>
      <c r="GP153" s="734"/>
      <c r="GQ153" s="734"/>
      <c r="GR153" s="959"/>
      <c r="GS153" s="959"/>
      <c r="GT153" s="959"/>
      <c r="GU153" s="959"/>
      <c r="GV153" s="959"/>
      <c r="GW153" s="414" t="s">
        <v>1399</v>
      </c>
      <c r="GX153" s="1054"/>
      <c r="GY153" s="893"/>
      <c r="GZ153" s="1055"/>
      <c r="HA153" s="1374" t="s">
        <v>872</v>
      </c>
      <c r="HB153" s="872" t="s">
        <v>1358</v>
      </c>
    </row>
    <row r="154" spans="1:210" s="15" customFormat="1" ht="51.75" hidden="1" customHeight="1">
      <c r="A154" s="754">
        <v>68</v>
      </c>
      <c r="B154" s="1453" t="s">
        <v>1396</v>
      </c>
      <c r="C154" s="754" t="s">
        <v>843</v>
      </c>
      <c r="D154" s="755" t="s">
        <v>959</v>
      </c>
      <c r="E154" s="861">
        <f t="shared" si="76"/>
        <v>0</v>
      </c>
      <c r="F154" s="858">
        <v>0</v>
      </c>
      <c r="G154" s="858">
        <v>0</v>
      </c>
      <c r="H154" s="858">
        <v>0</v>
      </c>
      <c r="I154" s="858">
        <v>0</v>
      </c>
      <c r="J154" s="858">
        <f t="shared" si="51"/>
        <v>0</v>
      </c>
      <c r="K154" s="858">
        <f t="shared" si="52"/>
        <v>0</v>
      </c>
      <c r="L154" s="858">
        <f t="shared" si="86"/>
        <v>0</v>
      </c>
      <c r="M154" s="858">
        <f t="shared" si="85"/>
        <v>0</v>
      </c>
      <c r="N154" s="858">
        <f t="shared" si="81"/>
        <v>0</v>
      </c>
      <c r="O154" s="858">
        <f t="shared" si="77"/>
        <v>0</v>
      </c>
      <c r="P154" s="858">
        <f t="shared" si="78"/>
        <v>0</v>
      </c>
      <c r="Q154" s="858">
        <f t="shared" si="73"/>
        <v>0</v>
      </c>
      <c r="R154" s="858">
        <f t="shared" si="74"/>
        <v>0</v>
      </c>
      <c r="S154" s="858">
        <f t="shared" si="75"/>
        <v>0</v>
      </c>
      <c r="T154" s="858"/>
      <c r="U154" s="858"/>
      <c r="V154" s="734"/>
      <c r="W154" s="734"/>
      <c r="X154" s="734"/>
      <c r="Y154" s="734"/>
      <c r="Z154" s="734"/>
      <c r="AA154" s="734"/>
      <c r="AB154" s="734"/>
      <c r="AC154" s="734"/>
      <c r="AD154" s="734"/>
      <c r="AE154" s="734"/>
      <c r="AF154" s="734"/>
      <c r="AG154" s="734"/>
      <c r="AH154" s="734"/>
      <c r="AI154" s="734"/>
      <c r="AJ154" s="734"/>
      <c r="AK154" s="734"/>
      <c r="AL154" s="734"/>
      <c r="AM154" s="734"/>
      <c r="AN154" s="734"/>
      <c r="AO154" s="734"/>
      <c r="AP154" s="734"/>
      <c r="AQ154" s="734"/>
      <c r="AR154" s="734"/>
      <c r="AS154" s="734"/>
      <c r="AT154" s="734"/>
      <c r="AU154" s="734"/>
      <c r="AV154" s="734"/>
      <c r="AW154" s="734"/>
      <c r="AX154" s="734"/>
      <c r="AY154" s="734"/>
      <c r="AZ154" s="734"/>
      <c r="BA154" s="734"/>
      <c r="BB154" s="734"/>
      <c r="BC154" s="734"/>
      <c r="BD154" s="734"/>
      <c r="BE154" s="734"/>
      <c r="BF154" s="734"/>
      <c r="BG154" s="734"/>
      <c r="BH154" s="734"/>
      <c r="BI154" s="734"/>
      <c r="BJ154" s="734"/>
      <c r="BK154" s="734"/>
      <c r="BL154" s="734"/>
      <c r="BM154" s="734"/>
      <c r="BN154" s="734"/>
      <c r="BO154" s="734"/>
      <c r="BP154" s="734"/>
      <c r="BQ154" s="734"/>
      <c r="BR154" s="734"/>
      <c r="BS154" s="734"/>
      <c r="BT154" s="734"/>
      <c r="BU154" s="734"/>
      <c r="BV154" s="734"/>
      <c r="BW154" s="734"/>
      <c r="BX154" s="734"/>
      <c r="BY154" s="734"/>
      <c r="BZ154" s="734"/>
      <c r="CA154" s="734"/>
      <c r="CB154" s="734"/>
      <c r="CC154" s="734"/>
      <c r="CD154" s="734"/>
      <c r="CE154" s="734"/>
      <c r="CF154" s="734"/>
      <c r="CG154" s="734"/>
      <c r="CH154" s="734"/>
      <c r="CI154" s="734"/>
      <c r="CJ154" s="734"/>
      <c r="CK154" s="734"/>
      <c r="CL154" s="734"/>
      <c r="CM154" s="734"/>
      <c r="CN154" s="734"/>
      <c r="CO154" s="734"/>
      <c r="CP154" s="734"/>
      <c r="CQ154" s="734"/>
      <c r="CR154" s="734"/>
      <c r="CS154" s="734"/>
      <c r="CT154" s="734"/>
      <c r="CU154" s="734"/>
      <c r="CV154" s="734"/>
      <c r="CW154" s="734"/>
      <c r="CX154" s="734"/>
      <c r="CY154" s="734"/>
      <c r="CZ154" s="734"/>
      <c r="DA154" s="734"/>
      <c r="DB154" s="734"/>
      <c r="DC154" s="734"/>
      <c r="DD154" s="734"/>
      <c r="DE154" s="734"/>
      <c r="DF154" s="734"/>
      <c r="DG154" s="734"/>
      <c r="DH154" s="734"/>
      <c r="DI154" s="734"/>
      <c r="DJ154" s="734"/>
      <c r="DK154" s="734"/>
      <c r="DL154" s="734"/>
      <c r="DM154" s="734"/>
      <c r="DN154" s="734"/>
      <c r="DO154" s="734"/>
      <c r="DP154" s="734"/>
      <c r="DQ154" s="734"/>
      <c r="DR154" s="734"/>
      <c r="DS154" s="734"/>
      <c r="DT154" s="734"/>
      <c r="DU154" s="734"/>
      <c r="DV154" s="734"/>
      <c r="DW154" s="734"/>
      <c r="DX154" s="734"/>
      <c r="DY154" s="734"/>
      <c r="DZ154" s="734"/>
      <c r="EA154" s="734"/>
      <c r="EB154" s="734"/>
      <c r="EC154" s="734"/>
      <c r="ED154" s="734"/>
      <c r="EE154" s="734"/>
      <c r="EF154" s="734"/>
      <c r="EG154" s="734"/>
      <c r="EH154" s="734"/>
      <c r="EI154" s="734"/>
      <c r="EJ154" s="734"/>
      <c r="EK154" s="734"/>
      <c r="EL154" s="734"/>
      <c r="EM154" s="734"/>
      <c r="EN154" s="734"/>
      <c r="EO154" s="734"/>
      <c r="EP154" s="734"/>
      <c r="EQ154" s="734"/>
      <c r="ER154" s="734"/>
      <c r="ES154" s="734"/>
      <c r="ET154" s="734"/>
      <c r="EU154" s="734"/>
      <c r="EV154" s="734"/>
      <c r="EW154" s="734"/>
      <c r="EX154" s="734"/>
      <c r="EY154" s="734"/>
      <c r="EZ154" s="734"/>
      <c r="FA154" s="734"/>
      <c r="FB154" s="734"/>
      <c r="FC154" s="734"/>
      <c r="FD154" s="734"/>
      <c r="FE154" s="734"/>
      <c r="FF154" s="734"/>
      <c r="FG154" s="734"/>
      <c r="FH154" s="734"/>
      <c r="FI154" s="734"/>
      <c r="FJ154" s="734"/>
      <c r="FK154" s="734"/>
      <c r="FL154" s="734"/>
      <c r="FM154" s="734"/>
      <c r="FN154" s="734"/>
      <c r="FO154" s="734"/>
      <c r="FP154" s="734"/>
      <c r="FQ154" s="734"/>
      <c r="FR154" s="734"/>
      <c r="FS154" s="734"/>
      <c r="FT154" s="734"/>
      <c r="FU154" s="734"/>
      <c r="FV154" s="734"/>
      <c r="FW154" s="734"/>
      <c r="FX154" s="734"/>
      <c r="FY154" s="734"/>
      <c r="FZ154" s="734"/>
      <c r="GA154" s="734"/>
      <c r="GB154" s="734"/>
      <c r="GC154" s="734"/>
      <c r="GD154" s="734"/>
      <c r="GE154" s="734"/>
      <c r="GF154" s="734"/>
      <c r="GG154" s="734"/>
      <c r="GH154" s="734"/>
      <c r="GI154" s="734"/>
      <c r="GJ154" s="734"/>
      <c r="GK154" s="734"/>
      <c r="GL154" s="734"/>
      <c r="GM154" s="734"/>
      <c r="GN154" s="734"/>
      <c r="GO154" s="734"/>
      <c r="GP154" s="734"/>
      <c r="GQ154" s="734"/>
      <c r="GR154" s="734"/>
      <c r="GS154" s="734"/>
      <c r="GT154" s="734"/>
      <c r="GU154" s="734"/>
      <c r="GV154" s="734"/>
      <c r="GW154" s="863" t="s">
        <v>960</v>
      </c>
      <c r="GX154" s="863"/>
      <c r="GY154" s="863"/>
      <c r="GZ154" s="925"/>
      <c r="HA154" s="925"/>
      <c r="HB154" s="1457" t="s">
        <v>861</v>
      </c>
    </row>
    <row r="155" spans="1:210">
      <c r="B155" s="19"/>
      <c r="E155" s="22"/>
      <c r="F155" s="22"/>
      <c r="G155" s="22"/>
      <c r="H155" s="22"/>
      <c r="I155" s="22"/>
      <c r="J155" s="22"/>
      <c r="K155" s="22"/>
      <c r="L155" s="22"/>
      <c r="M155" s="22"/>
      <c r="N155" s="22"/>
      <c r="O155" s="22"/>
      <c r="P155" s="22"/>
      <c r="Q155" s="22"/>
      <c r="R155" s="22"/>
      <c r="S155" s="22"/>
      <c r="T155" s="22"/>
      <c r="U155" s="22"/>
    </row>
    <row r="156" spans="1:210">
      <c r="E156"/>
      <c r="F156"/>
      <c r="G156"/>
      <c r="H156"/>
      <c r="I156"/>
      <c r="J156"/>
      <c r="K156"/>
      <c r="L156"/>
      <c r="M156"/>
      <c r="N156"/>
      <c r="O156"/>
      <c r="P156"/>
      <c r="Q156"/>
      <c r="R156"/>
      <c r="S156"/>
      <c r="T156"/>
      <c r="U156"/>
    </row>
    <row r="157" spans="1:210">
      <c r="E157"/>
      <c r="F157"/>
      <c r="G157"/>
      <c r="H157"/>
      <c r="I157"/>
      <c r="J157"/>
      <c r="K157"/>
      <c r="L157"/>
      <c r="M157"/>
      <c r="N157"/>
      <c r="O157"/>
      <c r="P157"/>
      <c r="Q157"/>
      <c r="R157"/>
      <c r="S157"/>
      <c r="T157"/>
      <c r="U157"/>
    </row>
    <row r="158" spans="1:210">
      <c r="E158"/>
      <c r="F158"/>
      <c r="G158"/>
      <c r="H158"/>
      <c r="I158"/>
      <c r="J158"/>
      <c r="K158"/>
      <c r="L158"/>
      <c r="M158"/>
      <c r="N158"/>
      <c r="O158"/>
      <c r="P158"/>
      <c r="Q158"/>
      <c r="R158"/>
      <c r="S158"/>
      <c r="T158"/>
      <c r="U158"/>
    </row>
    <row r="159" spans="1:210">
      <c r="E159"/>
      <c r="F159"/>
      <c r="G159"/>
      <c r="H159"/>
      <c r="I159"/>
      <c r="J159"/>
      <c r="K159"/>
      <c r="L159"/>
      <c r="M159"/>
      <c r="N159"/>
      <c r="O159"/>
      <c r="P159"/>
      <c r="Q159"/>
      <c r="R159"/>
      <c r="S159"/>
      <c r="T159"/>
      <c r="U159"/>
    </row>
    <row r="165" spans="1:204">
      <c r="A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row>
  </sheetData>
  <autoFilter ref="A48:KA154">
    <filterColumn colId="5"/>
    <filterColumn colId="6"/>
    <filterColumn colId="7"/>
    <filterColumn colId="8"/>
    <filterColumn colId="9"/>
    <filterColumn colId="10"/>
    <filterColumn colId="11"/>
    <filterColumn colId="12"/>
    <filterColumn colId="13"/>
    <filterColumn colId="14"/>
    <filterColumn colId="15"/>
    <filterColumn colId="22"/>
    <filterColumn colId="25"/>
    <filterColumn colId="26"/>
    <filterColumn colId="27"/>
    <filterColumn colId="30"/>
    <filterColumn colId="31"/>
    <filterColumn colId="32"/>
    <filterColumn colId="33"/>
    <filterColumn colId="34"/>
    <filterColumn colId="35"/>
    <filterColumn colId="36"/>
    <filterColumn colId="37"/>
    <filterColumn colId="38"/>
    <filterColumn colId="39"/>
    <filterColumn colId="40"/>
    <filterColumn colId="41"/>
    <filterColumn colId="42"/>
    <filterColumn colId="43"/>
    <filterColumn colId="44"/>
    <filterColumn colId="45"/>
    <filterColumn colId="46"/>
    <filterColumn colId="47"/>
    <filterColumn colId="48"/>
    <filterColumn colId="49"/>
    <filterColumn colId="50"/>
    <filterColumn colId="51"/>
    <filterColumn colId="52"/>
    <filterColumn colId="53"/>
    <filterColumn colId="54"/>
    <filterColumn colId="55"/>
    <filterColumn colId="56"/>
    <filterColumn colId="57"/>
    <filterColumn colId="58"/>
    <filterColumn colId="59"/>
    <filterColumn colId="60"/>
    <filterColumn colId="61"/>
    <filterColumn colId="62"/>
    <filterColumn colId="63"/>
    <filterColumn colId="64"/>
    <filterColumn colId="65"/>
    <filterColumn colId="66"/>
    <filterColumn colId="67"/>
    <filterColumn colId="68"/>
    <filterColumn colId="69"/>
    <filterColumn colId="70"/>
    <filterColumn colId="71"/>
    <filterColumn colId="72"/>
    <filterColumn colId="73"/>
    <filterColumn colId="74"/>
    <filterColumn colId="75"/>
    <filterColumn colId="76"/>
    <filterColumn colId="77"/>
    <filterColumn colId="78"/>
    <filterColumn colId="79"/>
    <filterColumn colId="80"/>
    <filterColumn colId="81"/>
    <filterColumn colId="82"/>
    <filterColumn colId="83"/>
    <filterColumn colId="84"/>
    <filterColumn colId="85"/>
    <filterColumn colId="86"/>
    <filterColumn colId="87"/>
    <filterColumn colId="88"/>
    <filterColumn colId="89"/>
    <filterColumn colId="90"/>
    <filterColumn colId="91"/>
    <filterColumn colId="92"/>
    <filterColumn colId="93"/>
    <filterColumn colId="94"/>
    <filterColumn colId="95"/>
    <filterColumn colId="96"/>
    <filterColumn colId="97"/>
    <filterColumn colId="98"/>
    <filterColumn colId="99"/>
    <filterColumn colId="100"/>
    <filterColumn colId="101"/>
    <filterColumn colId="102"/>
    <filterColumn colId="103"/>
    <filterColumn colId="104"/>
    <filterColumn colId="105"/>
    <filterColumn colId="106"/>
    <filterColumn colId="107"/>
    <filterColumn colId="108"/>
    <filterColumn colId="109"/>
    <filterColumn colId="110"/>
    <filterColumn colId="111"/>
    <filterColumn colId="112"/>
    <filterColumn colId="113"/>
    <filterColumn colId="114"/>
    <filterColumn colId="115"/>
    <filterColumn colId="116"/>
    <filterColumn colId="117"/>
    <filterColumn colId="118"/>
    <filterColumn colId="119"/>
    <filterColumn colId="120"/>
    <filterColumn colId="121"/>
    <filterColumn colId="122"/>
    <filterColumn colId="123"/>
    <filterColumn colId="124"/>
    <filterColumn colId="125"/>
    <filterColumn colId="126"/>
    <filterColumn colId="127"/>
    <filterColumn colId="128"/>
    <filterColumn colId="129"/>
    <filterColumn colId="130"/>
    <filterColumn colId="131"/>
    <filterColumn colId="132"/>
    <filterColumn colId="133"/>
    <filterColumn colId="134"/>
    <filterColumn colId="135"/>
    <filterColumn colId="136"/>
    <filterColumn colId="137"/>
    <filterColumn colId="138"/>
    <filterColumn colId="139"/>
    <filterColumn colId="140"/>
    <filterColumn colId="141"/>
    <filterColumn colId="142"/>
    <filterColumn colId="143"/>
    <filterColumn colId="144"/>
    <filterColumn colId="145"/>
    <filterColumn colId="146"/>
    <filterColumn colId="147"/>
    <filterColumn colId="148"/>
    <filterColumn colId="149"/>
    <filterColumn colId="150"/>
    <filterColumn colId="151"/>
    <filterColumn colId="152"/>
    <filterColumn colId="153"/>
    <filterColumn colId="154"/>
    <filterColumn colId="155"/>
    <filterColumn colId="156"/>
    <filterColumn colId="157"/>
    <filterColumn colId="158"/>
    <filterColumn colId="159"/>
    <filterColumn colId="160"/>
    <filterColumn colId="161"/>
    <filterColumn colId="162"/>
    <filterColumn colId="163"/>
    <filterColumn colId="164"/>
    <filterColumn colId="165"/>
    <filterColumn colId="166"/>
    <filterColumn colId="167"/>
    <filterColumn colId="168"/>
    <filterColumn colId="169"/>
    <filterColumn colId="170"/>
    <filterColumn colId="171"/>
    <filterColumn colId="172"/>
    <filterColumn colId="173"/>
    <filterColumn colId="174"/>
    <filterColumn colId="175"/>
    <filterColumn colId="176"/>
    <filterColumn colId="177"/>
    <filterColumn colId="178"/>
    <filterColumn colId="179"/>
    <filterColumn colId="180"/>
    <filterColumn colId="181"/>
    <filterColumn colId="182"/>
    <filterColumn colId="183"/>
    <filterColumn colId="184"/>
    <filterColumn colId="185"/>
    <filterColumn colId="186"/>
    <filterColumn colId="187"/>
    <filterColumn colId="188"/>
    <filterColumn colId="189"/>
    <filterColumn colId="190"/>
    <filterColumn colId="191"/>
    <filterColumn colId="192"/>
    <filterColumn colId="193"/>
    <filterColumn colId="194"/>
    <filterColumn colId="195"/>
    <filterColumn colId="196"/>
    <filterColumn colId="197"/>
    <filterColumn colId="198">
      <customFilters>
        <customFilter operator="notEqual" val=" "/>
      </customFilters>
    </filterColumn>
    <extLst/>
  </autoFilter>
  <mergeCells count="35">
    <mergeCell ref="GX46:GX47"/>
    <mergeCell ref="GZ46:GZ47"/>
    <mergeCell ref="HA46:HA47"/>
    <mergeCell ref="HB45:HB47"/>
    <mergeCell ref="B86:B95"/>
    <mergeCell ref="B49:B70"/>
    <mergeCell ref="Q45:Q47"/>
    <mergeCell ref="R45:R47"/>
    <mergeCell ref="S45:S47"/>
    <mergeCell ref="T45:T47"/>
    <mergeCell ref="U45:U47"/>
    <mergeCell ref="L45:L47"/>
    <mergeCell ref="M45:M47"/>
    <mergeCell ref="N45:N47"/>
    <mergeCell ref="O45:O47"/>
    <mergeCell ref="P45:P47"/>
    <mergeCell ref="B144:B149"/>
    <mergeCell ref="C46:C47"/>
    <mergeCell ref="D46:D47"/>
    <mergeCell ref="E45:E47"/>
    <mergeCell ref="B71:B84"/>
    <mergeCell ref="B98:B103"/>
    <mergeCell ref="B105:B116"/>
    <mergeCell ref="B126:B132"/>
    <mergeCell ref="B136:B141"/>
    <mergeCell ref="B117:B122"/>
    <mergeCell ref="A45:A47"/>
    <mergeCell ref="B38:B40"/>
    <mergeCell ref="B45:B47"/>
    <mergeCell ref="K45:K47"/>
    <mergeCell ref="J45:J47"/>
    <mergeCell ref="F45:F47"/>
    <mergeCell ref="G45:G47"/>
    <mergeCell ref="H45:H47"/>
    <mergeCell ref="I45:I47"/>
  </mergeCells>
  <phoneticPr fontId="7" type="noConversion"/>
  <conditionalFormatting sqref="V49:GV154">
    <cfRule type="cellIs" dxfId="8" priority="1" stopIfTrue="1" operator="equal">
      <formula>"C"</formula>
    </cfRule>
    <cfRule type="cellIs" dxfId="7" priority="2" stopIfTrue="1" operator="equal">
      <formula>"R"</formula>
    </cfRule>
  </conditionalFormatting>
  <conditionalFormatting sqref="E155:U159 GZ46:GZ47 HA46">
    <cfRule type="cellIs" dxfId="6" priority="444" stopIfTrue="1" operator="equal">
      <formula>"tbc"</formula>
    </cfRule>
  </conditionalFormatting>
  <printOptions horizontalCentered="1"/>
  <pageMargins left="0.2" right="0.2" top="0.75" bottom="0.75" header="0.30972222222222201" footer="0.30972222222222201"/>
  <pageSetup paperSize="9" scale="12" orientation="landscape" r:id="rId1"/>
  <headerFooter alignWithMargins="0">
    <oddFooter>&amp;LPrepared:
Max Zhang/szhang37
wheytens / hoeztu11
+86 25 51187587&amp;CPage &amp;P of &amp;N
Ford Confidential&amp;R &amp;D</oddFooter>
  </headerFooter>
  <colBreaks count="1" manualBreakCount="1">
    <brk id="1" max="1048575" man="1"/>
  </colBreaks>
  <drawing r:id="rId2"/>
</worksheet>
</file>

<file path=xl/worksheets/sheet4.xml><?xml version="1.0" encoding="utf-8"?>
<worksheet xmlns="http://schemas.openxmlformats.org/spreadsheetml/2006/main" xmlns:r="http://schemas.openxmlformats.org/officeDocument/2006/relationships">
  <sheetPr>
    <pageSetUpPr fitToPage="1"/>
  </sheetPr>
  <dimension ref="A1:WUQ334"/>
  <sheetViews>
    <sheetView showGridLines="0" topLeftCell="J35" zoomScale="80" zoomScaleNormal="80" workbookViewId="0">
      <selection activeCell="EY43" sqref="EY43"/>
    </sheetView>
  </sheetViews>
  <sheetFormatPr defaultColWidth="9.140625" defaultRowHeight="12.75"/>
  <cols>
    <col min="1" max="1" width="7.140625" style="20" customWidth="1"/>
    <col min="2" max="2" width="14.42578125" style="19" customWidth="1"/>
    <col min="3" max="3" width="10.7109375" customWidth="1"/>
    <col min="4" max="4" width="20.85546875" customWidth="1"/>
    <col min="5" max="5" width="15.42578125" style="20" customWidth="1"/>
    <col min="6" max="9" width="10.7109375" style="20" hidden="1" customWidth="1"/>
    <col min="10" max="18" width="10.7109375" style="20" customWidth="1"/>
    <col min="19" max="147" width="6.7109375" hidden="1" customWidth="1"/>
    <col min="148" max="153" width="6.7109375" customWidth="1"/>
    <col min="154" max="154" width="6.5703125" customWidth="1"/>
    <col min="155" max="155" width="43.5703125" style="19" customWidth="1"/>
    <col min="156" max="156" width="43.42578125" style="19" customWidth="1"/>
    <col min="157" max="157" width="33.28515625" style="19" customWidth="1"/>
    <col min="158" max="158" width="25.140625" style="19" customWidth="1"/>
    <col min="159" max="159" width="24.42578125" style="19" customWidth="1"/>
    <col min="160" max="16384" width="9.140625" style="19"/>
  </cols>
  <sheetData>
    <row r="1" spans="1:154" ht="13.5" customHeight="1" thickTop="1">
      <c r="A1" s="23"/>
      <c r="B1" s="31"/>
      <c r="C1" s="25"/>
      <c r="D1" s="25"/>
      <c r="E1" s="183"/>
      <c r="F1" s="183"/>
      <c r="G1" s="183"/>
      <c r="H1" s="183"/>
      <c r="I1" s="183"/>
      <c r="J1" s="183"/>
      <c r="K1" s="183"/>
      <c r="L1" s="183"/>
      <c r="M1" s="183"/>
      <c r="N1" s="183"/>
      <c r="O1" s="183"/>
      <c r="P1" s="183"/>
      <c r="Q1" s="183"/>
      <c r="R1" s="183"/>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row>
    <row r="2" spans="1:154">
      <c r="A2" s="27"/>
      <c r="B2" s="28"/>
      <c r="C2" s="29"/>
      <c r="D2" s="29"/>
      <c r="E2" s="184"/>
      <c r="F2" s="184"/>
      <c r="G2" s="184"/>
      <c r="H2" s="184"/>
      <c r="I2" s="184"/>
      <c r="J2" s="184"/>
      <c r="K2" s="184"/>
      <c r="L2" s="184"/>
      <c r="M2" s="184"/>
      <c r="N2" s="184"/>
      <c r="O2" s="184"/>
      <c r="P2" s="184"/>
      <c r="Q2" s="184"/>
      <c r="R2" s="184"/>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row>
    <row r="3" spans="1:154">
      <c r="A3" s="27"/>
      <c r="B3" s="31"/>
      <c r="C3" s="32"/>
      <c r="D3" s="32"/>
      <c r="E3" s="184"/>
      <c r="F3" s="184"/>
      <c r="G3" s="184"/>
      <c r="H3" s="184"/>
      <c r="I3" s="184"/>
      <c r="J3" s="184"/>
      <c r="K3" s="184"/>
      <c r="L3" s="184"/>
      <c r="M3" s="184"/>
      <c r="N3" s="184"/>
      <c r="O3" s="184"/>
      <c r="P3" s="184"/>
      <c r="Q3" s="184"/>
      <c r="R3" s="184"/>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row>
    <row r="4" spans="1:154">
      <c r="A4" s="27"/>
      <c r="B4" s="31"/>
      <c r="C4" s="32"/>
      <c r="D4" s="32"/>
      <c r="E4" s="184"/>
      <c r="F4" s="184"/>
      <c r="G4" s="184"/>
      <c r="H4" s="184"/>
      <c r="I4" s="184"/>
      <c r="J4" s="184"/>
      <c r="K4" s="184"/>
      <c r="L4" s="184"/>
      <c r="M4" s="184"/>
      <c r="N4" s="184"/>
      <c r="O4" s="184"/>
      <c r="P4" s="184"/>
      <c r="Q4" s="184"/>
      <c r="R4" s="184"/>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row>
    <row r="5" spans="1:154">
      <c r="A5" s="27"/>
      <c r="B5" s="31"/>
      <c r="C5" s="32"/>
      <c r="D5" s="32"/>
      <c r="E5" s="184"/>
      <c r="F5" s="184"/>
      <c r="G5" s="184"/>
      <c r="H5" s="184"/>
      <c r="I5" s="184"/>
      <c r="J5" s="184"/>
      <c r="K5" s="184"/>
      <c r="L5" s="184"/>
      <c r="M5" s="184"/>
      <c r="N5" s="184"/>
      <c r="O5" s="184"/>
      <c r="P5" s="184"/>
      <c r="Q5" s="184"/>
      <c r="R5" s="184"/>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row>
    <row r="6" spans="1:154">
      <c r="A6" s="27"/>
      <c r="B6" s="31"/>
      <c r="C6" s="32"/>
      <c r="D6" s="32"/>
      <c r="E6" s="184"/>
      <c r="F6" s="184"/>
      <c r="G6" s="184"/>
      <c r="H6" s="184"/>
      <c r="I6" s="184"/>
      <c r="J6" s="184"/>
      <c r="K6" s="184"/>
      <c r="L6" s="184"/>
      <c r="M6" s="184"/>
      <c r="N6" s="184"/>
      <c r="O6" s="184"/>
      <c r="P6" s="184"/>
      <c r="Q6" s="184"/>
      <c r="R6" s="184"/>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row>
    <row r="7" spans="1:154">
      <c r="A7" s="27"/>
      <c r="B7" s="31"/>
      <c r="C7" s="32"/>
      <c r="D7" s="32"/>
      <c r="E7" s="184"/>
      <c r="F7" s="184"/>
      <c r="G7" s="184"/>
      <c r="H7" s="184"/>
      <c r="I7" s="184"/>
      <c r="J7" s="184"/>
      <c r="K7" s="184"/>
      <c r="L7" s="184"/>
      <c r="M7" s="184"/>
      <c r="N7" s="184"/>
      <c r="O7" s="184"/>
      <c r="P7" s="184"/>
      <c r="Q7" s="184"/>
      <c r="R7" s="184"/>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row>
    <row r="8" spans="1:154" ht="15">
      <c r="A8" s="33"/>
      <c r="B8" s="185"/>
      <c r="C8" s="35"/>
      <c r="D8" s="35"/>
      <c r="E8" s="184"/>
      <c r="F8" s="184"/>
      <c r="G8" s="184"/>
      <c r="H8" s="184"/>
      <c r="I8" s="184"/>
      <c r="J8" s="184"/>
      <c r="K8" s="184"/>
      <c r="L8" s="184"/>
      <c r="M8" s="184"/>
      <c r="N8" s="184"/>
      <c r="O8" s="184"/>
      <c r="P8" s="184"/>
      <c r="Q8" s="184"/>
      <c r="R8" s="184"/>
      <c r="S8" s="32"/>
      <c r="T8" s="32"/>
      <c r="U8" s="32"/>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c r="EP8" s="32"/>
      <c r="EQ8" s="32"/>
      <c r="ER8" s="32"/>
      <c r="ES8" s="32"/>
      <c r="ET8" s="32"/>
      <c r="EU8" s="32"/>
      <c r="EV8" s="32"/>
      <c r="EW8" s="32"/>
      <c r="EX8" s="32"/>
    </row>
    <row r="9" spans="1:154" ht="15">
      <c r="A9" s="27"/>
      <c r="B9" s="185"/>
      <c r="C9" s="35"/>
      <c r="D9" s="35"/>
      <c r="E9" s="184"/>
      <c r="F9" s="184"/>
      <c r="G9" s="184"/>
      <c r="H9" s="184"/>
      <c r="I9" s="184"/>
      <c r="J9" s="184"/>
      <c r="K9" s="184"/>
      <c r="L9" s="184"/>
      <c r="M9" s="184"/>
      <c r="N9" s="184"/>
      <c r="O9" s="184"/>
      <c r="P9" s="184"/>
      <c r="Q9" s="184"/>
      <c r="R9" s="184"/>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c r="EP9" s="32"/>
      <c r="EQ9" s="32"/>
      <c r="ER9" s="32"/>
      <c r="ES9" s="32"/>
      <c r="ET9" s="32"/>
      <c r="EU9" s="32"/>
      <c r="EV9" s="32"/>
      <c r="EW9" s="32"/>
      <c r="EX9" s="32"/>
    </row>
    <row r="10" spans="1:154" ht="15">
      <c r="A10" s="27"/>
      <c r="B10" s="185"/>
      <c r="C10" s="35"/>
      <c r="D10" s="35"/>
      <c r="E10" s="184"/>
      <c r="F10" s="184"/>
      <c r="G10" s="184"/>
      <c r="H10" s="184"/>
      <c r="I10" s="184"/>
      <c r="J10" s="184"/>
      <c r="K10" s="184"/>
      <c r="L10" s="184"/>
      <c r="M10" s="184"/>
      <c r="N10" s="184"/>
      <c r="O10" s="184"/>
      <c r="P10" s="184"/>
      <c r="Q10" s="184"/>
      <c r="R10" s="184"/>
      <c r="S10" s="32"/>
      <c r="T10" s="32"/>
      <c r="U10" s="32"/>
      <c r="V10" s="32"/>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32"/>
      <c r="BD10" s="32"/>
      <c r="BE10" s="32"/>
      <c r="BF10" s="32"/>
      <c r="BG10" s="32"/>
      <c r="BH10" s="32"/>
      <c r="BI10" s="32"/>
      <c r="BJ10" s="32"/>
      <c r="BK10" s="32"/>
      <c r="BL10" s="32"/>
      <c r="BM10" s="32"/>
      <c r="BN10" s="32"/>
      <c r="BO10" s="32"/>
      <c r="BP10" s="32"/>
      <c r="BQ10" s="32"/>
      <c r="BR10" s="32"/>
      <c r="BS10" s="32"/>
      <c r="BT10" s="32"/>
      <c r="BU10" s="32"/>
      <c r="BV10" s="32"/>
      <c r="BW10" s="32"/>
      <c r="BX10" s="32"/>
      <c r="BY10" s="32"/>
      <c r="BZ10" s="32"/>
      <c r="CA10" s="32"/>
      <c r="CB10" s="32"/>
      <c r="CC10" s="32"/>
      <c r="CD10" s="32"/>
      <c r="CE10" s="32"/>
      <c r="CF10" s="32"/>
      <c r="CG10" s="32"/>
      <c r="CH10" s="32"/>
      <c r="CI10" s="32"/>
      <c r="CJ10" s="32"/>
      <c r="CK10" s="32"/>
      <c r="CL10" s="32"/>
      <c r="CM10" s="32"/>
      <c r="CN10" s="32"/>
      <c r="CO10" s="32"/>
      <c r="CP10" s="32"/>
      <c r="CQ10" s="32"/>
      <c r="CR10" s="32"/>
      <c r="CS10" s="32"/>
      <c r="CT10" s="32"/>
      <c r="CU10" s="32"/>
      <c r="CV10" s="32"/>
      <c r="CW10" s="32"/>
      <c r="CX10" s="32"/>
      <c r="CY10" s="32"/>
      <c r="CZ10" s="32"/>
      <c r="DA10" s="32"/>
      <c r="DB10" s="32"/>
      <c r="DC10" s="32"/>
      <c r="DD10" s="32"/>
      <c r="DE10" s="32"/>
      <c r="DF10" s="32"/>
      <c r="DG10" s="32"/>
      <c r="DH10" s="32"/>
      <c r="DI10" s="32"/>
      <c r="DJ10" s="32"/>
      <c r="DK10" s="32"/>
      <c r="DL10" s="32"/>
      <c r="DM10" s="32"/>
      <c r="DN10" s="32"/>
      <c r="DO10" s="32"/>
      <c r="DP10" s="32"/>
      <c r="DQ10" s="32"/>
      <c r="DR10" s="32"/>
      <c r="DS10" s="32"/>
      <c r="DT10" s="32"/>
      <c r="DU10" s="32"/>
      <c r="DV10" s="32"/>
      <c r="DW10" s="32"/>
      <c r="DX10" s="32"/>
      <c r="DY10" s="32"/>
      <c r="DZ10" s="32"/>
      <c r="EA10" s="32"/>
      <c r="EB10" s="32"/>
      <c r="EC10" s="32"/>
      <c r="ED10" s="32"/>
      <c r="EE10" s="32"/>
      <c r="EF10" s="32"/>
      <c r="EG10" s="32"/>
      <c r="EH10" s="32"/>
      <c r="EI10" s="32"/>
      <c r="EJ10" s="32"/>
      <c r="EK10" s="32"/>
      <c r="EL10" s="32"/>
      <c r="EM10" s="32"/>
      <c r="EN10" s="32"/>
      <c r="EO10" s="32"/>
      <c r="EP10" s="32"/>
      <c r="EQ10" s="32"/>
      <c r="ER10" s="32"/>
      <c r="ES10" s="32"/>
      <c r="ET10" s="32"/>
      <c r="EU10" s="32"/>
      <c r="EV10" s="32"/>
      <c r="EW10" s="32"/>
      <c r="EX10" s="32"/>
    </row>
    <row r="11" spans="1:154" ht="15">
      <c r="A11" s="27"/>
      <c r="B11" s="185"/>
      <c r="C11" s="35"/>
      <c r="D11" s="35"/>
      <c r="E11" s="184"/>
      <c r="F11" s="184"/>
      <c r="G11" s="184"/>
      <c r="H11" s="184"/>
      <c r="I11" s="184"/>
      <c r="J11" s="184"/>
      <c r="K11" s="184"/>
      <c r="L11" s="184"/>
      <c r="M11" s="184"/>
      <c r="N11" s="184"/>
      <c r="O11" s="184"/>
      <c r="P11" s="184"/>
      <c r="Q11" s="184"/>
      <c r="R11" s="184"/>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row>
    <row r="12" spans="1:154" ht="15">
      <c r="A12" s="27"/>
      <c r="B12" s="185"/>
      <c r="C12" s="35"/>
      <c r="D12" s="35"/>
      <c r="E12" s="184"/>
      <c r="F12" s="184"/>
      <c r="G12" s="184"/>
      <c r="H12" s="184"/>
      <c r="I12" s="184"/>
      <c r="J12" s="184"/>
      <c r="K12" s="184"/>
      <c r="L12" s="184"/>
      <c r="M12" s="184"/>
      <c r="N12" s="184"/>
      <c r="O12" s="184"/>
      <c r="P12" s="184"/>
      <c r="Q12" s="184"/>
      <c r="R12" s="184"/>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row>
    <row r="13" spans="1:154" ht="15">
      <c r="A13" s="27"/>
      <c r="B13" s="185"/>
      <c r="C13" s="35"/>
      <c r="D13" s="35"/>
      <c r="E13" s="184"/>
      <c r="F13" s="184"/>
      <c r="G13" s="184"/>
      <c r="H13" s="184"/>
      <c r="I13" s="184"/>
      <c r="J13" s="184"/>
      <c r="K13" s="184"/>
      <c r="L13" s="184"/>
      <c r="M13" s="184"/>
      <c r="N13" s="184"/>
      <c r="O13" s="184"/>
      <c r="P13" s="184"/>
      <c r="Q13" s="184"/>
      <c r="R13" s="184"/>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2"/>
      <c r="BO13" s="32"/>
      <c r="BP13" s="32"/>
      <c r="BQ13" s="32"/>
      <c r="BR13" s="32"/>
      <c r="BS13" s="32"/>
      <c r="BT13" s="32"/>
      <c r="BU13" s="32"/>
      <c r="BV13" s="32"/>
      <c r="BW13" s="32"/>
      <c r="BX13" s="32"/>
      <c r="BY13" s="32"/>
      <c r="BZ13" s="32"/>
      <c r="CA13" s="32"/>
      <c r="CB13" s="32"/>
      <c r="CC13" s="32"/>
      <c r="CD13" s="32"/>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32"/>
      <c r="DD13" s="32"/>
      <c r="DE13" s="32"/>
      <c r="DF13" s="32"/>
      <c r="DG13" s="32"/>
      <c r="DH13" s="32"/>
      <c r="DI13" s="32"/>
      <c r="DJ13" s="32"/>
      <c r="DK13" s="32"/>
      <c r="DL13" s="32"/>
      <c r="DM13" s="32"/>
      <c r="DN13" s="32"/>
      <c r="DO13" s="32"/>
      <c r="DP13" s="32"/>
      <c r="DQ13" s="32"/>
      <c r="DR13" s="32"/>
      <c r="DS13" s="32"/>
      <c r="DT13" s="32"/>
      <c r="DU13" s="32"/>
      <c r="DV13" s="32"/>
      <c r="DW13" s="32"/>
      <c r="DX13" s="32"/>
      <c r="DY13" s="32"/>
      <c r="DZ13" s="32"/>
      <c r="EA13" s="32"/>
      <c r="EB13" s="32"/>
      <c r="EC13" s="32"/>
      <c r="ED13" s="32"/>
      <c r="EE13" s="32"/>
      <c r="EF13" s="32"/>
      <c r="EG13" s="32"/>
      <c r="EH13" s="32"/>
      <c r="EI13" s="32"/>
      <c r="EJ13" s="32"/>
      <c r="EK13" s="32"/>
      <c r="EL13" s="32"/>
      <c r="EM13" s="32"/>
      <c r="EN13" s="32"/>
      <c r="EO13" s="32"/>
      <c r="EP13" s="32"/>
      <c r="EQ13" s="32"/>
      <c r="ER13" s="32"/>
      <c r="ES13" s="32"/>
      <c r="ET13" s="32"/>
      <c r="EU13" s="32"/>
      <c r="EV13" s="32"/>
      <c r="EW13" s="32"/>
      <c r="EX13" s="32"/>
    </row>
    <row r="14" spans="1:154" ht="15">
      <c r="A14" s="27"/>
      <c r="B14" s="185"/>
      <c r="C14" s="35"/>
      <c r="D14" s="35"/>
      <c r="E14" s="184"/>
      <c r="F14" s="184"/>
      <c r="G14" s="184"/>
      <c r="H14" s="184"/>
      <c r="I14" s="184"/>
      <c r="J14" s="184"/>
      <c r="K14" s="184"/>
      <c r="L14" s="184"/>
      <c r="M14" s="184"/>
      <c r="N14" s="184"/>
      <c r="O14" s="184"/>
      <c r="P14" s="184"/>
      <c r="Q14" s="184"/>
      <c r="R14" s="184"/>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c r="BN14" s="32"/>
      <c r="BO14" s="32"/>
      <c r="BP14" s="32"/>
      <c r="BQ14" s="32"/>
      <c r="BR14" s="32"/>
      <c r="BS14" s="32"/>
      <c r="BT14" s="32"/>
      <c r="BU14" s="32"/>
      <c r="BV14" s="32"/>
      <c r="BW14" s="32"/>
      <c r="BX14" s="32"/>
      <c r="BY14" s="32"/>
      <c r="BZ14" s="32"/>
      <c r="CA14" s="32"/>
      <c r="CB14" s="32"/>
      <c r="CC14" s="32"/>
      <c r="CD14" s="32"/>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32"/>
      <c r="DD14" s="32"/>
      <c r="DE14" s="32"/>
      <c r="DF14" s="32"/>
      <c r="DG14" s="32"/>
      <c r="DH14" s="32"/>
      <c r="DI14" s="32"/>
      <c r="DJ14" s="32"/>
      <c r="DK14" s="32"/>
      <c r="DL14" s="32"/>
      <c r="DM14" s="32"/>
      <c r="DN14" s="32"/>
      <c r="DO14" s="32"/>
      <c r="DP14" s="32"/>
      <c r="DQ14" s="32"/>
      <c r="DR14" s="32"/>
      <c r="DS14" s="32"/>
      <c r="DT14" s="32"/>
      <c r="DU14" s="32"/>
      <c r="DV14" s="32"/>
      <c r="DW14" s="32"/>
      <c r="DX14" s="32"/>
      <c r="DY14" s="32"/>
      <c r="DZ14" s="32"/>
      <c r="EA14" s="32"/>
      <c r="EB14" s="32"/>
      <c r="EC14" s="32"/>
      <c r="ED14" s="32"/>
      <c r="EE14" s="32"/>
      <c r="EF14" s="32"/>
      <c r="EG14" s="32"/>
      <c r="EH14" s="32"/>
      <c r="EI14" s="32"/>
      <c r="EJ14" s="32"/>
      <c r="EK14" s="32"/>
      <c r="EL14" s="32"/>
      <c r="EM14" s="32"/>
      <c r="EN14" s="32"/>
      <c r="EO14" s="32"/>
      <c r="EP14" s="32"/>
      <c r="EQ14" s="32"/>
      <c r="ER14" s="32"/>
      <c r="ES14" s="32"/>
      <c r="ET14" s="32"/>
      <c r="EU14" s="32"/>
      <c r="EV14" s="32"/>
      <c r="EW14" s="32"/>
      <c r="EX14" s="32"/>
    </row>
    <row r="15" spans="1:154" ht="15">
      <c r="A15" s="27"/>
      <c r="B15" s="185"/>
      <c r="C15" s="35"/>
      <c r="D15" s="35"/>
      <c r="E15" s="184"/>
      <c r="F15" s="184"/>
      <c r="G15" s="184"/>
      <c r="H15" s="184"/>
      <c r="I15" s="184"/>
      <c r="J15" s="184"/>
      <c r="K15" s="184"/>
      <c r="L15" s="184"/>
      <c r="M15" s="184"/>
      <c r="N15" s="184"/>
      <c r="O15" s="184"/>
      <c r="P15" s="184"/>
      <c r="Q15" s="184"/>
      <c r="R15" s="184"/>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c r="BN15" s="32"/>
      <c r="BO15" s="32"/>
      <c r="BP15" s="32"/>
      <c r="BQ15" s="32"/>
      <c r="BR15" s="32"/>
      <c r="BS15" s="32"/>
      <c r="BT15" s="32"/>
      <c r="BU15" s="32"/>
      <c r="BV15" s="32"/>
      <c r="BW15" s="32"/>
      <c r="BX15" s="32"/>
      <c r="BY15" s="32"/>
      <c r="BZ15" s="32"/>
      <c r="CA15" s="32"/>
      <c r="CB15" s="32"/>
      <c r="CC15" s="32"/>
      <c r="CD15" s="32"/>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c r="DD15" s="32"/>
      <c r="DE15" s="32"/>
      <c r="DF15" s="32"/>
      <c r="DG15" s="32"/>
      <c r="DH15" s="32"/>
      <c r="DI15" s="32"/>
      <c r="DJ15" s="32"/>
      <c r="DK15" s="32"/>
      <c r="DL15" s="32"/>
      <c r="DM15" s="32"/>
      <c r="DN15" s="32"/>
      <c r="DO15" s="32"/>
      <c r="DP15" s="32"/>
      <c r="DQ15" s="32"/>
      <c r="DR15" s="32"/>
      <c r="DS15" s="32"/>
      <c r="DT15" s="32"/>
      <c r="DU15" s="32"/>
      <c r="DV15" s="32"/>
      <c r="DW15" s="32"/>
      <c r="DX15" s="32"/>
      <c r="DY15" s="32"/>
      <c r="DZ15" s="32"/>
      <c r="EA15" s="32"/>
      <c r="EB15" s="32"/>
      <c r="EC15" s="32"/>
      <c r="ED15" s="32"/>
      <c r="EE15" s="32"/>
      <c r="EF15" s="32"/>
      <c r="EG15" s="32"/>
      <c r="EH15" s="32"/>
      <c r="EI15" s="32"/>
      <c r="EJ15" s="32"/>
      <c r="EK15" s="32"/>
      <c r="EL15" s="32"/>
      <c r="EM15" s="32"/>
      <c r="EN15" s="32"/>
      <c r="EO15" s="32"/>
      <c r="EP15" s="32"/>
      <c r="EQ15" s="32"/>
      <c r="ER15" s="32"/>
      <c r="ES15" s="32"/>
      <c r="ET15" s="32"/>
      <c r="EU15" s="32"/>
      <c r="EV15" s="32"/>
      <c r="EW15" s="32"/>
      <c r="EX15" s="32"/>
    </row>
    <row r="16" spans="1:154" ht="15">
      <c r="A16" s="27"/>
      <c r="B16" s="185"/>
      <c r="C16" s="35"/>
      <c r="D16" s="35"/>
      <c r="E16" s="184"/>
      <c r="F16" s="184"/>
      <c r="G16" s="184"/>
      <c r="H16" s="184"/>
      <c r="I16" s="184"/>
      <c r="J16" s="184"/>
      <c r="K16" s="184"/>
      <c r="L16" s="184"/>
      <c r="M16" s="184"/>
      <c r="N16" s="184"/>
      <c r="O16" s="184"/>
      <c r="P16" s="184"/>
      <c r="Q16" s="184"/>
      <c r="R16" s="184"/>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row>
    <row r="17" spans="1:160" ht="15">
      <c r="A17" s="27"/>
      <c r="B17" s="185"/>
      <c r="C17" s="35"/>
      <c r="D17" s="35"/>
      <c r="E17" s="184"/>
      <c r="F17" s="184"/>
      <c r="G17" s="184"/>
      <c r="H17" s="184"/>
      <c r="I17" s="184"/>
      <c r="J17" s="184"/>
      <c r="K17" s="184"/>
      <c r="L17" s="184"/>
      <c r="M17" s="184"/>
      <c r="N17" s="184"/>
      <c r="O17" s="184"/>
      <c r="P17" s="184"/>
      <c r="Q17" s="184"/>
      <c r="R17" s="184"/>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row>
    <row r="18" spans="1:160" ht="15">
      <c r="A18" s="27"/>
      <c r="B18" s="185"/>
      <c r="C18" s="35"/>
      <c r="D18" s="35"/>
      <c r="E18" s="184"/>
      <c r="F18" s="184"/>
      <c r="G18" s="184"/>
      <c r="H18" s="184"/>
      <c r="I18" s="184"/>
      <c r="J18" s="184"/>
      <c r="K18" s="184"/>
      <c r="L18" s="184"/>
      <c r="M18" s="184"/>
      <c r="N18" s="184"/>
      <c r="O18" s="184"/>
      <c r="P18" s="184"/>
      <c r="Q18" s="184"/>
      <c r="R18" s="184"/>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c r="BN18" s="32"/>
      <c r="BO18" s="32"/>
      <c r="BP18" s="32"/>
      <c r="BQ18" s="32"/>
      <c r="BR18" s="32"/>
      <c r="BS18" s="32"/>
      <c r="BT18" s="32"/>
      <c r="BU18" s="32"/>
      <c r="BV18" s="32"/>
      <c r="BW18" s="32"/>
      <c r="BX18" s="32"/>
      <c r="BY18" s="32"/>
      <c r="BZ18" s="32"/>
      <c r="CA18" s="32"/>
      <c r="CB18" s="32"/>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c r="DA18" s="32"/>
      <c r="DB18" s="32"/>
      <c r="DC18" s="32"/>
      <c r="DD18" s="32"/>
      <c r="DE18" s="32"/>
      <c r="DF18" s="32"/>
      <c r="DG18" s="32"/>
      <c r="DH18" s="32"/>
      <c r="DI18" s="32"/>
      <c r="DJ18" s="32"/>
      <c r="DK18" s="32"/>
      <c r="DL18" s="32"/>
      <c r="DM18" s="32"/>
      <c r="DN18" s="32"/>
      <c r="DO18" s="32"/>
      <c r="DP18" s="32"/>
      <c r="DQ18" s="32"/>
      <c r="DR18" s="32"/>
      <c r="DS18" s="32"/>
      <c r="DT18" s="32"/>
      <c r="DU18" s="32"/>
      <c r="DV18" s="32"/>
      <c r="DW18" s="32"/>
      <c r="DX18" s="32"/>
      <c r="DY18" s="32"/>
      <c r="DZ18" s="32"/>
      <c r="EA18" s="32"/>
      <c r="EB18" s="32"/>
      <c r="EC18" s="32"/>
      <c r="ED18" s="32"/>
      <c r="EE18" s="32"/>
      <c r="EF18" s="32"/>
      <c r="EG18" s="32"/>
      <c r="EH18" s="32"/>
      <c r="EI18" s="32"/>
      <c r="EJ18" s="32"/>
      <c r="EK18" s="32"/>
      <c r="EL18" s="32"/>
      <c r="EM18" s="32"/>
      <c r="EN18" s="32"/>
      <c r="EO18" s="32"/>
      <c r="EP18" s="32"/>
      <c r="EQ18" s="32"/>
      <c r="ER18" s="32"/>
      <c r="ES18" s="32"/>
      <c r="ET18" s="32"/>
      <c r="EU18" s="32"/>
      <c r="EV18" s="32"/>
      <c r="EW18" s="32"/>
      <c r="EX18" s="32"/>
    </row>
    <row r="19" spans="1:160" ht="15">
      <c r="A19" s="27"/>
      <c r="B19" s="185"/>
      <c r="C19" s="35"/>
      <c r="D19" s="35"/>
      <c r="E19" s="184"/>
      <c r="F19" s="184"/>
      <c r="G19" s="184"/>
      <c r="H19" s="184"/>
      <c r="I19" s="184"/>
      <c r="J19" s="184"/>
      <c r="K19" s="184"/>
      <c r="L19" s="184"/>
      <c r="M19" s="184"/>
      <c r="N19" s="184"/>
      <c r="O19" s="184"/>
      <c r="P19" s="184"/>
      <c r="Q19" s="184"/>
      <c r="R19" s="184"/>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c r="BN19" s="32"/>
      <c r="BO19" s="32"/>
      <c r="BP19" s="32"/>
      <c r="BQ19" s="32"/>
      <c r="BR19" s="32"/>
      <c r="BS19" s="32"/>
      <c r="BT19" s="32"/>
      <c r="BU19" s="32"/>
      <c r="BV19" s="32"/>
      <c r="BW19" s="32"/>
      <c r="BX19" s="32"/>
      <c r="BY19" s="32"/>
      <c r="BZ19" s="32"/>
      <c r="CA19" s="32"/>
      <c r="CB19" s="32"/>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c r="DA19" s="32"/>
      <c r="DB19" s="32"/>
      <c r="DC19" s="32"/>
      <c r="DD19" s="32"/>
      <c r="DE19" s="32"/>
      <c r="DF19" s="32"/>
      <c r="DG19" s="32"/>
      <c r="DH19" s="32"/>
      <c r="DI19" s="32"/>
      <c r="DJ19" s="32"/>
      <c r="DK19" s="32"/>
      <c r="DL19" s="32"/>
      <c r="DM19" s="32"/>
      <c r="DN19" s="32"/>
      <c r="DO19" s="32"/>
      <c r="DP19" s="32"/>
      <c r="DQ19" s="32"/>
      <c r="DR19" s="32"/>
      <c r="DS19" s="32"/>
      <c r="DT19" s="32"/>
      <c r="DU19" s="32"/>
      <c r="DV19" s="32"/>
      <c r="DW19" s="32"/>
      <c r="DX19" s="32"/>
      <c r="DY19" s="32"/>
      <c r="DZ19" s="32"/>
      <c r="EA19" s="32"/>
      <c r="EB19" s="32"/>
      <c r="EC19" s="32"/>
      <c r="ED19" s="32"/>
      <c r="EE19" s="32"/>
      <c r="EF19" s="32"/>
      <c r="EG19" s="32"/>
      <c r="EH19" s="32"/>
      <c r="EI19" s="32"/>
      <c r="EJ19" s="32"/>
      <c r="EK19" s="32"/>
      <c r="EL19" s="32"/>
      <c r="EM19" s="32"/>
      <c r="EN19" s="32"/>
      <c r="EO19" s="32"/>
      <c r="EP19" s="32"/>
      <c r="EQ19" s="32"/>
      <c r="ER19" s="32"/>
      <c r="ES19" s="32"/>
      <c r="ET19" s="32"/>
      <c r="EU19" s="32"/>
      <c r="EV19" s="32"/>
      <c r="EW19" s="32"/>
      <c r="EX19" s="32"/>
    </row>
    <row r="20" spans="1:160" ht="15">
      <c r="A20" s="27"/>
      <c r="B20" s="185"/>
      <c r="C20" s="35"/>
      <c r="D20" s="35"/>
      <c r="E20" s="184"/>
      <c r="F20" s="184"/>
      <c r="G20" s="184"/>
      <c r="H20" s="184"/>
      <c r="I20" s="184"/>
      <c r="J20" s="184"/>
      <c r="K20" s="184"/>
      <c r="L20" s="184"/>
      <c r="M20" s="184"/>
      <c r="N20" s="184"/>
      <c r="O20" s="184"/>
      <c r="P20" s="184"/>
      <c r="Q20" s="184"/>
      <c r="R20" s="184"/>
      <c r="S20" s="32"/>
      <c r="T20" s="32"/>
      <c r="U20" s="32"/>
      <c r="V20" s="32"/>
      <c r="W20" s="32"/>
      <c r="X20" s="32"/>
      <c r="Y20" s="32"/>
      <c r="Z20" s="32"/>
      <c r="AA20" s="32"/>
      <c r="AB20" s="32"/>
      <c r="AC20" s="32"/>
      <c r="AD20" s="32"/>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c r="BN20" s="32"/>
      <c r="BO20" s="32"/>
      <c r="BP20" s="32"/>
      <c r="BQ20" s="32"/>
      <c r="BR20" s="32"/>
      <c r="BS20" s="32"/>
      <c r="BT20" s="32"/>
      <c r="BU20" s="32"/>
      <c r="BV20" s="32"/>
      <c r="BW20" s="32"/>
      <c r="BX20" s="32"/>
      <c r="BY20" s="32"/>
      <c r="BZ20" s="32"/>
      <c r="CA20" s="32"/>
      <c r="CB20" s="32"/>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c r="DA20" s="32"/>
      <c r="DB20" s="32"/>
      <c r="DC20" s="32"/>
      <c r="DD20" s="32"/>
      <c r="DE20" s="32"/>
      <c r="DF20" s="32"/>
      <c r="DG20" s="32"/>
      <c r="DH20" s="32"/>
      <c r="DI20" s="32"/>
      <c r="DJ20" s="32"/>
      <c r="DK20" s="32"/>
      <c r="DL20" s="32"/>
      <c r="DM20" s="32"/>
      <c r="DN20" s="32"/>
      <c r="DO20" s="32"/>
      <c r="DP20" s="32"/>
      <c r="DQ20" s="32"/>
      <c r="DR20" s="32"/>
      <c r="DS20" s="32"/>
      <c r="DT20" s="32"/>
      <c r="DU20" s="32"/>
      <c r="DV20" s="32"/>
      <c r="DW20" s="32"/>
      <c r="DX20" s="32"/>
      <c r="DY20" s="32"/>
      <c r="DZ20" s="32"/>
      <c r="EA20" s="32"/>
      <c r="EB20" s="32"/>
      <c r="EC20" s="32"/>
      <c r="ED20" s="32"/>
      <c r="EE20" s="32"/>
      <c r="EF20" s="32"/>
      <c r="EG20" s="32"/>
      <c r="EH20" s="32"/>
      <c r="EI20" s="32"/>
      <c r="EJ20" s="32"/>
      <c r="EK20" s="32"/>
      <c r="EL20" s="32"/>
      <c r="EM20" s="32"/>
      <c r="EN20" s="32"/>
      <c r="EO20" s="32"/>
      <c r="EP20" s="32"/>
      <c r="EQ20" s="32"/>
      <c r="ER20" s="32"/>
      <c r="ES20" s="32"/>
      <c r="ET20" s="32"/>
      <c r="EU20" s="32"/>
      <c r="EV20" s="32"/>
      <c r="EW20" s="32"/>
      <c r="EX20" s="32"/>
    </row>
    <row r="21" spans="1:160" ht="15">
      <c r="A21" s="27"/>
      <c r="B21" s="185"/>
      <c r="C21" s="35"/>
      <c r="D21" s="35"/>
      <c r="E21" s="184"/>
      <c r="F21" s="184"/>
      <c r="G21" s="184"/>
      <c r="H21" s="184"/>
      <c r="I21" s="184"/>
      <c r="J21" s="184"/>
      <c r="K21" s="184"/>
      <c r="L21" s="184"/>
      <c r="M21" s="184"/>
      <c r="N21" s="184"/>
      <c r="O21" s="184"/>
      <c r="P21" s="184"/>
      <c r="Q21" s="184"/>
      <c r="R21" s="184"/>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row>
    <row r="22" spans="1:160" ht="15">
      <c r="A22" s="27"/>
      <c r="B22" s="185"/>
      <c r="C22" s="35"/>
      <c r="D22" s="35"/>
      <c r="E22" s="184"/>
      <c r="F22" s="184"/>
      <c r="G22" s="184"/>
      <c r="H22" s="184"/>
      <c r="I22" s="184"/>
      <c r="J22" s="184"/>
      <c r="K22" s="184"/>
      <c r="L22" s="184"/>
      <c r="M22" s="184"/>
      <c r="N22" s="184"/>
      <c r="O22" s="184"/>
      <c r="P22" s="184"/>
      <c r="Q22" s="184"/>
      <c r="R22" s="184"/>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row>
    <row r="23" spans="1:160" ht="15">
      <c r="A23" s="27"/>
      <c r="B23" s="185"/>
      <c r="C23" s="35"/>
      <c r="D23" s="35"/>
      <c r="E23" s="184"/>
      <c r="F23" s="184"/>
      <c r="G23" s="184"/>
      <c r="H23" s="184"/>
      <c r="I23" s="184"/>
      <c r="J23" s="184"/>
      <c r="K23" s="184"/>
      <c r="L23" s="184"/>
      <c r="M23" s="184"/>
      <c r="N23" s="184"/>
      <c r="O23" s="184"/>
      <c r="P23" s="184"/>
      <c r="Q23" s="184"/>
      <c r="R23" s="184"/>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c r="BN23" s="32"/>
      <c r="BO23" s="32"/>
      <c r="BP23" s="32"/>
      <c r="BQ23" s="32"/>
      <c r="BR23" s="32"/>
      <c r="BS23" s="32"/>
      <c r="BT23" s="32"/>
      <c r="BU23" s="32"/>
      <c r="BV23" s="32"/>
      <c r="BW23" s="32"/>
      <c r="BX23" s="32"/>
      <c r="BY23" s="32"/>
      <c r="BZ23" s="32"/>
      <c r="CA23" s="32"/>
      <c r="CB23" s="32"/>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c r="DA23" s="32"/>
      <c r="DB23" s="32"/>
      <c r="DC23" s="32"/>
      <c r="DD23" s="32"/>
      <c r="DE23" s="32"/>
      <c r="DF23" s="32"/>
      <c r="DG23" s="32"/>
      <c r="DH23" s="32"/>
      <c r="DI23" s="32"/>
      <c r="DJ23" s="32"/>
      <c r="DK23" s="32"/>
      <c r="DL23" s="32"/>
      <c r="DM23" s="32"/>
      <c r="DN23" s="32"/>
      <c r="DO23" s="32"/>
      <c r="DP23" s="32"/>
      <c r="DQ23" s="32"/>
      <c r="DR23" s="32"/>
      <c r="DS23" s="32"/>
      <c r="DT23" s="32"/>
      <c r="DU23" s="32"/>
      <c r="DV23" s="32"/>
      <c r="DW23" s="32"/>
      <c r="DX23" s="32"/>
      <c r="DY23" s="32"/>
      <c r="DZ23" s="32"/>
      <c r="EA23" s="32"/>
      <c r="EB23" s="32"/>
      <c r="EC23" s="32"/>
      <c r="ED23" s="32"/>
      <c r="EE23" s="32"/>
      <c r="EF23" s="32"/>
      <c r="EG23" s="32"/>
      <c r="EH23" s="32"/>
      <c r="EI23" s="32"/>
      <c r="EJ23" s="32"/>
      <c r="EK23" s="32"/>
      <c r="EL23" s="32"/>
      <c r="EM23" s="32"/>
      <c r="EN23" s="32"/>
      <c r="EO23" s="32"/>
      <c r="EP23" s="32"/>
      <c r="EQ23" s="32"/>
      <c r="ER23" s="32"/>
      <c r="ES23" s="32"/>
      <c r="ET23" s="32"/>
      <c r="EU23" s="32"/>
      <c r="EV23" s="32"/>
      <c r="EW23" s="32"/>
      <c r="EX23" s="32"/>
    </row>
    <row r="24" spans="1:160" ht="13.5">
      <c r="A24" s="27"/>
      <c r="B24" s="185"/>
      <c r="C24" s="37"/>
      <c r="D24" s="37"/>
      <c r="E24" s="184"/>
      <c r="F24" s="184"/>
      <c r="G24" s="184"/>
      <c r="H24" s="184"/>
      <c r="I24" s="184"/>
      <c r="J24" s="184"/>
      <c r="K24" s="184"/>
      <c r="L24" s="184"/>
      <c r="M24" s="184"/>
      <c r="N24" s="184"/>
      <c r="O24" s="184"/>
      <c r="P24" s="184"/>
      <c r="Q24" s="184"/>
      <c r="R24" s="184"/>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c r="BN24" s="32"/>
      <c r="BO24" s="32"/>
      <c r="BP24" s="32"/>
      <c r="BQ24" s="32"/>
      <c r="BR24" s="32"/>
      <c r="BS24" s="32"/>
      <c r="BT24" s="32"/>
      <c r="BU24" s="32"/>
      <c r="BV24" s="32"/>
      <c r="BW24" s="32"/>
      <c r="BX24" s="32"/>
      <c r="BY24" s="32"/>
      <c r="BZ24" s="32"/>
      <c r="CA24" s="32"/>
      <c r="CB24" s="32"/>
      <c r="CC24" s="32"/>
      <c r="CD24" s="32"/>
      <c r="CE24" s="32"/>
      <c r="CF24" s="32"/>
      <c r="CG24" s="32"/>
      <c r="CH24" s="32"/>
      <c r="CI24" s="32"/>
      <c r="CJ24" s="32"/>
      <c r="CK24" s="32"/>
      <c r="CL24" s="32"/>
      <c r="CM24" s="32"/>
      <c r="CN24" s="32"/>
      <c r="CO24" s="32"/>
      <c r="CP24" s="32"/>
      <c r="CQ24" s="32"/>
      <c r="CR24" s="32"/>
      <c r="CS24" s="32"/>
      <c r="CT24" s="32"/>
      <c r="CU24" s="32"/>
      <c r="CV24" s="32"/>
      <c r="CW24" s="32"/>
      <c r="CX24" s="32"/>
      <c r="CY24" s="32"/>
      <c r="CZ24" s="32"/>
      <c r="DA24" s="32"/>
      <c r="DB24" s="32"/>
      <c r="DC24" s="32"/>
      <c r="DD24" s="32"/>
      <c r="DE24" s="32"/>
      <c r="DF24" s="32"/>
      <c r="DG24" s="32"/>
      <c r="DH24" s="32"/>
      <c r="DI24" s="32"/>
      <c r="DJ24" s="32"/>
      <c r="DK24" s="32"/>
      <c r="DL24" s="32"/>
      <c r="DM24" s="32"/>
      <c r="DN24" s="32"/>
      <c r="DO24" s="32"/>
      <c r="DP24" s="32"/>
      <c r="DQ24" s="32"/>
      <c r="DR24" s="32"/>
      <c r="DS24" s="32"/>
      <c r="DT24" s="32"/>
      <c r="DU24" s="32"/>
      <c r="DV24" s="32"/>
      <c r="DW24" s="32"/>
      <c r="DX24" s="32"/>
      <c r="DY24" s="32"/>
      <c r="DZ24" s="32"/>
      <c r="EA24" s="32"/>
      <c r="EB24" s="32"/>
      <c r="EC24" s="32"/>
      <c r="ED24" s="32"/>
      <c r="EE24" s="32"/>
      <c r="EF24" s="32"/>
      <c r="EG24" s="32"/>
      <c r="EH24" s="32"/>
      <c r="EI24" s="32"/>
      <c r="EJ24" s="32"/>
      <c r="EK24" s="32"/>
      <c r="EL24" s="32"/>
      <c r="EM24" s="32"/>
      <c r="EN24" s="32"/>
      <c r="EO24" s="32"/>
      <c r="EP24" s="32"/>
      <c r="EQ24" s="32"/>
      <c r="ER24" s="32"/>
      <c r="ES24" s="32"/>
      <c r="ET24" s="32"/>
      <c r="EU24" s="32"/>
      <c r="EV24" s="32"/>
      <c r="EW24" s="32"/>
      <c r="EX24" s="32"/>
    </row>
    <row r="25" spans="1:160" ht="13.5">
      <c r="A25" s="27"/>
      <c r="B25" s="185"/>
      <c r="C25" s="37"/>
      <c r="D25" s="37"/>
      <c r="E25" s="184"/>
      <c r="F25" s="184"/>
      <c r="G25" s="184"/>
      <c r="H25" s="184"/>
      <c r="I25" s="184"/>
      <c r="J25" s="184"/>
      <c r="K25" s="184"/>
      <c r="L25" s="184"/>
      <c r="M25" s="184"/>
      <c r="N25" s="184"/>
      <c r="O25" s="184"/>
      <c r="P25" s="184"/>
      <c r="Q25" s="184"/>
      <c r="R25" s="184"/>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c r="BN25" s="32"/>
      <c r="BO25" s="32"/>
      <c r="BP25" s="32"/>
      <c r="BQ25" s="32"/>
      <c r="BR25" s="32"/>
      <c r="BS25" s="32"/>
      <c r="BT25" s="32"/>
      <c r="BU25" s="32"/>
      <c r="BV25" s="32"/>
      <c r="BW25" s="32"/>
      <c r="BX25" s="32"/>
      <c r="BY25" s="32"/>
      <c r="BZ25" s="32"/>
      <c r="CA25" s="32"/>
      <c r="CB25" s="32"/>
      <c r="CC25" s="32"/>
      <c r="CD25" s="32"/>
      <c r="CE25" s="32"/>
      <c r="CF25" s="32"/>
      <c r="CG25" s="32"/>
      <c r="CH25" s="32"/>
      <c r="CI25" s="32"/>
      <c r="CJ25" s="32"/>
      <c r="CK25" s="32"/>
      <c r="CL25" s="32"/>
      <c r="CM25" s="32"/>
      <c r="CN25" s="32"/>
      <c r="CO25" s="32"/>
      <c r="CP25" s="32"/>
      <c r="CQ25" s="32"/>
      <c r="CR25" s="32"/>
      <c r="CS25" s="32"/>
      <c r="CT25" s="32"/>
      <c r="CU25" s="32"/>
      <c r="CV25" s="32"/>
      <c r="CW25" s="32"/>
      <c r="CX25" s="32"/>
      <c r="CY25" s="32"/>
      <c r="CZ25" s="32"/>
      <c r="DA25" s="32"/>
      <c r="DB25" s="32"/>
      <c r="DC25" s="32"/>
      <c r="DD25" s="32"/>
      <c r="DE25" s="32"/>
      <c r="DF25" s="32"/>
      <c r="DG25" s="32"/>
      <c r="DH25" s="32"/>
      <c r="DI25" s="32"/>
      <c r="DJ25" s="32"/>
      <c r="DK25" s="32"/>
      <c r="DL25" s="32"/>
      <c r="DM25" s="32"/>
      <c r="DN25" s="32"/>
      <c r="DO25" s="32"/>
      <c r="DP25" s="32"/>
      <c r="DQ25" s="32"/>
      <c r="DR25" s="32"/>
      <c r="DS25" s="32"/>
      <c r="DT25" s="32"/>
      <c r="DU25" s="32"/>
      <c r="DV25" s="32"/>
      <c r="DW25" s="32"/>
      <c r="DX25" s="32"/>
      <c r="DY25" s="32"/>
      <c r="DZ25" s="32"/>
      <c r="EA25" s="32"/>
      <c r="EB25" s="32"/>
      <c r="EC25" s="32"/>
      <c r="ED25" s="32"/>
      <c r="EE25" s="32"/>
      <c r="EF25" s="32"/>
      <c r="EG25" s="32"/>
      <c r="EH25" s="32"/>
      <c r="EI25" s="32"/>
      <c r="EJ25" s="32"/>
      <c r="EK25" s="32"/>
      <c r="EL25" s="32"/>
      <c r="EM25" s="32"/>
      <c r="EN25" s="32"/>
      <c r="EO25" s="32"/>
      <c r="EP25" s="32"/>
      <c r="EQ25" s="32"/>
      <c r="ER25" s="32"/>
      <c r="ES25" s="32"/>
      <c r="ET25" s="32"/>
      <c r="EU25" s="32"/>
      <c r="EV25" s="32"/>
      <c r="EW25" s="32"/>
      <c r="EX25" s="32"/>
    </row>
    <row r="26" spans="1:160" ht="13.5">
      <c r="A26" s="27"/>
      <c r="B26" s="185"/>
      <c r="C26" s="37"/>
      <c r="D26" s="37"/>
      <c r="E26" s="184"/>
      <c r="F26" s="184"/>
      <c r="G26" s="184"/>
      <c r="H26" s="184"/>
      <c r="I26" s="184"/>
      <c r="J26" s="184"/>
      <c r="K26" s="184"/>
      <c r="L26" s="184"/>
      <c r="M26" s="184"/>
      <c r="N26" s="184"/>
      <c r="O26" s="184"/>
      <c r="P26" s="184"/>
      <c r="Q26" s="184"/>
      <c r="R26" s="184"/>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row>
    <row r="27" spans="1:160" ht="13.5">
      <c r="A27" s="27"/>
      <c r="B27" s="185"/>
      <c r="C27" s="37"/>
      <c r="D27" s="37"/>
      <c r="E27" s="184"/>
      <c r="F27" s="184"/>
      <c r="G27" s="184"/>
      <c r="H27" s="184"/>
      <c r="I27" s="184"/>
      <c r="J27" s="184"/>
      <c r="K27" s="184"/>
      <c r="L27" s="184"/>
      <c r="M27" s="184"/>
      <c r="N27" s="184"/>
      <c r="O27" s="184"/>
      <c r="P27" s="184"/>
      <c r="Q27" s="184"/>
      <c r="R27" s="184"/>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row>
    <row r="28" spans="1:160" ht="15">
      <c r="A28" s="27"/>
      <c r="B28" s="185"/>
      <c r="C28" s="37"/>
      <c r="D28" s="37"/>
      <c r="E28" s="184"/>
      <c r="F28" s="184"/>
      <c r="G28" s="184"/>
      <c r="H28" s="184"/>
      <c r="I28" s="184"/>
      <c r="J28" s="184"/>
      <c r="K28" s="184"/>
      <c r="L28" s="184"/>
      <c r="M28" s="184"/>
      <c r="N28" s="184"/>
      <c r="O28" s="184"/>
      <c r="P28" s="184"/>
      <c r="Q28" s="184"/>
      <c r="R28" s="184"/>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c r="EX28" s="78"/>
    </row>
    <row r="29" spans="1:160" ht="13.5">
      <c r="A29" s="27"/>
      <c r="B29" s="185"/>
      <c r="C29" s="37"/>
      <c r="D29" s="37"/>
      <c r="E29" s="184"/>
      <c r="F29" s="184"/>
      <c r="G29" s="184"/>
      <c r="H29" s="184"/>
      <c r="I29" s="184"/>
      <c r="J29" s="184"/>
      <c r="K29" s="184"/>
      <c r="L29" s="184"/>
      <c r="M29" s="184"/>
      <c r="N29" s="184"/>
      <c r="O29" s="184"/>
      <c r="P29" s="184"/>
      <c r="Q29" s="184"/>
      <c r="R29" s="184"/>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c r="DO29" s="32"/>
      <c r="DP29" s="32"/>
      <c r="DQ29" s="32"/>
      <c r="DR29" s="32"/>
      <c r="DS29" s="32"/>
      <c r="DT29" s="32"/>
      <c r="DU29" s="32"/>
      <c r="DV29" s="32"/>
      <c r="DW29" s="32"/>
      <c r="DX29" s="32"/>
      <c r="DY29" s="32"/>
      <c r="DZ29" s="32"/>
      <c r="EA29" s="32"/>
      <c r="EB29" s="32"/>
      <c r="EC29" s="32"/>
      <c r="ED29" s="32"/>
      <c r="EE29" s="32"/>
      <c r="EF29" s="32"/>
      <c r="EG29" s="32"/>
      <c r="EH29" s="32"/>
      <c r="EI29" s="32"/>
      <c r="EJ29" s="32"/>
      <c r="EK29" s="32"/>
      <c r="EL29" s="32"/>
      <c r="EM29" s="32"/>
      <c r="EN29" s="32"/>
      <c r="EO29" s="32"/>
      <c r="EP29" s="32"/>
      <c r="EQ29" s="32"/>
      <c r="ER29" s="32"/>
      <c r="ES29" s="32"/>
      <c r="ET29" s="32"/>
      <c r="EU29" s="32"/>
      <c r="EV29" s="32"/>
      <c r="EW29" s="32"/>
      <c r="EX29" s="32"/>
    </row>
    <row r="30" spans="1:160">
      <c r="A30" s="27"/>
      <c r="B30" s="31"/>
      <c r="C30" s="37"/>
      <c r="D30" s="37"/>
      <c r="E30" s="184"/>
      <c r="F30" s="184"/>
      <c r="G30" s="184"/>
      <c r="H30" s="184"/>
      <c r="I30" s="184"/>
      <c r="J30" s="184"/>
      <c r="K30" s="184"/>
      <c r="L30" s="184"/>
      <c r="M30" s="184"/>
      <c r="N30" s="184"/>
      <c r="O30" s="184"/>
      <c r="P30" s="184"/>
      <c r="Q30" s="184"/>
      <c r="R30" s="184"/>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c r="BN30" s="32"/>
      <c r="BO30" s="32"/>
      <c r="BP30" s="32"/>
      <c r="BQ30" s="32"/>
      <c r="BR30" s="32"/>
      <c r="BS30" s="32"/>
      <c r="BT30" s="32"/>
      <c r="BU30" s="32"/>
      <c r="BV30" s="32"/>
      <c r="BW30" s="32"/>
      <c r="BX30" s="32"/>
      <c r="BY30" s="32"/>
      <c r="BZ30" s="32"/>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c r="DD30" s="32"/>
      <c r="DE30" s="32"/>
      <c r="DF30" s="32"/>
      <c r="DG30" s="32"/>
      <c r="DH30" s="32"/>
      <c r="DI30" s="32"/>
      <c r="DJ30" s="32"/>
      <c r="DK30" s="32"/>
      <c r="DL30" s="32"/>
      <c r="DM30" s="32"/>
      <c r="DN30" s="32"/>
      <c r="DO30" s="32"/>
      <c r="DP30" s="32"/>
      <c r="DQ30" s="32"/>
      <c r="DR30" s="32"/>
      <c r="DS30" s="32"/>
      <c r="DT30" s="32"/>
      <c r="DU30" s="32"/>
      <c r="DV30" s="32"/>
      <c r="DW30" s="32"/>
      <c r="DX30" s="32"/>
      <c r="DY30" s="32"/>
      <c r="DZ30" s="32"/>
      <c r="EA30" s="32"/>
      <c r="EB30" s="32"/>
      <c r="EC30" s="32"/>
      <c r="ED30" s="32"/>
      <c r="EE30" s="32"/>
      <c r="EF30" s="32"/>
      <c r="EG30" s="32"/>
      <c r="EH30" s="32"/>
      <c r="EI30" s="32"/>
      <c r="EJ30" s="32"/>
      <c r="EK30" s="32"/>
      <c r="EL30" s="32"/>
      <c r="EM30" s="32"/>
      <c r="EN30" s="32"/>
      <c r="EO30" s="32"/>
      <c r="EP30" s="32"/>
      <c r="EQ30" s="32"/>
      <c r="ER30" s="32"/>
      <c r="ES30" s="32"/>
      <c r="ET30" s="32"/>
      <c r="EU30" s="32"/>
      <c r="EV30" s="32"/>
      <c r="EW30" s="32"/>
      <c r="EX30" s="32"/>
    </row>
    <row r="31" spans="1:160" s="8" customFormat="1" ht="14.1" customHeight="1">
      <c r="A31" s="39"/>
      <c r="B31" s="31"/>
      <c r="C31" s="40"/>
      <c r="D31" s="40"/>
      <c r="E31" s="187"/>
      <c r="F31" s="187"/>
      <c r="G31" s="187"/>
      <c r="H31" s="187"/>
      <c r="I31" s="187"/>
      <c r="J31" s="187"/>
      <c r="K31" s="187"/>
      <c r="L31" s="187"/>
      <c r="M31" s="187"/>
      <c r="N31" s="187"/>
      <c r="O31" s="187"/>
      <c r="P31" s="187"/>
      <c r="Q31" s="187"/>
      <c r="R31" s="187"/>
      <c r="S31" s="79"/>
      <c r="T31" s="79"/>
      <c r="U31" s="79"/>
      <c r="V31" s="79"/>
      <c r="W31" s="79"/>
      <c r="X31" s="79"/>
      <c r="Y31" s="79"/>
      <c r="Z31" s="79"/>
      <c r="AA31" s="79"/>
      <c r="AB31" s="79"/>
      <c r="AC31" s="79"/>
      <c r="AD31" s="79"/>
      <c r="AE31" s="79"/>
      <c r="AF31" s="79"/>
      <c r="AG31" s="79"/>
      <c r="AH31" s="79"/>
      <c r="AI31" s="79"/>
      <c r="AJ31" s="79"/>
      <c r="AK31" s="79"/>
      <c r="AL31" s="79"/>
      <c r="AM31" s="79"/>
      <c r="AN31" s="79"/>
      <c r="AO31" s="79"/>
      <c r="AP31" s="79"/>
      <c r="AQ31" s="79"/>
      <c r="AR31" s="79"/>
      <c r="AS31" s="79"/>
      <c r="AT31" s="79"/>
      <c r="AU31" s="79"/>
      <c r="AV31" s="79"/>
      <c r="AW31" s="79"/>
      <c r="AX31" s="79"/>
      <c r="AY31" s="79"/>
      <c r="AZ31" s="79"/>
      <c r="BA31" s="7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c r="CN31" s="79"/>
      <c r="CO31" s="79"/>
      <c r="CP31" s="79"/>
      <c r="CQ31" s="79"/>
      <c r="CR31" s="79"/>
      <c r="CS31" s="79"/>
      <c r="CT31" s="79"/>
      <c r="CU31" s="79"/>
      <c r="CV31" s="79"/>
      <c r="CW31" s="79"/>
      <c r="CX31" s="79"/>
      <c r="CY31" s="79"/>
      <c r="CZ31" s="79"/>
      <c r="DA31" s="79"/>
      <c r="DB31" s="79"/>
      <c r="DC31" s="79"/>
      <c r="DD31" s="79"/>
      <c r="DE31" s="79"/>
      <c r="DF31" s="79"/>
      <c r="DG31" s="79"/>
      <c r="DH31" s="79"/>
      <c r="DI31" s="79"/>
      <c r="DJ31" s="79"/>
      <c r="DK31" s="79"/>
      <c r="DL31" s="79"/>
      <c r="DM31" s="79"/>
      <c r="DN31" s="79"/>
      <c r="DO31" s="79"/>
      <c r="DP31" s="79"/>
      <c r="DQ31" s="79"/>
      <c r="DR31" s="79"/>
      <c r="DS31" s="79"/>
      <c r="DT31" s="79"/>
      <c r="DU31" s="79"/>
      <c r="DV31" s="79"/>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187"/>
      <c r="EZ31" s="187"/>
      <c r="FA31" s="187"/>
      <c r="FB31" s="187"/>
      <c r="FC31" s="187"/>
      <c r="FD31" s="187"/>
    </row>
    <row r="32" spans="1:160" ht="12" customHeight="1">
      <c r="A32" s="42"/>
      <c r="B32" s="31"/>
      <c r="C32" s="37"/>
      <c r="D32" s="37"/>
      <c r="E32" s="83"/>
      <c r="F32" s="83"/>
      <c r="G32" s="83"/>
      <c r="H32" s="83"/>
      <c r="I32" s="83"/>
      <c r="J32" s="83"/>
      <c r="K32" s="83"/>
      <c r="L32" s="83"/>
      <c r="M32" s="83"/>
      <c r="N32" s="83"/>
      <c r="O32" s="83"/>
      <c r="P32" s="83"/>
      <c r="Q32" s="83"/>
      <c r="R32" s="83"/>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row>
    <row r="33" spans="1:160" ht="13.5" customHeight="1">
      <c r="A33" s="42"/>
      <c r="E33" s="188"/>
      <c r="F33" s="188"/>
      <c r="G33" s="188"/>
      <c r="H33" s="188"/>
      <c r="I33" s="188"/>
      <c r="J33" s="188"/>
      <c r="K33" s="188"/>
      <c r="L33" s="188"/>
      <c r="M33" s="188"/>
      <c r="N33" s="188"/>
      <c r="O33" s="188"/>
      <c r="P33" s="188"/>
      <c r="Q33" s="188"/>
      <c r="R33" s="188"/>
      <c r="S33" s="932"/>
      <c r="T33" s="932"/>
      <c r="U33" s="949"/>
      <c r="V33" s="949"/>
      <c r="W33" s="949"/>
      <c r="X33" s="949"/>
      <c r="Y33" s="967"/>
      <c r="Z33" s="974"/>
      <c r="AA33" s="978"/>
      <c r="AB33" s="978"/>
      <c r="AC33" s="978"/>
      <c r="AD33" s="978"/>
      <c r="AE33" s="978"/>
      <c r="AF33" s="978"/>
      <c r="AG33" s="978"/>
      <c r="AH33" s="992"/>
      <c r="AI33" s="999"/>
      <c r="AJ33" s="999"/>
      <c r="AK33" s="999"/>
      <c r="AL33" s="1004"/>
      <c r="AM33" s="1018"/>
      <c r="AN33" s="1026"/>
      <c r="AO33" s="1034"/>
      <c r="AP33" s="1046"/>
      <c r="AQ33" s="1057"/>
      <c r="AR33" s="1057"/>
      <c r="AS33" s="1062"/>
      <c r="AT33" s="1067"/>
      <c r="AU33" s="1071"/>
      <c r="AV33" s="1082"/>
      <c r="AW33" s="1082"/>
      <c r="AX33" s="1082"/>
      <c r="AY33" s="1082"/>
      <c r="AZ33" s="1082"/>
      <c r="BA33" s="1082"/>
      <c r="BB33" s="1082"/>
      <c r="BC33" s="1082"/>
      <c r="BD33" s="1082"/>
      <c r="BE33" s="1082"/>
      <c r="BF33" s="1082"/>
      <c r="BG33" s="1082"/>
      <c r="BH33" s="1096"/>
      <c r="BI33" s="1102"/>
      <c r="BJ33" s="1107"/>
      <c r="BK33" s="1111"/>
      <c r="BL33" s="1111"/>
      <c r="BM33" s="1111"/>
      <c r="BN33" s="1119"/>
      <c r="BO33" s="1125"/>
      <c r="BP33" s="1125"/>
      <c r="BQ33" s="1130"/>
      <c r="BR33" s="1140"/>
      <c r="BS33" s="1140"/>
      <c r="BT33" s="1140"/>
      <c r="BU33" s="1146"/>
      <c r="BV33" s="1153"/>
      <c r="BW33" s="1158"/>
      <c r="BX33" s="1158"/>
      <c r="BY33" s="1164"/>
      <c r="BZ33" s="1164"/>
      <c r="CA33" s="1164"/>
      <c r="CB33" s="1179"/>
      <c r="CC33" s="1188"/>
      <c r="CD33" s="1188"/>
      <c r="CE33" s="1193"/>
      <c r="CF33" s="1201"/>
      <c r="CG33" s="1201"/>
      <c r="CH33" s="1201"/>
      <c r="CI33" s="1212"/>
      <c r="CJ33" s="1216"/>
      <c r="CK33" s="1224"/>
      <c r="CL33" s="1236"/>
      <c r="CM33" s="1245"/>
      <c r="CN33" s="1245"/>
      <c r="CO33" s="1245"/>
      <c r="CP33" s="1251"/>
      <c r="CQ33" s="1258"/>
      <c r="CR33" s="1265"/>
      <c r="CS33" s="1269"/>
      <c r="CT33" s="1275"/>
      <c r="CU33" s="1275"/>
      <c r="CV33" s="1275"/>
      <c r="CW33" s="1286"/>
      <c r="CX33" s="1293"/>
      <c r="CY33" s="1299"/>
      <c r="CZ33" s="1305"/>
      <c r="DA33" s="1311"/>
      <c r="DB33" s="1311"/>
      <c r="DC33" s="1311"/>
      <c r="DD33" s="1319"/>
      <c r="DE33" s="1327"/>
      <c r="DF33" s="1331"/>
      <c r="DG33" s="1338"/>
      <c r="DH33" s="1338"/>
      <c r="DI33" s="1338"/>
      <c r="DJ33" s="1344"/>
      <c r="DK33" s="1351"/>
      <c r="DL33" s="1358"/>
      <c r="DM33" s="1363"/>
      <c r="DN33" s="1369"/>
      <c r="DO33" s="1379"/>
      <c r="DP33" s="1379"/>
      <c r="DQ33" s="1379"/>
      <c r="DR33" s="1387"/>
      <c r="DS33" s="1392"/>
      <c r="DT33" s="1398"/>
      <c r="DU33" s="1403"/>
      <c r="DV33" s="1419"/>
      <c r="DW33" s="1419"/>
      <c r="DX33" s="1419"/>
      <c r="DY33" s="1422"/>
      <c r="DZ33" s="1428"/>
      <c r="EA33" s="1433"/>
      <c r="EB33" s="1439"/>
      <c r="EC33" s="1446"/>
      <c r="ED33" s="1446"/>
      <c r="EE33" s="1451"/>
      <c r="EF33" s="1451"/>
      <c r="EG33" s="1451"/>
      <c r="EH33" s="1451"/>
      <c r="EI33" s="1451"/>
      <c r="EJ33" s="1451"/>
      <c r="EK33" s="1451"/>
      <c r="EL33" s="1451"/>
      <c r="EM33" s="1462"/>
      <c r="EN33" s="1467"/>
      <c r="EO33" s="1473"/>
      <c r="EP33" s="1479"/>
      <c r="EQ33" s="1483"/>
      <c r="ER33" s="1483"/>
      <c r="ES33" s="1483"/>
      <c r="ET33" s="1495"/>
      <c r="EU33" s="1500"/>
      <c r="EV33" s="1512"/>
      <c r="EW33" s="1516"/>
      <c r="EX33" s="81"/>
    </row>
    <row r="34" spans="1:160" ht="22.5" customHeight="1">
      <c r="A34" s="27"/>
      <c r="B34" s="189" t="s">
        <v>815</v>
      </c>
      <c r="C34" s="190"/>
      <c r="D34" s="50" t="s">
        <v>1256</v>
      </c>
      <c r="E34" s="50" t="s">
        <v>1257</v>
      </c>
      <c r="F34" s="119" t="s">
        <v>1159</v>
      </c>
      <c r="G34" s="119" t="s">
        <v>1175</v>
      </c>
      <c r="H34" s="119" t="s">
        <v>1207</v>
      </c>
      <c r="I34" s="119" t="s">
        <v>1255</v>
      </c>
      <c r="J34" s="119" t="s">
        <v>1296</v>
      </c>
      <c r="K34" s="119" t="s">
        <v>1319</v>
      </c>
      <c r="L34" s="119" t="s">
        <v>1385</v>
      </c>
      <c r="M34" s="119" t="s">
        <v>1439</v>
      </c>
      <c r="N34" s="119" t="s">
        <v>817</v>
      </c>
      <c r="O34" s="119" t="s">
        <v>818</v>
      </c>
      <c r="P34" s="119" t="s">
        <v>819</v>
      </c>
      <c r="Q34" s="119" t="s">
        <v>820</v>
      </c>
      <c r="R34" s="119" t="s">
        <v>821</v>
      </c>
      <c r="S34" s="303">
        <v>43466</v>
      </c>
      <c r="T34" s="303">
        <v>43467</v>
      </c>
      <c r="U34" s="303">
        <v>43468</v>
      </c>
      <c r="V34" s="303">
        <v>43469</v>
      </c>
      <c r="W34" s="303">
        <v>43470</v>
      </c>
      <c r="X34" s="303">
        <v>43471</v>
      </c>
      <c r="Y34" s="303">
        <v>43472</v>
      </c>
      <c r="Z34" s="303">
        <v>43473</v>
      </c>
      <c r="AA34" s="303">
        <v>43474</v>
      </c>
      <c r="AB34" s="303">
        <v>43475</v>
      </c>
      <c r="AC34" s="303">
        <v>43476</v>
      </c>
      <c r="AD34" s="303">
        <v>43477</v>
      </c>
      <c r="AE34" s="303">
        <v>43478</v>
      </c>
      <c r="AF34" s="303">
        <v>43479</v>
      </c>
      <c r="AG34" s="303">
        <v>43480</v>
      </c>
      <c r="AH34" s="303">
        <v>43481</v>
      </c>
      <c r="AI34" s="303">
        <v>43482</v>
      </c>
      <c r="AJ34" s="303">
        <v>43483</v>
      </c>
      <c r="AK34" s="303">
        <v>43484</v>
      </c>
      <c r="AL34" s="303">
        <v>43485</v>
      </c>
      <c r="AM34" s="303">
        <v>43486</v>
      </c>
      <c r="AN34" s="303">
        <v>43487</v>
      </c>
      <c r="AO34" s="303">
        <v>43488</v>
      </c>
      <c r="AP34" s="303">
        <v>43489</v>
      </c>
      <c r="AQ34" s="303">
        <v>43490</v>
      </c>
      <c r="AR34" s="303">
        <v>43491</v>
      </c>
      <c r="AS34" s="303">
        <v>43492</v>
      </c>
      <c r="AT34" s="303">
        <v>43493</v>
      </c>
      <c r="AU34" s="303">
        <v>43494</v>
      </c>
      <c r="AV34" s="303">
        <v>43495</v>
      </c>
      <c r="AW34" s="303">
        <v>43496</v>
      </c>
      <c r="AX34" s="303">
        <v>43497</v>
      </c>
      <c r="AY34" s="303">
        <v>43498</v>
      </c>
      <c r="AZ34" s="303">
        <v>43499</v>
      </c>
      <c r="BA34" s="303">
        <v>43500</v>
      </c>
      <c r="BB34" s="303">
        <v>43501</v>
      </c>
      <c r="BC34" s="303">
        <v>43502</v>
      </c>
      <c r="BD34" s="303">
        <v>43503</v>
      </c>
      <c r="BE34" s="303">
        <v>43504</v>
      </c>
      <c r="BF34" s="303">
        <v>43505</v>
      </c>
      <c r="BG34" s="303">
        <v>43506</v>
      </c>
      <c r="BH34" s="303">
        <v>43507</v>
      </c>
      <c r="BI34" s="303">
        <v>43508</v>
      </c>
      <c r="BJ34" s="303">
        <v>43509</v>
      </c>
      <c r="BK34" s="303">
        <v>43510</v>
      </c>
      <c r="BL34" s="303">
        <v>43511</v>
      </c>
      <c r="BM34" s="303">
        <v>43512</v>
      </c>
      <c r="BN34" s="303">
        <v>43513</v>
      </c>
      <c r="BO34" s="303">
        <v>43514</v>
      </c>
      <c r="BP34" s="303">
        <v>43515</v>
      </c>
      <c r="BQ34" s="303">
        <v>43516</v>
      </c>
      <c r="BR34" s="303">
        <v>43517</v>
      </c>
      <c r="BS34" s="303">
        <v>43518</v>
      </c>
      <c r="BT34" s="303">
        <v>43519</v>
      </c>
      <c r="BU34" s="303">
        <v>43520</v>
      </c>
      <c r="BV34" s="303">
        <v>43521</v>
      </c>
      <c r="BW34" s="303">
        <v>43522</v>
      </c>
      <c r="BX34" s="303">
        <v>43523</v>
      </c>
      <c r="BY34" s="303">
        <v>43524</v>
      </c>
      <c r="BZ34" s="303">
        <v>43525</v>
      </c>
      <c r="CA34" s="303">
        <v>43526</v>
      </c>
      <c r="CB34" s="303">
        <v>43527</v>
      </c>
      <c r="CC34" s="303">
        <v>43528</v>
      </c>
      <c r="CD34" s="303">
        <v>43529</v>
      </c>
      <c r="CE34" s="303">
        <v>43530</v>
      </c>
      <c r="CF34" s="303">
        <v>43531</v>
      </c>
      <c r="CG34" s="303">
        <v>43532</v>
      </c>
      <c r="CH34" s="303">
        <v>43533</v>
      </c>
      <c r="CI34" s="303">
        <v>43534</v>
      </c>
      <c r="CJ34" s="303">
        <v>43535</v>
      </c>
      <c r="CK34" s="303">
        <v>43536</v>
      </c>
      <c r="CL34" s="303">
        <v>43537</v>
      </c>
      <c r="CM34" s="303">
        <v>43538</v>
      </c>
      <c r="CN34" s="303">
        <v>43539</v>
      </c>
      <c r="CO34" s="303">
        <v>43540</v>
      </c>
      <c r="CP34" s="303">
        <v>43541</v>
      </c>
      <c r="CQ34" s="303">
        <v>43542</v>
      </c>
      <c r="CR34" s="303">
        <v>43543</v>
      </c>
      <c r="CS34" s="303">
        <v>43544</v>
      </c>
      <c r="CT34" s="303">
        <v>43545</v>
      </c>
      <c r="CU34" s="303">
        <v>43546</v>
      </c>
      <c r="CV34" s="303">
        <v>43547</v>
      </c>
      <c r="CW34" s="303">
        <v>43548</v>
      </c>
      <c r="CX34" s="303">
        <v>43549</v>
      </c>
      <c r="CY34" s="303">
        <v>43550</v>
      </c>
      <c r="CZ34" s="303">
        <v>43551</v>
      </c>
      <c r="DA34" s="303">
        <v>43552</v>
      </c>
      <c r="DB34" s="303">
        <v>43553</v>
      </c>
      <c r="DC34" s="303">
        <v>43554</v>
      </c>
      <c r="DD34" s="303">
        <v>43555</v>
      </c>
      <c r="DE34" s="303">
        <v>43556</v>
      </c>
      <c r="DF34" s="303">
        <v>43557</v>
      </c>
      <c r="DG34" s="303">
        <v>43558</v>
      </c>
      <c r="DH34" s="303">
        <v>43559</v>
      </c>
      <c r="DI34" s="303">
        <v>43560</v>
      </c>
      <c r="DJ34" s="303">
        <v>43561</v>
      </c>
      <c r="DK34" s="303">
        <v>43562</v>
      </c>
      <c r="DL34" s="303">
        <v>43563</v>
      </c>
      <c r="DM34" s="303">
        <v>43564</v>
      </c>
      <c r="DN34" s="303">
        <v>43565</v>
      </c>
      <c r="DO34" s="303">
        <v>43566</v>
      </c>
      <c r="DP34" s="303">
        <v>43567</v>
      </c>
      <c r="DQ34" s="303">
        <v>43568</v>
      </c>
      <c r="DR34" s="303">
        <v>43569</v>
      </c>
      <c r="DS34" s="303">
        <v>43570</v>
      </c>
      <c r="DT34" s="303">
        <v>43571</v>
      </c>
      <c r="DU34" s="303">
        <v>43572</v>
      </c>
      <c r="DV34" s="303">
        <v>43573</v>
      </c>
      <c r="DW34" s="303">
        <v>43574</v>
      </c>
      <c r="DX34" s="303">
        <v>43575</v>
      </c>
      <c r="DY34" s="303">
        <v>43576</v>
      </c>
      <c r="DZ34" s="303">
        <v>43577</v>
      </c>
      <c r="EA34" s="303">
        <v>43578</v>
      </c>
      <c r="EB34" s="303">
        <v>43579</v>
      </c>
      <c r="EC34" s="303">
        <v>43580</v>
      </c>
      <c r="ED34" s="303">
        <v>43581</v>
      </c>
      <c r="EE34" s="303">
        <v>43582</v>
      </c>
      <c r="EF34" s="303">
        <v>43583</v>
      </c>
      <c r="EG34" s="303">
        <v>43584</v>
      </c>
      <c r="EH34" s="303">
        <v>43585</v>
      </c>
      <c r="EI34" s="303">
        <v>43586</v>
      </c>
      <c r="EJ34" s="303">
        <v>43587</v>
      </c>
      <c r="EK34" s="303">
        <v>43588</v>
      </c>
      <c r="EL34" s="303">
        <v>43589</v>
      </c>
      <c r="EM34" s="303">
        <v>43590</v>
      </c>
      <c r="EN34" s="303">
        <v>43591</v>
      </c>
      <c r="EO34" s="303">
        <v>43592</v>
      </c>
      <c r="EP34" s="303">
        <v>43593</v>
      </c>
      <c r="EQ34" s="303">
        <v>43594</v>
      </c>
      <c r="ER34" s="303">
        <v>43595</v>
      </c>
      <c r="ES34" s="303">
        <v>43596</v>
      </c>
      <c r="ET34" s="303">
        <v>43597</v>
      </c>
      <c r="EU34" s="303">
        <v>43598</v>
      </c>
      <c r="EV34" s="303">
        <v>43599</v>
      </c>
      <c r="EW34" s="303">
        <v>43600</v>
      </c>
      <c r="EX34" s="303">
        <v>43601</v>
      </c>
    </row>
    <row r="35" spans="1:160" s="8" customFormat="1" ht="30.75" customHeight="1">
      <c r="A35" s="192"/>
      <c r="B35" s="189" t="s">
        <v>964</v>
      </c>
      <c r="C35" s="193"/>
      <c r="D35" s="194">
        <v>4989</v>
      </c>
      <c r="E35" s="194">
        <f>SUM(I35:L35)</f>
        <v>386</v>
      </c>
      <c r="F35" s="194">
        <v>200</v>
      </c>
      <c r="G35" s="804">
        <v>259</v>
      </c>
      <c r="H35" s="804">
        <v>203</v>
      </c>
      <c r="I35" s="194">
        <f>SUM(S41:AW41)</f>
        <v>74</v>
      </c>
      <c r="J35" s="804">
        <f>SUM(AX41:BY41)</f>
        <v>74</v>
      </c>
      <c r="K35" s="804">
        <f>SUM(BZ41:DD41)</f>
        <v>142</v>
      </c>
      <c r="L35" s="804">
        <f>SUM(DE41:EH41)</f>
        <v>96</v>
      </c>
      <c r="M35" s="804">
        <f>SUM(EI41:EX41)</f>
        <v>23</v>
      </c>
      <c r="N35" s="194">
        <f>SUM(ED41:EJ41)</f>
        <v>9</v>
      </c>
      <c r="O35" s="194">
        <f>SUM(EK41:EQ41)</f>
        <v>8</v>
      </c>
      <c r="P35" s="194">
        <f>SUM(ER41:EX41)</f>
        <v>15</v>
      </c>
      <c r="Q35" s="194"/>
      <c r="R35" s="194"/>
      <c r="S35" s="742" t="s">
        <v>1140</v>
      </c>
      <c r="T35" s="742" t="s">
        <v>1140</v>
      </c>
      <c r="U35" s="742" t="s">
        <v>1140</v>
      </c>
      <c r="V35" s="742" t="s">
        <v>1140</v>
      </c>
      <c r="W35" s="742" t="s">
        <v>1140</v>
      </c>
      <c r="X35" s="742" t="s">
        <v>1140</v>
      </c>
      <c r="Y35" s="742" t="s">
        <v>1140</v>
      </c>
      <c r="Z35" s="742" t="s">
        <v>1140</v>
      </c>
      <c r="AA35" s="742" t="s">
        <v>1140</v>
      </c>
      <c r="AB35" s="742" t="s">
        <v>1140</v>
      </c>
      <c r="AC35" s="742" t="s">
        <v>1140</v>
      </c>
      <c r="AD35" s="742" t="s">
        <v>1140</v>
      </c>
      <c r="AE35" s="742" t="s">
        <v>1140</v>
      </c>
      <c r="AF35" s="742" t="s">
        <v>1140</v>
      </c>
      <c r="AG35" s="742" t="s">
        <v>1140</v>
      </c>
      <c r="AH35" s="742" t="s">
        <v>1140</v>
      </c>
      <c r="AI35" s="742" t="s">
        <v>1140</v>
      </c>
      <c r="AJ35" s="742" t="s">
        <v>1140</v>
      </c>
      <c r="AK35" s="742" t="s">
        <v>1140</v>
      </c>
      <c r="AL35" s="742" t="s">
        <v>1140</v>
      </c>
      <c r="AM35" s="742" t="s">
        <v>1140</v>
      </c>
      <c r="AN35" s="742" t="s">
        <v>1140</v>
      </c>
      <c r="AO35" s="742" t="s">
        <v>1140</v>
      </c>
      <c r="AP35" s="742" t="s">
        <v>1140</v>
      </c>
      <c r="AQ35" s="742" t="s">
        <v>1140</v>
      </c>
      <c r="AR35" s="742" t="s">
        <v>1140</v>
      </c>
      <c r="AS35" s="742" t="s">
        <v>1140</v>
      </c>
      <c r="AT35" s="742" t="s">
        <v>1140</v>
      </c>
      <c r="AU35" s="742" t="s">
        <v>1140</v>
      </c>
      <c r="AV35" s="742" t="s">
        <v>1140</v>
      </c>
      <c r="AW35" s="742" t="s">
        <v>1140</v>
      </c>
      <c r="AX35" s="742" t="s">
        <v>1140</v>
      </c>
      <c r="AY35" s="742" t="s">
        <v>1140</v>
      </c>
      <c r="AZ35" s="742" t="s">
        <v>1140</v>
      </c>
      <c r="BA35" s="742" t="s">
        <v>1140</v>
      </c>
      <c r="BB35" s="742" t="s">
        <v>1140</v>
      </c>
      <c r="BC35" s="742" t="s">
        <v>1140</v>
      </c>
      <c r="BD35" s="742" t="s">
        <v>1140</v>
      </c>
      <c r="BE35" s="742" t="s">
        <v>1140</v>
      </c>
      <c r="BF35" s="742" t="s">
        <v>1140</v>
      </c>
      <c r="BG35" s="742" t="s">
        <v>1140</v>
      </c>
      <c r="BH35" s="742" t="s">
        <v>1140</v>
      </c>
      <c r="BI35" s="742" t="s">
        <v>1140</v>
      </c>
      <c r="BJ35" s="742" t="s">
        <v>1140</v>
      </c>
      <c r="BK35" s="742" t="s">
        <v>1140</v>
      </c>
      <c r="BL35" s="742" t="s">
        <v>1140</v>
      </c>
      <c r="BM35" s="742" t="s">
        <v>1140</v>
      </c>
      <c r="BN35" s="742" t="s">
        <v>1140</v>
      </c>
      <c r="BO35" s="742" t="s">
        <v>1140</v>
      </c>
      <c r="BP35" s="742" t="s">
        <v>1140</v>
      </c>
      <c r="BQ35" s="742" t="s">
        <v>1140</v>
      </c>
      <c r="BR35" s="742" t="s">
        <v>1140</v>
      </c>
      <c r="BS35" s="742" t="s">
        <v>1140</v>
      </c>
      <c r="BT35" s="742" t="s">
        <v>1140</v>
      </c>
      <c r="BU35" s="742" t="s">
        <v>1140</v>
      </c>
      <c r="BV35" s="742" t="s">
        <v>1140</v>
      </c>
      <c r="BW35" s="742" t="s">
        <v>1140</v>
      </c>
      <c r="BX35" s="742" t="s">
        <v>1140</v>
      </c>
      <c r="BY35" s="742" t="s">
        <v>1140</v>
      </c>
      <c r="BZ35" s="742" t="s">
        <v>1140</v>
      </c>
      <c r="CA35" s="742" t="s">
        <v>1140</v>
      </c>
      <c r="CB35" s="742" t="s">
        <v>1140</v>
      </c>
      <c r="CC35" s="742" t="s">
        <v>1140</v>
      </c>
      <c r="CD35" s="742" t="s">
        <v>1140</v>
      </c>
      <c r="CE35" s="742" t="s">
        <v>1140</v>
      </c>
      <c r="CF35" s="742" t="s">
        <v>1140</v>
      </c>
      <c r="CG35" s="742" t="s">
        <v>1140</v>
      </c>
      <c r="CH35" s="742" t="s">
        <v>1140</v>
      </c>
      <c r="CI35" s="742" t="s">
        <v>1140</v>
      </c>
      <c r="CJ35" s="742" t="s">
        <v>1140</v>
      </c>
      <c r="CK35" s="742" t="s">
        <v>1140</v>
      </c>
      <c r="CL35" s="742" t="s">
        <v>1140</v>
      </c>
      <c r="CM35" s="742" t="s">
        <v>1140</v>
      </c>
      <c r="CN35" s="742" t="s">
        <v>1140</v>
      </c>
      <c r="CO35" s="742" t="s">
        <v>1140</v>
      </c>
      <c r="CP35" s="742" t="s">
        <v>1140</v>
      </c>
      <c r="CQ35" s="742" t="s">
        <v>1140</v>
      </c>
      <c r="CR35" s="742" t="s">
        <v>1140</v>
      </c>
      <c r="CS35" s="742" t="s">
        <v>1140</v>
      </c>
      <c r="CT35" s="742" t="s">
        <v>1140</v>
      </c>
      <c r="CU35" s="742" t="s">
        <v>1140</v>
      </c>
      <c r="CV35" s="742" t="s">
        <v>1140</v>
      </c>
      <c r="CW35" s="742" t="s">
        <v>1140</v>
      </c>
      <c r="CX35" s="742" t="s">
        <v>1140</v>
      </c>
      <c r="CY35" s="742" t="s">
        <v>1140</v>
      </c>
      <c r="CZ35" s="742" t="s">
        <v>1140</v>
      </c>
      <c r="DA35" s="742" t="s">
        <v>1140</v>
      </c>
      <c r="DB35" s="742" t="s">
        <v>1140</v>
      </c>
      <c r="DC35" s="742" t="s">
        <v>1140</v>
      </c>
      <c r="DD35" s="742" t="s">
        <v>1140</v>
      </c>
      <c r="DE35" s="742" t="s">
        <v>1140</v>
      </c>
      <c r="DF35" s="742" t="s">
        <v>1140</v>
      </c>
      <c r="DG35" s="742" t="s">
        <v>1140</v>
      </c>
      <c r="DH35" s="742" t="s">
        <v>1140</v>
      </c>
      <c r="DI35" s="742" t="s">
        <v>1140</v>
      </c>
      <c r="DJ35" s="742" t="s">
        <v>1140</v>
      </c>
      <c r="DK35" s="742" t="s">
        <v>1140</v>
      </c>
      <c r="DL35" s="742" t="s">
        <v>1140</v>
      </c>
      <c r="DM35" s="742" t="s">
        <v>1140</v>
      </c>
      <c r="DN35" s="742" t="s">
        <v>1140</v>
      </c>
      <c r="DO35" s="742" t="s">
        <v>1140</v>
      </c>
      <c r="DP35" s="742" t="s">
        <v>1140</v>
      </c>
      <c r="DQ35" s="742" t="s">
        <v>1140</v>
      </c>
      <c r="DR35" s="742" t="s">
        <v>1140</v>
      </c>
      <c r="DS35" s="742" t="s">
        <v>1140</v>
      </c>
      <c r="DT35" s="742" t="s">
        <v>1140</v>
      </c>
      <c r="DU35" s="742" t="s">
        <v>1140</v>
      </c>
      <c r="DV35" s="742" t="s">
        <v>1140</v>
      </c>
      <c r="DW35" s="742" t="s">
        <v>1140</v>
      </c>
      <c r="DX35" s="742" t="s">
        <v>1140</v>
      </c>
      <c r="DY35" s="742" t="s">
        <v>1140</v>
      </c>
      <c r="DZ35" s="742" t="s">
        <v>1140</v>
      </c>
      <c r="EA35" s="742" t="s">
        <v>1140</v>
      </c>
      <c r="EB35" s="742" t="s">
        <v>1140</v>
      </c>
      <c r="EC35" s="742" t="s">
        <v>1140</v>
      </c>
      <c r="ED35" s="742" t="s">
        <v>1140</v>
      </c>
      <c r="EE35" s="742" t="s">
        <v>1140</v>
      </c>
      <c r="EF35" s="742" t="s">
        <v>1140</v>
      </c>
      <c r="EG35" s="742" t="s">
        <v>1140</v>
      </c>
      <c r="EH35" s="742" t="s">
        <v>1140</v>
      </c>
      <c r="EI35" s="742" t="s">
        <v>1140</v>
      </c>
      <c r="EJ35" s="742" t="s">
        <v>1140</v>
      </c>
      <c r="EK35" s="742" t="s">
        <v>1140</v>
      </c>
      <c r="EL35" s="742" t="s">
        <v>1140</v>
      </c>
      <c r="EM35" s="742" t="s">
        <v>1140</v>
      </c>
      <c r="EN35" s="742" t="s">
        <v>1140</v>
      </c>
      <c r="EO35" s="742" t="s">
        <v>1140</v>
      </c>
      <c r="EP35" s="742" t="s">
        <v>1140</v>
      </c>
      <c r="EQ35" s="742" t="s">
        <v>1140</v>
      </c>
      <c r="ER35" s="742" t="s">
        <v>1140</v>
      </c>
      <c r="ES35" s="742" t="s">
        <v>1140</v>
      </c>
      <c r="ET35" s="742" t="s">
        <v>1140</v>
      </c>
      <c r="EU35" s="742" t="s">
        <v>1140</v>
      </c>
      <c r="EV35" s="742" t="s">
        <v>1140</v>
      </c>
      <c r="EW35" s="742" t="s">
        <v>1140</v>
      </c>
      <c r="EX35" s="742" t="s">
        <v>1140</v>
      </c>
      <c r="EY35" s="187"/>
      <c r="EZ35" s="187"/>
      <c r="FA35" s="187"/>
      <c r="FB35" s="187"/>
      <c r="FC35" s="187"/>
      <c r="FD35" s="187"/>
    </row>
    <row r="36" spans="1:160" s="8" customFormat="1" ht="25.5" customHeight="1">
      <c r="A36" s="192"/>
      <c r="B36" s="195" t="s">
        <v>823</v>
      </c>
      <c r="C36" s="196"/>
      <c r="D36" s="194">
        <v>43</v>
      </c>
      <c r="E36" s="194">
        <f>SUM(I36:L36)</f>
        <v>0</v>
      </c>
      <c r="F36" s="194">
        <v>4</v>
      </c>
      <c r="G36" s="804">
        <v>2</v>
      </c>
      <c r="H36" s="804">
        <v>3</v>
      </c>
      <c r="I36" s="194">
        <f>SUM(S42:AW42)</f>
        <v>0</v>
      </c>
      <c r="J36" s="804">
        <f>SUM(AX42:BY42)</f>
        <v>0</v>
      </c>
      <c r="K36" s="804">
        <f>SUM(BZ42:DD42)</f>
        <v>0</v>
      </c>
      <c r="L36" s="804">
        <f>SUM(DE42:EH42)</f>
        <v>0</v>
      </c>
      <c r="M36" s="804">
        <f>SUM(EI42:EX42)</f>
        <v>0</v>
      </c>
      <c r="N36" s="194">
        <f>SUM(ED42:EJ42)</f>
        <v>0</v>
      </c>
      <c r="O36" s="194">
        <f>SUM(EK42:EQ42)</f>
        <v>0</v>
      </c>
      <c r="P36" s="194">
        <f>SUM(ER42:EX42)</f>
        <v>0</v>
      </c>
      <c r="Q36" s="194"/>
      <c r="R36" s="194"/>
      <c r="S36" s="732"/>
      <c r="T36" s="732"/>
      <c r="U36" s="226"/>
      <c r="V36" s="226"/>
      <c r="W36" s="226"/>
      <c r="X36" s="226"/>
      <c r="Y36" s="732"/>
      <c r="Z36" s="732"/>
      <c r="AA36" s="732"/>
      <c r="AB36" s="732"/>
      <c r="AC36" s="732"/>
      <c r="AD36" s="732"/>
      <c r="AE36" s="732"/>
      <c r="AF36" s="732"/>
      <c r="AG36" s="732"/>
      <c r="AH36" s="732"/>
      <c r="AI36" s="732"/>
      <c r="AJ36" s="732"/>
      <c r="AK36" s="732"/>
      <c r="AL36" s="732"/>
      <c r="AM36" s="732"/>
      <c r="AN36" s="732"/>
      <c r="AO36" s="732"/>
      <c r="AP36" s="732"/>
      <c r="AQ36" s="732"/>
      <c r="AR36" s="732"/>
      <c r="AS36" s="732"/>
      <c r="AT36" s="732"/>
      <c r="AU36" s="732"/>
      <c r="AV36" s="732"/>
      <c r="AW36" s="732"/>
      <c r="AX36" s="732"/>
      <c r="AY36" s="732"/>
      <c r="AZ36" s="732"/>
      <c r="BA36" s="732"/>
      <c r="BB36" s="732"/>
      <c r="BC36" s="732"/>
      <c r="BD36" s="732"/>
      <c r="BE36" s="732"/>
      <c r="BF36" s="732"/>
      <c r="BG36" s="732"/>
      <c r="BH36" s="732"/>
      <c r="BI36" s="732"/>
      <c r="BJ36" s="732"/>
      <c r="BK36" s="732"/>
      <c r="BL36" s="732"/>
      <c r="BM36" s="732"/>
      <c r="BN36" s="732"/>
      <c r="BO36" s="732"/>
      <c r="BP36" s="732"/>
      <c r="BQ36" s="732"/>
      <c r="BR36" s="732"/>
      <c r="BS36" s="732"/>
      <c r="BT36" s="732"/>
      <c r="BU36" s="732"/>
      <c r="BV36" s="732"/>
      <c r="BW36" s="226"/>
      <c r="BX36" s="732"/>
      <c r="BY36" s="732"/>
      <c r="BZ36" s="732"/>
      <c r="CA36" s="732"/>
      <c r="CB36" s="732"/>
      <c r="CC36" s="732"/>
      <c r="CD36" s="732"/>
      <c r="CE36" s="732"/>
      <c r="CF36" s="732"/>
      <c r="CG36" s="732"/>
      <c r="CH36" s="732"/>
      <c r="CI36" s="732"/>
      <c r="CJ36" s="732"/>
      <c r="CK36" s="732"/>
      <c r="CL36" s="732"/>
      <c r="CM36" s="732"/>
      <c r="CN36" s="732"/>
      <c r="CO36" s="732"/>
      <c r="CP36" s="732"/>
      <c r="CQ36" s="732"/>
      <c r="CR36" s="732"/>
      <c r="CS36" s="732"/>
      <c r="CT36" s="732"/>
      <c r="CU36" s="732"/>
      <c r="CV36" s="732"/>
      <c r="CW36" s="732"/>
      <c r="CX36" s="732"/>
      <c r="CY36" s="732"/>
      <c r="CZ36" s="732"/>
      <c r="DA36" s="732"/>
      <c r="DB36" s="732"/>
      <c r="DC36" s="732"/>
      <c r="DD36" s="732"/>
      <c r="DE36" s="732"/>
      <c r="DF36" s="732"/>
      <c r="DG36" s="732"/>
      <c r="DH36" s="732"/>
      <c r="DI36" s="732"/>
      <c r="DJ36" s="732"/>
      <c r="DK36" s="732"/>
      <c r="DL36" s="226"/>
      <c r="DM36" s="732"/>
      <c r="DN36" s="226"/>
      <c r="DO36" s="732"/>
      <c r="DP36" s="732"/>
      <c r="DQ36" s="732"/>
      <c r="DR36" s="732"/>
      <c r="DS36" s="732"/>
      <c r="DT36" s="732"/>
      <c r="DU36" s="732"/>
      <c r="DV36" s="732"/>
      <c r="DW36" s="732"/>
      <c r="DX36" s="732"/>
      <c r="DY36" s="732"/>
      <c r="DZ36" s="732"/>
      <c r="EA36" s="732"/>
      <c r="EB36" s="732"/>
      <c r="EC36" s="732"/>
      <c r="ED36" s="732"/>
      <c r="EE36" s="732"/>
      <c r="EF36" s="732"/>
      <c r="EG36" s="732"/>
      <c r="EH36" s="732"/>
      <c r="EI36" s="732"/>
      <c r="EJ36" s="732"/>
      <c r="EK36" s="732"/>
      <c r="EL36" s="732"/>
      <c r="EM36" s="732"/>
      <c r="EN36" s="732"/>
      <c r="EO36" s="732"/>
      <c r="EP36" s="732"/>
      <c r="EQ36" s="732"/>
      <c r="ER36" s="732"/>
      <c r="ES36" s="732"/>
      <c r="ET36" s="732"/>
      <c r="EU36" s="732"/>
      <c r="EV36" s="732"/>
      <c r="EW36" s="732"/>
      <c r="EX36" s="226"/>
      <c r="EY36" s="187"/>
      <c r="EZ36" s="187"/>
      <c r="FA36" s="187"/>
      <c r="FB36" s="187"/>
      <c r="FC36" s="187"/>
      <c r="FD36" s="187"/>
    </row>
    <row r="37" spans="1:160" s="8" customFormat="1" ht="16.5" customHeight="1">
      <c r="A37" s="192"/>
      <c r="B37" s="1625" t="s">
        <v>965</v>
      </c>
      <c r="C37" s="197" t="s">
        <v>825</v>
      </c>
      <c r="D37" s="199">
        <v>8.618961715774704</v>
      </c>
      <c r="E37" s="199">
        <f>E36/E35*1000</f>
        <v>0</v>
      </c>
      <c r="F37" s="764"/>
      <c r="G37" s="764"/>
      <c r="H37" s="764"/>
      <c r="I37" s="199"/>
      <c r="J37" s="764"/>
      <c r="K37" s="764"/>
      <c r="L37" s="764"/>
      <c r="M37" s="764"/>
      <c r="N37" s="226"/>
      <c r="O37" s="191"/>
      <c r="P37" s="191"/>
      <c r="Q37" s="194"/>
      <c r="R37" s="191"/>
      <c r="S37" s="732"/>
      <c r="T37" s="732"/>
      <c r="U37" s="226"/>
      <c r="V37" s="226"/>
      <c r="W37" s="226"/>
      <c r="X37" s="226"/>
      <c r="Y37" s="732"/>
      <c r="Z37" s="732"/>
      <c r="AA37" s="732"/>
      <c r="AB37" s="732"/>
      <c r="AC37" s="732"/>
      <c r="AD37" s="732"/>
      <c r="AE37" s="732"/>
      <c r="AF37" s="732"/>
      <c r="AG37" s="732"/>
      <c r="AH37" s="732"/>
      <c r="AI37" s="732"/>
      <c r="AJ37" s="732"/>
      <c r="AK37" s="732"/>
      <c r="AL37" s="732"/>
      <c r="AM37" s="732"/>
      <c r="AN37" s="732"/>
      <c r="AO37" s="732"/>
      <c r="AP37" s="732"/>
      <c r="AQ37" s="732"/>
      <c r="AR37" s="732"/>
      <c r="AS37" s="732"/>
      <c r="AT37" s="732"/>
      <c r="AU37" s="732"/>
      <c r="AV37" s="732"/>
      <c r="AW37" s="732"/>
      <c r="AX37" s="732"/>
      <c r="AY37" s="732"/>
      <c r="AZ37" s="732"/>
      <c r="BA37" s="732"/>
      <c r="BB37" s="732"/>
      <c r="BC37" s="732"/>
      <c r="BD37" s="732"/>
      <c r="BE37" s="732"/>
      <c r="BF37" s="732"/>
      <c r="BG37" s="732"/>
      <c r="BH37" s="732"/>
      <c r="BI37" s="732"/>
      <c r="BJ37" s="732"/>
      <c r="BK37" s="732"/>
      <c r="BL37" s="732"/>
      <c r="BM37" s="732"/>
      <c r="BN37" s="732"/>
      <c r="BO37" s="732"/>
      <c r="BP37" s="732"/>
      <c r="BQ37" s="732"/>
      <c r="BR37" s="732"/>
      <c r="BS37" s="732"/>
      <c r="BT37" s="732"/>
      <c r="BU37" s="732"/>
      <c r="BV37" s="732"/>
      <c r="BW37" s="226"/>
      <c r="BX37" s="732"/>
      <c r="BY37" s="732"/>
      <c r="BZ37" s="732"/>
      <c r="CA37" s="732"/>
      <c r="CB37" s="732"/>
      <c r="CC37" s="732"/>
      <c r="CD37" s="732"/>
      <c r="CE37" s="732"/>
      <c r="CF37" s="732"/>
      <c r="CG37" s="732"/>
      <c r="CH37" s="732"/>
      <c r="CI37" s="732"/>
      <c r="CJ37" s="732"/>
      <c r="CK37" s="732"/>
      <c r="CL37" s="732"/>
      <c r="CM37" s="732"/>
      <c r="CN37" s="732"/>
      <c r="CO37" s="732"/>
      <c r="CP37" s="732"/>
      <c r="CQ37" s="732"/>
      <c r="CR37" s="732"/>
      <c r="CS37" s="732"/>
      <c r="CT37" s="732"/>
      <c r="CU37" s="732"/>
      <c r="CV37" s="732"/>
      <c r="CW37" s="732"/>
      <c r="CX37" s="732"/>
      <c r="CY37" s="732"/>
      <c r="CZ37" s="732"/>
      <c r="DA37" s="732"/>
      <c r="DB37" s="732"/>
      <c r="DC37" s="732"/>
      <c r="DD37" s="732"/>
      <c r="DE37" s="732"/>
      <c r="DF37" s="732"/>
      <c r="DG37" s="732"/>
      <c r="DH37" s="732"/>
      <c r="DI37" s="732"/>
      <c r="DJ37" s="732"/>
      <c r="DK37" s="732"/>
      <c r="DL37" s="226"/>
      <c r="DM37" s="732"/>
      <c r="DN37" s="226"/>
      <c r="DO37" s="732"/>
      <c r="DP37" s="732"/>
      <c r="DQ37" s="732"/>
      <c r="DR37" s="732"/>
      <c r="DS37" s="732"/>
      <c r="DT37" s="732"/>
      <c r="DU37" s="732"/>
      <c r="DV37" s="732"/>
      <c r="DW37" s="732"/>
      <c r="DX37" s="732"/>
      <c r="DY37" s="732"/>
      <c r="DZ37" s="732"/>
      <c r="EA37" s="732"/>
      <c r="EB37" s="732"/>
      <c r="EC37" s="732"/>
      <c r="ED37" s="732"/>
      <c r="EE37" s="732"/>
      <c r="EF37" s="732"/>
      <c r="EG37" s="732"/>
      <c r="EH37" s="732"/>
      <c r="EI37" s="732"/>
      <c r="EJ37" s="732"/>
      <c r="EK37" s="732"/>
      <c r="EL37" s="732"/>
      <c r="EM37" s="732"/>
      <c r="EN37" s="732"/>
      <c r="EO37" s="732"/>
      <c r="EP37" s="732"/>
      <c r="EQ37" s="732"/>
      <c r="ER37" s="732"/>
      <c r="ES37" s="732"/>
      <c r="ET37" s="732"/>
      <c r="EU37" s="732"/>
      <c r="EV37" s="732"/>
      <c r="EW37" s="732"/>
      <c r="EX37" s="226"/>
      <c r="EY37" s="187"/>
      <c r="EZ37" s="187"/>
      <c r="FA37" s="187"/>
      <c r="FB37" s="187"/>
      <c r="FC37" s="187"/>
      <c r="FD37" s="187"/>
    </row>
    <row r="38" spans="1:160" s="8" customFormat="1" ht="15.75" customHeight="1">
      <c r="A38" s="192"/>
      <c r="B38" s="1625"/>
      <c r="C38" s="197" t="s">
        <v>826</v>
      </c>
      <c r="D38" s="198"/>
      <c r="E38" s="194"/>
      <c r="F38" s="199">
        <f t="shared" ref="F38:G38" si="0">F36/F35*1000</f>
        <v>20</v>
      </c>
      <c r="G38" s="199">
        <f t="shared" si="0"/>
        <v>7.7220077220077226</v>
      </c>
      <c r="H38" s="199">
        <f>H36/H35*1000</f>
        <v>14.778325123152708</v>
      </c>
      <c r="I38" s="199">
        <f t="shared" ref="I38:J38" si="1">I36/I35*1000</f>
        <v>0</v>
      </c>
      <c r="J38" s="199">
        <f t="shared" si="1"/>
        <v>0</v>
      </c>
      <c r="K38" s="764"/>
      <c r="L38" s="764"/>
      <c r="M38" s="764"/>
      <c r="N38" s="199"/>
      <c r="O38" s="199"/>
      <c r="P38" s="199"/>
      <c r="Q38" s="199"/>
      <c r="R38" s="191" t="s">
        <v>1199</v>
      </c>
      <c r="S38" s="732"/>
      <c r="T38" s="732"/>
      <c r="U38" s="226"/>
      <c r="V38" s="226"/>
      <c r="W38" s="226"/>
      <c r="X38" s="226"/>
      <c r="Y38" s="732"/>
      <c r="Z38" s="732"/>
      <c r="AA38" s="732"/>
      <c r="AB38" s="732"/>
      <c r="AC38" s="732"/>
      <c r="AD38" s="732"/>
      <c r="AE38" s="732"/>
      <c r="AF38" s="732"/>
      <c r="AG38" s="732"/>
      <c r="AH38" s="732"/>
      <c r="AI38" s="732"/>
      <c r="AJ38" s="732"/>
      <c r="AK38" s="732"/>
      <c r="AL38" s="732"/>
      <c r="AM38" s="732"/>
      <c r="AN38" s="732"/>
      <c r="AO38" s="732"/>
      <c r="AP38" s="732"/>
      <c r="AQ38" s="732"/>
      <c r="AR38" s="732"/>
      <c r="AS38" s="732"/>
      <c r="AT38" s="732"/>
      <c r="AU38" s="732"/>
      <c r="AV38" s="732"/>
      <c r="AW38" s="732"/>
      <c r="AX38" s="732"/>
      <c r="AY38" s="732"/>
      <c r="AZ38" s="732"/>
      <c r="BA38" s="732"/>
      <c r="BB38" s="732"/>
      <c r="BC38" s="732"/>
      <c r="BD38" s="732"/>
      <c r="BE38" s="732"/>
      <c r="BF38" s="732"/>
      <c r="BG38" s="732"/>
      <c r="BH38" s="732"/>
      <c r="BI38" s="732"/>
      <c r="BJ38" s="732"/>
      <c r="BK38" s="732"/>
      <c r="BL38" s="732"/>
      <c r="BM38" s="732"/>
      <c r="BN38" s="732"/>
      <c r="BO38" s="732"/>
      <c r="BP38" s="732"/>
      <c r="BQ38" s="732"/>
      <c r="BR38" s="732"/>
      <c r="BS38" s="732"/>
      <c r="BT38" s="732"/>
      <c r="BU38" s="732"/>
      <c r="BV38" s="732"/>
      <c r="BW38" s="226"/>
      <c r="BX38" s="732"/>
      <c r="BY38" s="732"/>
      <c r="BZ38" s="732"/>
      <c r="CA38" s="732"/>
      <c r="CB38" s="732"/>
      <c r="CC38" s="732"/>
      <c r="CD38" s="732"/>
      <c r="CE38" s="732"/>
      <c r="CF38" s="732"/>
      <c r="CG38" s="732"/>
      <c r="CH38" s="732"/>
      <c r="CI38" s="732"/>
      <c r="CJ38" s="732"/>
      <c r="CK38" s="732"/>
      <c r="CL38" s="732"/>
      <c r="CM38" s="732"/>
      <c r="CN38" s="732"/>
      <c r="CO38" s="732"/>
      <c r="CP38" s="732"/>
      <c r="CQ38" s="732"/>
      <c r="CR38" s="732"/>
      <c r="CS38" s="732"/>
      <c r="CT38" s="732"/>
      <c r="CU38" s="732"/>
      <c r="CV38" s="732"/>
      <c r="CW38" s="732"/>
      <c r="CX38" s="732"/>
      <c r="CY38" s="732"/>
      <c r="CZ38" s="732"/>
      <c r="DA38" s="732"/>
      <c r="DB38" s="732"/>
      <c r="DC38" s="732"/>
      <c r="DD38" s="732"/>
      <c r="DE38" s="732"/>
      <c r="DF38" s="732"/>
      <c r="DG38" s="732"/>
      <c r="DH38" s="732"/>
      <c r="DI38" s="732"/>
      <c r="DJ38" s="732"/>
      <c r="DK38" s="732"/>
      <c r="DL38" s="226"/>
      <c r="DM38" s="732"/>
      <c r="DN38" s="226"/>
      <c r="DO38" s="732"/>
      <c r="DP38" s="732"/>
      <c r="DQ38" s="732"/>
      <c r="DR38" s="732"/>
      <c r="DS38" s="732"/>
      <c r="DT38" s="732"/>
      <c r="DU38" s="732"/>
      <c r="DV38" s="732"/>
      <c r="DW38" s="732"/>
      <c r="DX38" s="732"/>
      <c r="DY38" s="732"/>
      <c r="DZ38" s="732"/>
      <c r="EA38" s="732"/>
      <c r="EB38" s="732"/>
      <c r="EC38" s="732"/>
      <c r="ED38" s="732"/>
      <c r="EE38" s="732"/>
      <c r="EF38" s="732"/>
      <c r="EG38" s="732"/>
      <c r="EH38" s="732"/>
      <c r="EI38" s="732"/>
      <c r="EJ38" s="732"/>
      <c r="EK38" s="732"/>
      <c r="EL38" s="732"/>
      <c r="EM38" s="732"/>
      <c r="EN38" s="732"/>
      <c r="EO38" s="732"/>
      <c r="EP38" s="732"/>
      <c r="EQ38" s="732"/>
      <c r="ER38" s="732"/>
      <c r="ES38" s="732"/>
      <c r="ET38" s="732"/>
      <c r="EU38" s="732"/>
      <c r="EV38" s="732"/>
      <c r="EW38" s="732"/>
      <c r="EX38" s="226"/>
      <c r="EY38" s="187"/>
      <c r="EZ38" s="187"/>
      <c r="FA38" s="187"/>
      <c r="FB38" s="187"/>
      <c r="FC38" s="187"/>
      <c r="FD38" s="187"/>
    </row>
    <row r="39" spans="1:160" s="8" customFormat="1" ht="13.5" customHeight="1">
      <c r="A39" s="192"/>
      <c r="B39" s="1625"/>
      <c r="C39" s="197" t="s">
        <v>827</v>
      </c>
      <c r="D39" s="198"/>
      <c r="E39" s="199"/>
      <c r="F39" s="764"/>
      <c r="G39" s="764"/>
      <c r="H39" s="764"/>
      <c r="I39" s="199"/>
      <c r="J39" s="764"/>
      <c r="K39" s="764"/>
      <c r="L39" s="764"/>
      <c r="M39" s="764"/>
      <c r="N39" s="199">
        <f>N36/N35*1000</f>
        <v>0</v>
      </c>
      <c r="O39" s="199">
        <f t="shared" ref="O39:P39" si="2">O36/O35*1000</f>
        <v>0</v>
      </c>
      <c r="P39" s="199">
        <f t="shared" si="2"/>
        <v>0</v>
      </c>
      <c r="Q39" s="199" t="e">
        <f>Q36/Q35*1000</f>
        <v>#DIV/0!</v>
      </c>
      <c r="R39" s="199" t="e">
        <f>R36/R35*1000</f>
        <v>#DIV/0!</v>
      </c>
      <c r="S39" s="732"/>
      <c r="T39" s="732"/>
      <c r="U39" s="226"/>
      <c r="V39" s="226"/>
      <c r="W39" s="226"/>
      <c r="X39" s="226"/>
      <c r="Y39" s="732"/>
      <c r="Z39" s="732"/>
      <c r="AA39" s="732"/>
      <c r="AB39" s="732"/>
      <c r="AC39" s="732"/>
      <c r="AD39" s="732"/>
      <c r="AE39" s="732"/>
      <c r="AF39" s="732"/>
      <c r="AG39" s="732"/>
      <c r="AH39" s="732"/>
      <c r="AI39" s="732"/>
      <c r="AJ39" s="732"/>
      <c r="AK39" s="732"/>
      <c r="AL39" s="732"/>
      <c r="AM39" s="732"/>
      <c r="AN39" s="732"/>
      <c r="AO39" s="732"/>
      <c r="AP39" s="732"/>
      <c r="AQ39" s="732"/>
      <c r="AR39" s="732"/>
      <c r="AS39" s="732"/>
      <c r="AT39" s="732"/>
      <c r="AU39" s="732"/>
      <c r="AV39" s="732"/>
      <c r="AW39" s="732"/>
      <c r="AX39" s="732"/>
      <c r="AY39" s="732"/>
      <c r="AZ39" s="732"/>
      <c r="BA39" s="732"/>
      <c r="BB39" s="732"/>
      <c r="BC39" s="732"/>
      <c r="BD39" s="732"/>
      <c r="BE39" s="732"/>
      <c r="BF39" s="732"/>
      <c r="BG39" s="732"/>
      <c r="BH39" s="732"/>
      <c r="BI39" s="732"/>
      <c r="BJ39" s="732"/>
      <c r="BK39" s="732"/>
      <c r="BL39" s="732"/>
      <c r="BM39" s="732"/>
      <c r="BN39" s="732"/>
      <c r="BO39" s="732"/>
      <c r="BP39" s="732"/>
      <c r="BQ39" s="732"/>
      <c r="BR39" s="732"/>
      <c r="BS39" s="732"/>
      <c r="BT39" s="732"/>
      <c r="BU39" s="732"/>
      <c r="BV39" s="732"/>
      <c r="BW39" s="226"/>
      <c r="BX39" s="732"/>
      <c r="BY39" s="732"/>
      <c r="BZ39" s="732"/>
      <c r="CA39" s="732"/>
      <c r="CB39" s="732"/>
      <c r="CC39" s="732"/>
      <c r="CD39" s="732"/>
      <c r="CE39" s="732"/>
      <c r="CF39" s="732"/>
      <c r="CG39" s="732"/>
      <c r="CH39" s="732"/>
      <c r="CI39" s="732"/>
      <c r="CJ39" s="732"/>
      <c r="CK39" s="732"/>
      <c r="CL39" s="732"/>
      <c r="CM39" s="732"/>
      <c r="CN39" s="732"/>
      <c r="CO39" s="732"/>
      <c r="CP39" s="732"/>
      <c r="CQ39" s="732"/>
      <c r="CR39" s="732"/>
      <c r="CS39" s="732"/>
      <c r="CT39" s="732"/>
      <c r="CU39" s="732"/>
      <c r="CV39" s="732"/>
      <c r="CW39" s="732"/>
      <c r="CX39" s="732"/>
      <c r="CY39" s="732"/>
      <c r="CZ39" s="732"/>
      <c r="DA39" s="732"/>
      <c r="DB39" s="732"/>
      <c r="DC39" s="732"/>
      <c r="DD39" s="732"/>
      <c r="DE39" s="732"/>
      <c r="DF39" s="732"/>
      <c r="DG39" s="732"/>
      <c r="DH39" s="732"/>
      <c r="DI39" s="732"/>
      <c r="DJ39" s="732"/>
      <c r="DK39" s="732"/>
      <c r="DL39" s="226"/>
      <c r="DM39" s="732"/>
      <c r="DN39" s="226"/>
      <c r="DO39" s="732"/>
      <c r="DP39" s="732"/>
      <c r="DQ39" s="732"/>
      <c r="DR39" s="732"/>
      <c r="DS39" s="732"/>
      <c r="DT39" s="732"/>
      <c r="DU39" s="732"/>
      <c r="DV39" s="732"/>
      <c r="DW39" s="732"/>
      <c r="DX39" s="732"/>
      <c r="DY39" s="732"/>
      <c r="DZ39" s="732"/>
      <c r="EA39" s="732"/>
      <c r="EB39" s="732"/>
      <c r="EC39" s="732"/>
      <c r="ED39" s="732"/>
      <c r="EE39" s="732"/>
      <c r="EF39" s="732"/>
      <c r="EG39" s="732"/>
      <c r="EH39" s="732"/>
      <c r="EI39" s="732"/>
      <c r="EJ39" s="732"/>
      <c r="EK39" s="732"/>
      <c r="EL39" s="732"/>
      <c r="EM39" s="732"/>
      <c r="EN39" s="732"/>
      <c r="EO39" s="732"/>
      <c r="EP39" s="732"/>
      <c r="EQ39" s="732"/>
      <c r="ER39" s="732"/>
      <c r="ES39" s="732"/>
      <c r="ET39" s="732"/>
      <c r="EU39" s="732"/>
      <c r="EV39" s="732"/>
      <c r="EW39" s="732"/>
      <c r="EX39" s="226"/>
      <c r="EY39" s="187"/>
      <c r="EZ39" s="187"/>
      <c r="FA39" s="187"/>
      <c r="FB39" s="187"/>
      <c r="FC39" s="187"/>
      <c r="FD39" s="187"/>
    </row>
    <row r="40" spans="1:160" s="8" customFormat="1" ht="26.25" customHeight="1">
      <c r="A40" s="192"/>
      <c r="B40" s="195" t="s">
        <v>966</v>
      </c>
      <c r="C40" s="200"/>
      <c r="D40" s="201">
        <v>11</v>
      </c>
      <c r="E40" s="201">
        <v>6.9</v>
      </c>
      <c r="F40" s="201">
        <v>6.9</v>
      </c>
      <c r="G40" s="201">
        <v>6.9</v>
      </c>
      <c r="H40" s="201">
        <v>6.9</v>
      </c>
      <c r="I40" s="201">
        <v>6.9</v>
      </c>
      <c r="J40" s="201">
        <v>6.9</v>
      </c>
      <c r="K40" s="201">
        <v>6.9</v>
      </c>
      <c r="L40" s="201">
        <v>6.9</v>
      </c>
      <c r="M40" s="201">
        <v>6.9</v>
      </c>
      <c r="N40" s="201">
        <v>6.9</v>
      </c>
      <c r="O40" s="201">
        <v>6.9</v>
      </c>
      <c r="P40" s="201">
        <v>6.9</v>
      </c>
      <c r="Q40" s="201">
        <v>6.9</v>
      </c>
      <c r="R40" s="201">
        <v>6.9</v>
      </c>
      <c r="S40" s="772"/>
      <c r="T40" s="772"/>
      <c r="U40" s="201"/>
      <c r="V40" s="201"/>
      <c r="W40" s="201"/>
      <c r="X40" s="201"/>
      <c r="Y40" s="772"/>
      <c r="Z40" s="772"/>
      <c r="AA40" s="772"/>
      <c r="AB40" s="772"/>
      <c r="AC40" s="772"/>
      <c r="AD40" s="772"/>
      <c r="AE40" s="772"/>
      <c r="AF40" s="772"/>
      <c r="AG40" s="772"/>
      <c r="AH40" s="772"/>
      <c r="AI40" s="772"/>
      <c r="AJ40" s="772"/>
      <c r="AK40" s="772"/>
      <c r="AL40" s="772"/>
      <c r="AM40" s="772"/>
      <c r="AN40" s="772"/>
      <c r="AO40" s="772"/>
      <c r="AP40" s="772"/>
      <c r="AQ40" s="772"/>
      <c r="AR40" s="772"/>
      <c r="AS40" s="772"/>
      <c r="AT40" s="772"/>
      <c r="AU40" s="772"/>
      <c r="AV40" s="772"/>
      <c r="AW40" s="772"/>
      <c r="AX40" s="772"/>
      <c r="AY40" s="772"/>
      <c r="AZ40" s="772"/>
      <c r="BA40" s="772"/>
      <c r="BB40" s="772"/>
      <c r="BC40" s="772"/>
      <c r="BD40" s="772"/>
      <c r="BE40" s="772"/>
      <c r="BF40" s="772"/>
      <c r="BG40" s="772"/>
      <c r="BH40" s="772"/>
      <c r="BI40" s="772"/>
      <c r="BJ40" s="772"/>
      <c r="BK40" s="772"/>
      <c r="BL40" s="772"/>
      <c r="BM40" s="772"/>
      <c r="BN40" s="772"/>
      <c r="BO40" s="772"/>
      <c r="BP40" s="772"/>
      <c r="BQ40" s="772"/>
      <c r="BR40" s="772"/>
      <c r="BS40" s="772"/>
      <c r="BT40" s="772"/>
      <c r="BU40" s="772"/>
      <c r="BV40" s="772"/>
      <c r="BW40" s="201"/>
      <c r="BX40" s="772"/>
      <c r="BY40" s="772"/>
      <c r="BZ40" s="772"/>
      <c r="CA40" s="772"/>
      <c r="CB40" s="772"/>
      <c r="CC40" s="772"/>
      <c r="CD40" s="772"/>
      <c r="CE40" s="772"/>
      <c r="CF40" s="772"/>
      <c r="CG40" s="772"/>
      <c r="CH40" s="772"/>
      <c r="CI40" s="772"/>
      <c r="CJ40" s="772"/>
      <c r="CK40" s="772"/>
      <c r="CL40" s="772"/>
      <c r="CM40" s="772"/>
      <c r="CN40" s="772"/>
      <c r="CO40" s="772"/>
      <c r="CP40" s="772"/>
      <c r="CQ40" s="772"/>
      <c r="CR40" s="772"/>
      <c r="CS40" s="772"/>
      <c r="CT40" s="772"/>
      <c r="CU40" s="772"/>
      <c r="CV40" s="772"/>
      <c r="CW40" s="772"/>
      <c r="CX40" s="772"/>
      <c r="CY40" s="772"/>
      <c r="CZ40" s="772"/>
      <c r="DA40" s="772"/>
      <c r="DB40" s="772"/>
      <c r="DC40" s="772"/>
      <c r="DD40" s="772"/>
      <c r="DE40" s="772"/>
      <c r="DF40" s="772"/>
      <c r="DG40" s="772"/>
      <c r="DH40" s="772"/>
      <c r="DI40" s="772"/>
      <c r="DJ40" s="772"/>
      <c r="DK40" s="772"/>
      <c r="DL40" s="201"/>
      <c r="DM40" s="772"/>
      <c r="DN40" s="201"/>
      <c r="DO40" s="772"/>
      <c r="DP40" s="772"/>
      <c r="DQ40" s="772"/>
      <c r="DR40" s="772"/>
      <c r="DS40" s="772"/>
      <c r="DT40" s="772"/>
      <c r="DU40" s="772"/>
      <c r="DV40" s="772"/>
      <c r="DW40" s="772"/>
      <c r="DX40" s="772"/>
      <c r="DY40" s="772"/>
      <c r="DZ40" s="772"/>
      <c r="EA40" s="772"/>
      <c r="EB40" s="772"/>
      <c r="EC40" s="772"/>
      <c r="ED40" s="772"/>
      <c r="EE40" s="772"/>
      <c r="EF40" s="772"/>
      <c r="EG40" s="772"/>
      <c r="EH40" s="772"/>
      <c r="EI40" s="772"/>
      <c r="EJ40" s="772"/>
      <c r="EK40" s="772"/>
      <c r="EL40" s="772"/>
      <c r="EM40" s="772"/>
      <c r="EN40" s="772"/>
      <c r="EO40" s="772"/>
      <c r="EP40" s="772"/>
      <c r="EQ40" s="772"/>
      <c r="ER40" s="772"/>
      <c r="ES40" s="772"/>
      <c r="ET40" s="772"/>
      <c r="EU40" s="772"/>
      <c r="EV40" s="772"/>
      <c r="EW40" s="772"/>
      <c r="EX40" s="201"/>
      <c r="EY40" s="187"/>
      <c r="EZ40" s="187"/>
      <c r="FA40" s="187"/>
      <c r="FB40" s="187"/>
      <c r="FC40" s="187"/>
      <c r="FD40" s="187"/>
    </row>
    <row r="41" spans="1:160" ht="27.75" customHeight="1">
      <c r="A41" s="27"/>
      <c r="B41" s="202" t="s">
        <v>822</v>
      </c>
      <c r="C41" s="203"/>
      <c r="D41" s="204"/>
      <c r="E41" s="204"/>
      <c r="F41" s="204"/>
      <c r="G41" s="805"/>
      <c r="H41" s="805"/>
      <c r="I41" s="204"/>
      <c r="J41" s="805"/>
      <c r="K41" s="805"/>
      <c r="L41" s="805"/>
      <c r="M41" s="805"/>
      <c r="N41" s="204"/>
      <c r="O41" s="204"/>
      <c r="P41" s="204"/>
      <c r="Q41" s="204"/>
      <c r="R41" s="204"/>
      <c r="S41" s="736"/>
      <c r="T41" s="736"/>
      <c r="U41" s="89"/>
      <c r="V41" s="89"/>
      <c r="W41" s="89"/>
      <c r="X41" s="89"/>
      <c r="Y41" s="736"/>
      <c r="Z41" s="736"/>
      <c r="AA41" s="736"/>
      <c r="AB41" s="736"/>
      <c r="AC41" s="736"/>
      <c r="AD41" s="736"/>
      <c r="AE41" s="736"/>
      <c r="AF41" s="736"/>
      <c r="AG41" s="736">
        <v>1</v>
      </c>
      <c r="AH41" s="736">
        <v>2</v>
      </c>
      <c r="AI41" s="736"/>
      <c r="AJ41" s="736">
        <v>5</v>
      </c>
      <c r="AK41" s="736">
        <v>2</v>
      </c>
      <c r="AL41" s="736"/>
      <c r="AM41" s="736">
        <v>3</v>
      </c>
      <c r="AN41" s="736">
        <v>8</v>
      </c>
      <c r="AO41" s="736">
        <v>6</v>
      </c>
      <c r="AP41" s="736">
        <v>5</v>
      </c>
      <c r="AQ41" s="736">
        <v>3</v>
      </c>
      <c r="AR41" s="736">
        <v>11</v>
      </c>
      <c r="AS41" s="736">
        <v>5</v>
      </c>
      <c r="AT41" s="736">
        <v>7</v>
      </c>
      <c r="AU41" s="736">
        <v>3</v>
      </c>
      <c r="AV41" s="736">
        <v>7</v>
      </c>
      <c r="AW41" s="736">
        <v>6</v>
      </c>
      <c r="AX41" s="736">
        <v>1</v>
      </c>
      <c r="AY41" s="736"/>
      <c r="AZ41" s="736"/>
      <c r="BA41" s="736"/>
      <c r="BB41" s="736"/>
      <c r="BC41" s="736"/>
      <c r="BD41" s="736"/>
      <c r="BE41" s="736"/>
      <c r="BF41" s="736"/>
      <c r="BG41" s="736"/>
      <c r="BH41" s="736">
        <v>4</v>
      </c>
      <c r="BI41" s="736">
        <v>4</v>
      </c>
      <c r="BJ41" s="736">
        <v>5</v>
      </c>
      <c r="BK41" s="736">
        <v>4</v>
      </c>
      <c r="BL41" s="736">
        <v>5</v>
      </c>
      <c r="BM41" s="736">
        <v>3</v>
      </c>
      <c r="BN41" s="736">
        <v>4</v>
      </c>
      <c r="BO41" s="736"/>
      <c r="BP41" s="736"/>
      <c r="BQ41" s="89">
        <v>7</v>
      </c>
      <c r="BR41" s="736">
        <v>4</v>
      </c>
      <c r="BS41" s="736">
        <v>8</v>
      </c>
      <c r="BT41" s="736">
        <v>2</v>
      </c>
      <c r="BU41" s="736">
        <v>5</v>
      </c>
      <c r="BV41" s="736">
        <v>3</v>
      </c>
      <c r="BW41" s="89">
        <v>7</v>
      </c>
      <c r="BX41" s="736">
        <v>2</v>
      </c>
      <c r="BY41" s="736">
        <v>6</v>
      </c>
      <c r="BZ41" s="736">
        <v>6</v>
      </c>
      <c r="CA41" s="736">
        <v>8</v>
      </c>
      <c r="CB41" s="736"/>
      <c r="CC41" s="736">
        <v>5</v>
      </c>
      <c r="CD41" s="736">
        <v>4</v>
      </c>
      <c r="CE41" s="736">
        <v>5</v>
      </c>
      <c r="CF41" s="736">
        <v>5</v>
      </c>
      <c r="CG41" s="736">
        <v>1</v>
      </c>
      <c r="CH41" s="736">
        <v>1</v>
      </c>
      <c r="CI41" s="736">
        <v>1</v>
      </c>
      <c r="CJ41" s="736"/>
      <c r="CK41" s="736"/>
      <c r="CL41" s="736"/>
      <c r="CM41" s="736">
        <v>7</v>
      </c>
      <c r="CN41" s="736">
        <v>5</v>
      </c>
      <c r="CO41" s="736">
        <v>11</v>
      </c>
      <c r="CP41" s="736">
        <v>2</v>
      </c>
      <c r="CQ41" s="736">
        <v>3</v>
      </c>
      <c r="CR41" s="736">
        <v>7</v>
      </c>
      <c r="CS41" s="736">
        <v>4</v>
      </c>
      <c r="CT41" s="736">
        <v>5</v>
      </c>
      <c r="CU41" s="736">
        <v>10</v>
      </c>
      <c r="CV41" s="736">
        <v>13</v>
      </c>
      <c r="CW41" s="736">
        <v>3</v>
      </c>
      <c r="CX41" s="736">
        <v>4</v>
      </c>
      <c r="CY41" s="736">
        <v>6</v>
      </c>
      <c r="CZ41" s="736">
        <v>1</v>
      </c>
      <c r="DA41" s="736">
        <v>4</v>
      </c>
      <c r="DB41" s="736">
        <v>9</v>
      </c>
      <c r="DC41" s="736">
        <v>7</v>
      </c>
      <c r="DD41" s="736">
        <v>5</v>
      </c>
      <c r="DE41" s="736">
        <v>6</v>
      </c>
      <c r="DF41" s="736">
        <v>7</v>
      </c>
      <c r="DG41" s="736">
        <v>13</v>
      </c>
      <c r="DH41" s="736"/>
      <c r="DI41" s="736"/>
      <c r="DJ41" s="736"/>
      <c r="DK41" s="736"/>
      <c r="DL41" s="89"/>
      <c r="DM41" s="736"/>
      <c r="DN41" s="89"/>
      <c r="DO41" s="736">
        <v>6</v>
      </c>
      <c r="DP41" s="736">
        <v>10</v>
      </c>
      <c r="DQ41" s="736"/>
      <c r="DR41" s="736"/>
      <c r="DS41" s="736">
        <v>1</v>
      </c>
      <c r="DT41" s="736">
        <v>9</v>
      </c>
      <c r="DU41" s="736">
        <v>8</v>
      </c>
      <c r="DV41" s="736"/>
      <c r="DW41" s="736"/>
      <c r="DX41" s="736"/>
      <c r="DY41" s="736"/>
      <c r="DZ41" s="736"/>
      <c r="EA41" s="736">
        <v>3</v>
      </c>
      <c r="EB41" s="736">
        <v>12</v>
      </c>
      <c r="EC41" s="736">
        <v>12</v>
      </c>
      <c r="ED41" s="736">
        <v>2</v>
      </c>
      <c r="EE41" s="736">
        <v>3</v>
      </c>
      <c r="EF41" s="736">
        <v>2</v>
      </c>
      <c r="EG41" s="736">
        <v>2</v>
      </c>
      <c r="EH41" s="736"/>
      <c r="EI41" s="736"/>
      <c r="EJ41" s="736"/>
      <c r="EK41" s="736"/>
      <c r="EL41" s="736"/>
      <c r="EM41" s="736"/>
      <c r="EN41" s="736">
        <v>2</v>
      </c>
      <c r="EO41" s="736">
        <v>1</v>
      </c>
      <c r="EP41" s="736">
        <v>4</v>
      </c>
      <c r="EQ41" s="736">
        <v>1</v>
      </c>
      <c r="ER41" s="736"/>
      <c r="ES41" s="736"/>
      <c r="ET41" s="736"/>
      <c r="EU41" s="736">
        <v>2</v>
      </c>
      <c r="EV41" s="736">
        <v>4</v>
      </c>
      <c r="EW41" s="736">
        <v>5</v>
      </c>
      <c r="EX41" s="89">
        <v>4</v>
      </c>
    </row>
    <row r="42" spans="1:160" s="177" customFormat="1" ht="19.5" customHeight="1">
      <c r="A42" s="205"/>
      <c r="B42" s="206" t="s">
        <v>823</v>
      </c>
      <c r="C42" s="207"/>
      <c r="D42" s="208"/>
      <c r="E42" s="208"/>
      <c r="F42" s="765"/>
      <c r="G42" s="765"/>
      <c r="H42" s="765"/>
      <c r="I42" s="208"/>
      <c r="J42" s="765"/>
      <c r="K42" s="765"/>
      <c r="L42" s="765"/>
      <c r="M42" s="765"/>
      <c r="N42" s="208"/>
      <c r="O42" s="208"/>
      <c r="P42" s="208"/>
      <c r="Q42" s="208"/>
      <c r="R42" s="208"/>
      <c r="S42" s="733"/>
      <c r="T42" s="733"/>
      <c r="U42" s="227"/>
      <c r="V42" s="227"/>
      <c r="W42" s="227"/>
      <c r="X42" s="227"/>
      <c r="Y42" s="733"/>
      <c r="Z42" s="733"/>
      <c r="AA42" s="733"/>
      <c r="AB42" s="733"/>
      <c r="AC42" s="733"/>
      <c r="AD42" s="733"/>
      <c r="AE42" s="733"/>
      <c r="AF42" s="733"/>
      <c r="AG42" s="733"/>
      <c r="AH42" s="733"/>
      <c r="AI42" s="733"/>
      <c r="AJ42" s="733"/>
      <c r="AK42" s="733"/>
      <c r="AL42" s="733"/>
      <c r="AM42" s="733"/>
      <c r="AN42" s="733"/>
      <c r="AO42" s="733"/>
      <c r="AP42" s="733"/>
      <c r="AQ42" s="733"/>
      <c r="AR42" s="733"/>
      <c r="AS42" s="733"/>
      <c r="AT42" s="733"/>
      <c r="AU42" s="733"/>
      <c r="AV42" s="733"/>
      <c r="AW42" s="733"/>
      <c r="AX42" s="733"/>
      <c r="AY42" s="733"/>
      <c r="AZ42" s="733"/>
      <c r="BA42" s="733"/>
      <c r="BB42" s="733"/>
      <c r="BC42" s="733"/>
      <c r="BD42" s="733"/>
      <c r="BE42" s="733"/>
      <c r="BF42" s="733"/>
      <c r="BG42" s="733"/>
      <c r="BH42" s="733"/>
      <c r="BI42" s="733"/>
      <c r="BJ42" s="733"/>
      <c r="BK42" s="733"/>
      <c r="BL42" s="733"/>
      <c r="BM42" s="733"/>
      <c r="BN42" s="733"/>
      <c r="BO42" s="733"/>
      <c r="BP42" s="733"/>
      <c r="BQ42" s="733"/>
      <c r="BR42" s="733"/>
      <c r="BS42" s="733"/>
      <c r="BT42" s="733"/>
      <c r="BU42" s="733"/>
      <c r="BV42" s="733"/>
      <c r="BW42" s="733"/>
      <c r="BX42" s="733"/>
      <c r="BY42" s="733"/>
      <c r="BZ42" s="733"/>
      <c r="CA42" s="733"/>
      <c r="CB42" s="733"/>
      <c r="CC42" s="733"/>
      <c r="CD42" s="733"/>
      <c r="CE42" s="733"/>
      <c r="CF42" s="733"/>
      <c r="CG42" s="733"/>
      <c r="CH42" s="733"/>
      <c r="CI42" s="733"/>
      <c r="CJ42" s="733"/>
      <c r="CK42" s="733"/>
      <c r="CL42" s="733"/>
      <c r="CM42" s="733"/>
      <c r="CN42" s="733"/>
      <c r="CO42" s="733"/>
      <c r="CP42" s="733"/>
      <c r="CQ42" s="733"/>
      <c r="CR42" s="733"/>
      <c r="CS42" s="733"/>
      <c r="CT42" s="733"/>
      <c r="CU42" s="733"/>
      <c r="CV42" s="733"/>
      <c r="CW42" s="733"/>
      <c r="CX42" s="733"/>
      <c r="CY42" s="733"/>
      <c r="CZ42" s="733"/>
      <c r="DA42" s="733"/>
      <c r="DB42" s="733"/>
      <c r="DC42" s="733"/>
      <c r="DD42" s="733"/>
      <c r="DE42" s="733"/>
      <c r="DF42" s="733"/>
      <c r="DG42" s="733"/>
      <c r="DH42" s="733"/>
      <c r="DI42" s="733"/>
      <c r="DJ42" s="733"/>
      <c r="DK42" s="733"/>
      <c r="DL42" s="733"/>
      <c r="DM42" s="733"/>
      <c r="DN42" s="733"/>
      <c r="DO42" s="733"/>
      <c r="DP42" s="733"/>
      <c r="DQ42" s="733"/>
      <c r="DR42" s="733"/>
      <c r="DS42" s="733"/>
      <c r="DT42" s="733"/>
      <c r="DU42" s="733"/>
      <c r="DV42" s="733"/>
      <c r="DW42" s="733"/>
      <c r="DX42" s="733"/>
      <c r="DY42" s="733"/>
      <c r="DZ42" s="733"/>
      <c r="EA42" s="733"/>
      <c r="EB42" s="733"/>
      <c r="EC42" s="733"/>
      <c r="ED42" s="733"/>
      <c r="EE42" s="733"/>
      <c r="EF42" s="733"/>
      <c r="EG42" s="733"/>
      <c r="EH42" s="733"/>
      <c r="EI42" s="733"/>
      <c r="EJ42" s="733"/>
      <c r="EK42" s="733"/>
      <c r="EL42" s="733"/>
      <c r="EM42" s="733"/>
      <c r="EN42" s="733"/>
      <c r="EO42" s="733"/>
      <c r="EP42" s="733"/>
      <c r="EQ42" s="733"/>
      <c r="ER42" s="733"/>
      <c r="ES42" s="733"/>
      <c r="ET42" s="733"/>
      <c r="EU42" s="733"/>
      <c r="EV42" s="733"/>
      <c r="EW42" s="733"/>
      <c r="EX42" s="733"/>
    </row>
    <row r="43" spans="1:160" ht="15" customHeight="1">
      <c r="A43" s="27"/>
      <c r="B43" s="202" t="s">
        <v>965</v>
      </c>
      <c r="C43" s="209" t="s">
        <v>829</v>
      </c>
      <c r="D43" s="210"/>
      <c r="E43" s="210"/>
      <c r="F43" s="210"/>
      <c r="G43" s="210"/>
      <c r="H43" s="210"/>
      <c r="I43" s="210"/>
      <c r="J43" s="210"/>
      <c r="K43" s="210"/>
      <c r="L43" s="210"/>
      <c r="M43" s="210"/>
      <c r="N43" s="210"/>
      <c r="O43" s="210"/>
      <c r="P43" s="210"/>
      <c r="Q43" s="210"/>
      <c r="R43" s="210"/>
      <c r="S43" s="228" t="e">
        <f t="shared" ref="S43:EX43" si="3">1000*S42/S41</f>
        <v>#DIV/0!</v>
      </c>
      <c r="T43" s="228" t="e">
        <f t="shared" si="3"/>
        <v>#DIV/0!</v>
      </c>
      <c r="U43" s="228" t="e">
        <f t="shared" si="3"/>
        <v>#DIV/0!</v>
      </c>
      <c r="V43" s="228" t="e">
        <f t="shared" si="3"/>
        <v>#DIV/0!</v>
      </c>
      <c r="W43" s="228" t="e">
        <f t="shared" si="3"/>
        <v>#DIV/0!</v>
      </c>
      <c r="X43" s="228" t="e">
        <f t="shared" si="3"/>
        <v>#DIV/0!</v>
      </c>
      <c r="Y43" s="228" t="e">
        <f t="shared" si="3"/>
        <v>#DIV/0!</v>
      </c>
      <c r="Z43" s="228" t="e">
        <f t="shared" si="3"/>
        <v>#DIV/0!</v>
      </c>
      <c r="AA43" s="985"/>
      <c r="AB43" s="985"/>
      <c r="AC43" s="985"/>
      <c r="AD43" s="985"/>
      <c r="AE43" s="985"/>
      <c r="AF43" s="985"/>
      <c r="AG43" s="985"/>
      <c r="AH43" s="985"/>
      <c r="AI43" s="985"/>
      <c r="AJ43" s="228">
        <f t="shared" si="3"/>
        <v>0</v>
      </c>
      <c r="AK43" s="228">
        <f t="shared" si="3"/>
        <v>0</v>
      </c>
      <c r="AL43" s="228" t="e">
        <f t="shared" si="3"/>
        <v>#DIV/0!</v>
      </c>
      <c r="AM43" s="228">
        <f t="shared" si="3"/>
        <v>0</v>
      </c>
      <c r="AN43" s="228">
        <f t="shared" si="3"/>
        <v>0</v>
      </c>
      <c r="AO43" s="228">
        <f t="shared" si="3"/>
        <v>0</v>
      </c>
      <c r="AP43" s="228">
        <f t="shared" si="3"/>
        <v>0</v>
      </c>
      <c r="AQ43" s="228">
        <f t="shared" si="3"/>
        <v>0</v>
      </c>
      <c r="AR43" s="228">
        <f t="shared" si="3"/>
        <v>0</v>
      </c>
      <c r="AS43" s="228">
        <f t="shared" si="3"/>
        <v>0</v>
      </c>
      <c r="AT43" s="228">
        <f t="shared" si="3"/>
        <v>0</v>
      </c>
      <c r="AU43" s="228">
        <f t="shared" si="3"/>
        <v>0</v>
      </c>
      <c r="AV43" s="228">
        <f t="shared" si="3"/>
        <v>0</v>
      </c>
      <c r="AW43" s="228">
        <f t="shared" si="3"/>
        <v>0</v>
      </c>
      <c r="AX43" s="228">
        <f t="shared" si="3"/>
        <v>0</v>
      </c>
      <c r="AY43" s="228" t="e">
        <f t="shared" si="3"/>
        <v>#DIV/0!</v>
      </c>
      <c r="AZ43" s="228" t="e">
        <f t="shared" si="3"/>
        <v>#DIV/0!</v>
      </c>
      <c r="BA43" s="228" t="e">
        <f t="shared" si="3"/>
        <v>#DIV/0!</v>
      </c>
      <c r="BB43" s="228" t="e">
        <f t="shared" si="3"/>
        <v>#DIV/0!</v>
      </c>
      <c r="BC43" s="228" t="e">
        <f t="shared" si="3"/>
        <v>#DIV/0!</v>
      </c>
      <c r="BD43" s="228" t="e">
        <f t="shared" si="3"/>
        <v>#DIV/0!</v>
      </c>
      <c r="BE43" s="228" t="e">
        <f t="shared" si="3"/>
        <v>#DIV/0!</v>
      </c>
      <c r="BF43" s="228" t="e">
        <f t="shared" si="3"/>
        <v>#DIV/0!</v>
      </c>
      <c r="BG43" s="228" t="e">
        <f t="shared" si="3"/>
        <v>#DIV/0!</v>
      </c>
      <c r="BH43" s="228">
        <f t="shared" si="3"/>
        <v>0</v>
      </c>
      <c r="BI43" s="228">
        <f t="shared" si="3"/>
        <v>0</v>
      </c>
      <c r="BJ43" s="228">
        <f t="shared" si="3"/>
        <v>0</v>
      </c>
      <c r="BK43" s="228">
        <f t="shared" si="3"/>
        <v>0</v>
      </c>
      <c r="BL43" s="228">
        <f t="shared" si="3"/>
        <v>0</v>
      </c>
      <c r="BM43" s="228">
        <f t="shared" si="3"/>
        <v>0</v>
      </c>
      <c r="BN43" s="228">
        <f t="shared" si="3"/>
        <v>0</v>
      </c>
      <c r="BO43" s="228" t="e">
        <f t="shared" si="3"/>
        <v>#DIV/0!</v>
      </c>
      <c r="BP43" s="228" t="e">
        <f t="shared" si="3"/>
        <v>#DIV/0!</v>
      </c>
      <c r="BQ43" s="228">
        <f t="shared" si="3"/>
        <v>0</v>
      </c>
      <c r="BR43" s="228">
        <f t="shared" si="3"/>
        <v>0</v>
      </c>
      <c r="BS43" s="228">
        <f t="shared" si="3"/>
        <v>0</v>
      </c>
      <c r="BT43" s="228">
        <f t="shared" si="3"/>
        <v>0</v>
      </c>
      <c r="BU43" s="228">
        <f t="shared" si="3"/>
        <v>0</v>
      </c>
      <c r="BV43" s="228">
        <f t="shared" si="3"/>
        <v>0</v>
      </c>
      <c r="BW43" s="228">
        <f t="shared" si="3"/>
        <v>0</v>
      </c>
      <c r="BX43" s="228">
        <f t="shared" si="3"/>
        <v>0</v>
      </c>
      <c r="BY43" s="228">
        <f t="shared" si="3"/>
        <v>0</v>
      </c>
      <c r="BZ43" s="228">
        <f t="shared" si="3"/>
        <v>0</v>
      </c>
      <c r="CA43" s="228">
        <f t="shared" si="3"/>
        <v>0</v>
      </c>
      <c r="CB43" s="228" t="e">
        <f t="shared" si="3"/>
        <v>#DIV/0!</v>
      </c>
      <c r="CC43" s="228">
        <f t="shared" si="3"/>
        <v>0</v>
      </c>
      <c r="CD43" s="228">
        <f t="shared" si="3"/>
        <v>0</v>
      </c>
      <c r="CE43" s="228">
        <f t="shared" si="3"/>
        <v>0</v>
      </c>
      <c r="CF43" s="228">
        <f t="shared" si="3"/>
        <v>0</v>
      </c>
      <c r="CG43" s="228">
        <f t="shared" si="3"/>
        <v>0</v>
      </c>
      <c r="CH43" s="228">
        <f t="shared" si="3"/>
        <v>0</v>
      </c>
      <c r="CI43" s="228">
        <f t="shared" si="3"/>
        <v>0</v>
      </c>
      <c r="CJ43" s="228" t="e">
        <f t="shared" si="3"/>
        <v>#DIV/0!</v>
      </c>
      <c r="CK43" s="228" t="e">
        <f t="shared" si="3"/>
        <v>#DIV/0!</v>
      </c>
      <c r="CL43" s="228" t="e">
        <f t="shared" si="3"/>
        <v>#DIV/0!</v>
      </c>
      <c r="CM43" s="228">
        <f t="shared" si="3"/>
        <v>0</v>
      </c>
      <c r="CN43" s="228">
        <f t="shared" si="3"/>
        <v>0</v>
      </c>
      <c r="CO43" s="228">
        <f t="shared" si="3"/>
        <v>0</v>
      </c>
      <c r="CP43" s="228">
        <f t="shared" si="3"/>
        <v>0</v>
      </c>
      <c r="CQ43" s="228">
        <f t="shared" si="3"/>
        <v>0</v>
      </c>
      <c r="CR43" s="228">
        <f t="shared" si="3"/>
        <v>0</v>
      </c>
      <c r="CS43" s="228">
        <f t="shared" si="3"/>
        <v>0</v>
      </c>
      <c r="CT43" s="228">
        <f t="shared" si="3"/>
        <v>0</v>
      </c>
      <c r="CU43" s="228">
        <f t="shared" si="3"/>
        <v>0</v>
      </c>
      <c r="CV43" s="228">
        <f t="shared" si="3"/>
        <v>0</v>
      </c>
      <c r="CW43" s="228">
        <f t="shared" si="3"/>
        <v>0</v>
      </c>
      <c r="CX43" s="228">
        <f t="shared" si="3"/>
        <v>0</v>
      </c>
      <c r="CY43" s="228">
        <f t="shared" si="3"/>
        <v>0</v>
      </c>
      <c r="CZ43" s="228">
        <f t="shared" si="3"/>
        <v>0</v>
      </c>
      <c r="DA43" s="228">
        <f t="shared" si="3"/>
        <v>0</v>
      </c>
      <c r="DB43" s="228">
        <f t="shared" si="3"/>
        <v>0</v>
      </c>
      <c r="DC43" s="228">
        <f t="shared" si="3"/>
        <v>0</v>
      </c>
      <c r="DD43" s="228">
        <f t="shared" si="3"/>
        <v>0</v>
      </c>
      <c r="DE43" s="228">
        <f t="shared" si="3"/>
        <v>0</v>
      </c>
      <c r="DF43" s="228">
        <f t="shared" si="3"/>
        <v>0</v>
      </c>
      <c r="DG43" s="228">
        <f t="shared" si="3"/>
        <v>0</v>
      </c>
      <c r="DH43" s="228" t="e">
        <f t="shared" si="3"/>
        <v>#DIV/0!</v>
      </c>
      <c r="DI43" s="228" t="e">
        <f t="shared" si="3"/>
        <v>#DIV/0!</v>
      </c>
      <c r="DJ43" s="228" t="e">
        <f t="shared" si="3"/>
        <v>#DIV/0!</v>
      </c>
      <c r="DK43" s="228" t="e">
        <f t="shared" si="3"/>
        <v>#DIV/0!</v>
      </c>
      <c r="DL43" s="228" t="e">
        <f t="shared" si="3"/>
        <v>#DIV/0!</v>
      </c>
      <c r="DM43" s="228" t="e">
        <f t="shared" si="3"/>
        <v>#DIV/0!</v>
      </c>
      <c r="DN43" s="228" t="e">
        <f t="shared" si="3"/>
        <v>#DIV/0!</v>
      </c>
      <c r="DO43" s="228">
        <f t="shared" si="3"/>
        <v>0</v>
      </c>
      <c r="DP43" s="228">
        <f t="shared" si="3"/>
        <v>0</v>
      </c>
      <c r="DQ43" s="228" t="e">
        <f t="shared" si="3"/>
        <v>#DIV/0!</v>
      </c>
      <c r="DR43" s="228" t="e">
        <f t="shared" si="3"/>
        <v>#DIV/0!</v>
      </c>
      <c r="DS43" s="228">
        <f t="shared" si="3"/>
        <v>0</v>
      </c>
      <c r="DT43" s="228">
        <f t="shared" si="3"/>
        <v>0</v>
      </c>
      <c r="DU43" s="228">
        <f t="shared" si="3"/>
        <v>0</v>
      </c>
      <c r="DV43" s="228" t="e">
        <f t="shared" si="3"/>
        <v>#DIV/0!</v>
      </c>
      <c r="DW43" s="228" t="e">
        <f t="shared" si="3"/>
        <v>#DIV/0!</v>
      </c>
      <c r="DX43" s="228" t="e">
        <f t="shared" si="3"/>
        <v>#DIV/0!</v>
      </c>
      <c r="DY43" s="228" t="e">
        <f t="shared" si="3"/>
        <v>#DIV/0!</v>
      </c>
      <c r="DZ43" s="228" t="e">
        <f t="shared" si="3"/>
        <v>#DIV/0!</v>
      </c>
      <c r="EA43" s="228">
        <f t="shared" si="3"/>
        <v>0</v>
      </c>
      <c r="EB43" s="228">
        <f t="shared" si="3"/>
        <v>0</v>
      </c>
      <c r="EC43" s="228">
        <f t="shared" si="3"/>
        <v>0</v>
      </c>
      <c r="ED43" s="228">
        <f t="shared" si="3"/>
        <v>0</v>
      </c>
      <c r="EE43" s="228">
        <f t="shared" si="3"/>
        <v>0</v>
      </c>
      <c r="EF43" s="228">
        <f t="shared" si="3"/>
        <v>0</v>
      </c>
      <c r="EG43" s="228">
        <f t="shared" si="3"/>
        <v>0</v>
      </c>
      <c r="EH43" s="228" t="e">
        <f t="shared" si="3"/>
        <v>#DIV/0!</v>
      </c>
      <c r="EI43" s="228" t="e">
        <f t="shared" si="3"/>
        <v>#DIV/0!</v>
      </c>
      <c r="EJ43" s="228" t="e">
        <f t="shared" si="3"/>
        <v>#DIV/0!</v>
      </c>
      <c r="EK43" s="228" t="e">
        <f t="shared" si="3"/>
        <v>#DIV/0!</v>
      </c>
      <c r="EL43" s="228" t="e">
        <f t="shared" si="3"/>
        <v>#DIV/0!</v>
      </c>
      <c r="EM43" s="228" t="e">
        <f t="shared" si="3"/>
        <v>#DIV/0!</v>
      </c>
      <c r="EN43" s="228">
        <f t="shared" si="3"/>
        <v>0</v>
      </c>
      <c r="EO43" s="228">
        <f t="shared" si="3"/>
        <v>0</v>
      </c>
      <c r="EP43" s="228">
        <f t="shared" si="3"/>
        <v>0</v>
      </c>
      <c r="EQ43" s="228">
        <f t="shared" si="3"/>
        <v>0</v>
      </c>
      <c r="ER43" s="228" t="e">
        <f t="shared" si="3"/>
        <v>#DIV/0!</v>
      </c>
      <c r="ES43" s="228" t="e">
        <f t="shared" si="3"/>
        <v>#DIV/0!</v>
      </c>
      <c r="ET43" s="228" t="e">
        <f t="shared" si="3"/>
        <v>#DIV/0!</v>
      </c>
      <c r="EU43" s="228">
        <f t="shared" si="3"/>
        <v>0</v>
      </c>
      <c r="EV43" s="228">
        <f t="shared" si="3"/>
        <v>0</v>
      </c>
      <c r="EW43" s="228">
        <f t="shared" si="3"/>
        <v>0</v>
      </c>
      <c r="EX43" s="228">
        <f t="shared" si="3"/>
        <v>0</v>
      </c>
    </row>
    <row r="44" spans="1:160">
      <c r="A44" s="63"/>
      <c r="B44" s="1626"/>
      <c r="C44" s="64"/>
      <c r="D44" s="64"/>
      <c r="E44" s="76"/>
      <c r="F44" s="76"/>
      <c r="G44" s="76"/>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c r="CW44" s="76"/>
      <c r="CX44" s="76"/>
      <c r="CY44" s="76"/>
      <c r="CZ44" s="76"/>
      <c r="DA44" s="76"/>
      <c r="DB44" s="76"/>
      <c r="DC44" s="76"/>
      <c r="DD44" s="76"/>
      <c r="DE44" s="76"/>
      <c r="DF44" s="76"/>
      <c r="DG44" s="76"/>
      <c r="DH44" s="76"/>
      <c r="DI44" s="76"/>
      <c r="DJ44" s="76"/>
      <c r="DK44" s="76"/>
      <c r="DL44" s="76"/>
      <c r="DM44" s="76"/>
      <c r="DN44" s="76"/>
      <c r="DO44" s="76"/>
      <c r="DP44" s="76"/>
      <c r="DQ44" s="76"/>
      <c r="DR44" s="76"/>
      <c r="DS44" s="76"/>
      <c r="DT44" s="76"/>
      <c r="DU44" s="76"/>
      <c r="DV44" s="76"/>
      <c r="DW44" s="76"/>
      <c r="DX44" s="76"/>
      <c r="DY44" s="76"/>
      <c r="DZ44" s="76"/>
      <c r="EA44" s="76"/>
      <c r="EB44" s="76"/>
      <c r="EC44" s="76"/>
      <c r="ED44" s="76"/>
      <c r="EE44" s="76"/>
      <c r="EF44" s="76"/>
      <c r="EG44" s="76"/>
      <c r="EH44" s="76"/>
      <c r="EI44" s="76"/>
      <c r="EJ44" s="76"/>
      <c r="EK44" s="76"/>
      <c r="EL44" s="76"/>
      <c r="EM44" s="76"/>
      <c r="EN44" s="76"/>
      <c r="EO44" s="76"/>
      <c r="EP44" s="76"/>
      <c r="EQ44" s="76"/>
      <c r="ER44" s="76"/>
      <c r="ES44" s="76"/>
      <c r="ET44" s="76"/>
      <c r="EU44" s="76"/>
      <c r="EV44" s="76"/>
      <c r="EW44" s="76"/>
      <c r="EX44" s="76"/>
    </row>
    <row r="45" spans="1:160" ht="5.25" customHeight="1">
      <c r="A45" s="63"/>
      <c r="B45" s="1627"/>
      <c r="C45" s="64"/>
      <c r="D45" s="64"/>
      <c r="E45" s="80"/>
      <c r="F45" s="80"/>
      <c r="G45" s="80"/>
      <c r="H45" s="80"/>
      <c r="I45" s="80"/>
      <c r="J45" s="80"/>
      <c r="K45" s="80"/>
      <c r="L45" s="80"/>
      <c r="M45" s="80"/>
      <c r="N45" s="80"/>
      <c r="O45" s="80"/>
      <c r="P45" s="80"/>
      <c r="Q45" s="80"/>
      <c r="R45" s="80"/>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82"/>
      <c r="BX45" s="82"/>
      <c r="BY45" s="82"/>
      <c r="BZ45" s="82"/>
      <c r="CA45" s="82"/>
      <c r="CB45" s="82"/>
      <c r="CC45" s="82"/>
      <c r="CD45" s="82"/>
      <c r="CE45" s="82"/>
      <c r="CF45" s="82"/>
      <c r="CG45" s="82"/>
      <c r="CH45" s="82"/>
      <c r="CI45" s="82"/>
      <c r="CJ45" s="82"/>
      <c r="CK45" s="82"/>
      <c r="CL45" s="82"/>
      <c r="CM45" s="82"/>
      <c r="CN45" s="82"/>
      <c r="CO45" s="82"/>
      <c r="CP45" s="82"/>
      <c r="CQ45" s="82"/>
      <c r="CR45" s="82"/>
      <c r="CS45" s="82"/>
      <c r="CT45" s="82"/>
      <c r="CU45" s="82"/>
      <c r="CV45" s="82"/>
      <c r="CW45" s="82"/>
      <c r="CX45" s="82"/>
      <c r="CY45" s="82"/>
      <c r="CZ45" s="82"/>
      <c r="DA45" s="82"/>
      <c r="DB45" s="82"/>
      <c r="DC45" s="82"/>
      <c r="DD45" s="82"/>
      <c r="DE45" s="82"/>
      <c r="DF45" s="82"/>
      <c r="DG45" s="82"/>
      <c r="DH45" s="82"/>
      <c r="DI45" s="82"/>
      <c r="DJ45" s="82"/>
      <c r="DK45" s="82"/>
      <c r="DL45" s="82"/>
      <c r="DM45" s="82"/>
      <c r="DN45" s="82"/>
      <c r="DO45" s="82"/>
      <c r="DP45" s="82"/>
      <c r="DQ45" s="82"/>
      <c r="DR45" s="82"/>
      <c r="DS45" s="82"/>
      <c r="DT45" s="82"/>
      <c r="DU45" s="82"/>
      <c r="DV45" s="82"/>
      <c r="DW45" s="82"/>
      <c r="DX45" s="82"/>
      <c r="DY45" s="82"/>
      <c r="DZ45" s="82"/>
      <c r="EA45" s="82"/>
      <c r="EB45" s="82"/>
      <c r="EC45" s="82"/>
      <c r="ED45" s="82"/>
      <c r="EE45" s="82"/>
      <c r="EF45" s="82"/>
      <c r="EG45" s="82"/>
      <c r="EH45" s="82"/>
      <c r="EI45" s="82"/>
      <c r="EJ45" s="82"/>
      <c r="EK45" s="82"/>
      <c r="EL45" s="82"/>
      <c r="EM45" s="82"/>
      <c r="EN45" s="82"/>
      <c r="EO45" s="82"/>
      <c r="EP45" s="82"/>
      <c r="EQ45" s="82"/>
      <c r="ER45" s="82"/>
      <c r="ES45" s="82"/>
      <c r="ET45" s="82"/>
      <c r="EU45" s="82"/>
      <c r="EV45" s="82"/>
      <c r="EW45" s="82"/>
      <c r="EX45" s="82"/>
    </row>
    <row r="46" spans="1:160" ht="31.5" customHeight="1">
      <c r="A46" s="1622" t="s">
        <v>967</v>
      </c>
      <c r="B46" s="1628" t="s">
        <v>830</v>
      </c>
      <c r="C46" s="66" t="s">
        <v>968</v>
      </c>
      <c r="D46" s="66"/>
      <c r="E46" s="1606" t="s">
        <v>75</v>
      </c>
      <c r="F46" s="1606" t="s">
        <v>1160</v>
      </c>
      <c r="G46" s="1606" t="s">
        <v>1175</v>
      </c>
      <c r="H46" s="1642" t="s">
        <v>1208</v>
      </c>
      <c r="I46" s="1642" t="s">
        <v>1255</v>
      </c>
      <c r="J46" s="1642" t="s">
        <v>1296</v>
      </c>
      <c r="K46" s="1642" t="s">
        <v>1319</v>
      </c>
      <c r="L46" s="1642" t="s">
        <v>1385</v>
      </c>
      <c r="M46" s="1642" t="s">
        <v>1439</v>
      </c>
      <c r="N46" s="1606" t="s">
        <v>817</v>
      </c>
      <c r="O46" s="1606" t="s">
        <v>818</v>
      </c>
      <c r="P46" s="1606" t="s">
        <v>819</v>
      </c>
      <c r="Q46" s="1606" t="s">
        <v>820</v>
      </c>
      <c r="R46" s="1606" t="s">
        <v>821</v>
      </c>
      <c r="S46" s="304" t="s">
        <v>835</v>
      </c>
      <c r="T46" s="304" t="s">
        <v>835</v>
      </c>
      <c r="U46" s="304" t="s">
        <v>835</v>
      </c>
      <c r="V46" s="304" t="s">
        <v>835</v>
      </c>
      <c r="W46" s="304" t="s">
        <v>835</v>
      </c>
      <c r="X46" s="304" t="s">
        <v>835</v>
      </c>
      <c r="Y46" s="304" t="s">
        <v>835</v>
      </c>
      <c r="Z46" s="304" t="s">
        <v>835</v>
      </c>
      <c r="AA46" s="304" t="s">
        <v>835</v>
      </c>
      <c r="AB46" s="304" t="s">
        <v>835</v>
      </c>
      <c r="AC46" s="304" t="s">
        <v>835</v>
      </c>
      <c r="AD46" s="304" t="s">
        <v>835</v>
      </c>
      <c r="AE46" s="304" t="s">
        <v>835</v>
      </c>
      <c r="AF46" s="304" t="s">
        <v>835</v>
      </c>
      <c r="AG46" s="304" t="s">
        <v>835</v>
      </c>
      <c r="AH46" s="304" t="s">
        <v>835</v>
      </c>
      <c r="AI46" s="304" t="s">
        <v>835</v>
      </c>
      <c r="AJ46" s="304" t="s">
        <v>835</v>
      </c>
      <c r="AK46" s="304" t="s">
        <v>835</v>
      </c>
      <c r="AL46" s="304" t="s">
        <v>835</v>
      </c>
      <c r="AM46" s="304" t="s">
        <v>835</v>
      </c>
      <c r="AN46" s="304" t="s">
        <v>835</v>
      </c>
      <c r="AO46" s="304" t="s">
        <v>835</v>
      </c>
      <c r="AP46" s="304" t="s">
        <v>835</v>
      </c>
      <c r="AQ46" s="304" t="s">
        <v>835</v>
      </c>
      <c r="AR46" s="304" t="s">
        <v>835</v>
      </c>
      <c r="AS46" s="304" t="s">
        <v>835</v>
      </c>
      <c r="AT46" s="304" t="s">
        <v>835</v>
      </c>
      <c r="AU46" s="304" t="s">
        <v>835</v>
      </c>
      <c r="AV46" s="304" t="s">
        <v>835</v>
      </c>
      <c r="AW46" s="304" t="s">
        <v>835</v>
      </c>
      <c r="AX46" s="304" t="s">
        <v>835</v>
      </c>
      <c r="AY46" s="304" t="s">
        <v>835</v>
      </c>
      <c r="AZ46" s="304" t="s">
        <v>835</v>
      </c>
      <c r="BA46" s="304" t="s">
        <v>835</v>
      </c>
      <c r="BB46" s="304" t="s">
        <v>835</v>
      </c>
      <c r="BC46" s="304" t="s">
        <v>835</v>
      </c>
      <c r="BD46" s="304" t="s">
        <v>835</v>
      </c>
      <c r="BE46" s="304" t="s">
        <v>835</v>
      </c>
      <c r="BF46" s="304" t="s">
        <v>835</v>
      </c>
      <c r="BG46" s="304" t="s">
        <v>835</v>
      </c>
      <c r="BH46" s="304" t="s">
        <v>835</v>
      </c>
      <c r="BI46" s="304" t="s">
        <v>835</v>
      </c>
      <c r="BJ46" s="304" t="s">
        <v>835</v>
      </c>
      <c r="BK46" s="304" t="s">
        <v>835</v>
      </c>
      <c r="BL46" s="304" t="s">
        <v>835</v>
      </c>
      <c r="BM46" s="304" t="s">
        <v>835</v>
      </c>
      <c r="BN46" s="304" t="s">
        <v>835</v>
      </c>
      <c r="BO46" s="304" t="s">
        <v>835</v>
      </c>
      <c r="BP46" s="304" t="s">
        <v>835</v>
      </c>
      <c r="BQ46" s="304" t="s">
        <v>835</v>
      </c>
      <c r="BR46" s="304" t="s">
        <v>835</v>
      </c>
      <c r="BS46" s="304" t="s">
        <v>835</v>
      </c>
      <c r="BT46" s="304" t="s">
        <v>835</v>
      </c>
      <c r="BU46" s="304" t="s">
        <v>835</v>
      </c>
      <c r="BV46" s="304" t="s">
        <v>835</v>
      </c>
      <c r="BW46" s="304" t="s">
        <v>835</v>
      </c>
      <c r="BX46" s="304" t="s">
        <v>835</v>
      </c>
      <c r="BY46" s="304" t="s">
        <v>835</v>
      </c>
      <c r="BZ46" s="304" t="s">
        <v>835</v>
      </c>
      <c r="CA46" s="304" t="s">
        <v>835</v>
      </c>
      <c r="CB46" s="304" t="s">
        <v>835</v>
      </c>
      <c r="CC46" s="304" t="s">
        <v>835</v>
      </c>
      <c r="CD46" s="304" t="s">
        <v>835</v>
      </c>
      <c r="CE46" s="304" t="s">
        <v>835</v>
      </c>
      <c r="CF46" s="1207"/>
      <c r="CG46" s="304" t="s">
        <v>835</v>
      </c>
      <c r="CH46" s="304" t="s">
        <v>835</v>
      </c>
      <c r="CI46" s="304" t="s">
        <v>835</v>
      </c>
      <c r="CJ46" s="304" t="s">
        <v>835</v>
      </c>
      <c r="CK46" s="304" t="s">
        <v>835</v>
      </c>
      <c r="CL46" s="304" t="s">
        <v>835</v>
      </c>
      <c r="CM46" s="304" t="s">
        <v>835</v>
      </c>
      <c r="CN46" s="304" t="s">
        <v>835</v>
      </c>
      <c r="CO46" s="304" t="s">
        <v>835</v>
      </c>
      <c r="CP46" s="304" t="s">
        <v>835</v>
      </c>
      <c r="CQ46" s="304" t="s">
        <v>835</v>
      </c>
      <c r="CR46" s="304" t="s">
        <v>835</v>
      </c>
      <c r="CS46" s="304" t="s">
        <v>835</v>
      </c>
      <c r="CT46" s="304" t="s">
        <v>835</v>
      </c>
      <c r="CU46" s="304" t="s">
        <v>835</v>
      </c>
      <c r="CV46" s="304" t="s">
        <v>835</v>
      </c>
      <c r="CW46" s="304" t="s">
        <v>835</v>
      </c>
      <c r="CX46" s="304" t="s">
        <v>835</v>
      </c>
      <c r="CY46" s="304" t="s">
        <v>835</v>
      </c>
      <c r="CZ46" s="304" t="s">
        <v>835</v>
      </c>
      <c r="DA46" s="304" t="s">
        <v>835</v>
      </c>
      <c r="DB46" s="304" t="s">
        <v>835</v>
      </c>
      <c r="DC46" s="304" t="s">
        <v>835</v>
      </c>
      <c r="DD46" s="304" t="s">
        <v>835</v>
      </c>
      <c r="DE46" s="304" t="s">
        <v>835</v>
      </c>
      <c r="DF46" s="304" t="s">
        <v>835</v>
      </c>
      <c r="DG46" s="304" t="s">
        <v>835</v>
      </c>
      <c r="DH46" s="304" t="s">
        <v>835</v>
      </c>
      <c r="DI46" s="304" t="s">
        <v>835</v>
      </c>
      <c r="DJ46" s="304" t="s">
        <v>835</v>
      </c>
      <c r="DK46" s="304" t="s">
        <v>835</v>
      </c>
      <c r="DL46" s="304" t="s">
        <v>835</v>
      </c>
      <c r="DM46" s="304" t="s">
        <v>835</v>
      </c>
      <c r="DN46" s="304" t="s">
        <v>835</v>
      </c>
      <c r="DO46" s="304" t="s">
        <v>835</v>
      </c>
      <c r="DP46" s="304" t="s">
        <v>835</v>
      </c>
      <c r="DQ46" s="304" t="s">
        <v>835</v>
      </c>
      <c r="DR46" s="304" t="s">
        <v>835</v>
      </c>
      <c r="DS46" s="304" t="s">
        <v>835</v>
      </c>
      <c r="DT46" s="304" t="s">
        <v>835</v>
      </c>
      <c r="DU46" s="304" t="s">
        <v>835</v>
      </c>
      <c r="DV46" s="304" t="s">
        <v>835</v>
      </c>
      <c r="DW46" s="304" t="s">
        <v>835</v>
      </c>
      <c r="DX46" s="304" t="s">
        <v>835</v>
      </c>
      <c r="DY46" s="304" t="s">
        <v>835</v>
      </c>
      <c r="DZ46" s="304" t="s">
        <v>835</v>
      </c>
      <c r="EA46" s="304" t="s">
        <v>835</v>
      </c>
      <c r="EB46" s="304" t="s">
        <v>835</v>
      </c>
      <c r="EC46" s="304" t="s">
        <v>835</v>
      </c>
      <c r="ED46" s="304" t="s">
        <v>835</v>
      </c>
      <c r="EE46" s="304" t="s">
        <v>835</v>
      </c>
      <c r="EF46" s="304" t="s">
        <v>835</v>
      </c>
      <c r="EG46" s="304" t="s">
        <v>835</v>
      </c>
      <c r="EH46" s="304" t="s">
        <v>835</v>
      </c>
      <c r="EI46" s="304" t="s">
        <v>835</v>
      </c>
      <c r="EJ46" s="304" t="s">
        <v>835</v>
      </c>
      <c r="EK46" s="304" t="s">
        <v>835</v>
      </c>
      <c r="EL46" s="304" t="s">
        <v>835</v>
      </c>
      <c r="EM46" s="304" t="s">
        <v>835</v>
      </c>
      <c r="EN46" s="304" t="s">
        <v>835</v>
      </c>
      <c r="EO46" s="304" t="s">
        <v>835</v>
      </c>
      <c r="EP46" s="304" t="s">
        <v>835</v>
      </c>
      <c r="EQ46" s="304" t="s">
        <v>835</v>
      </c>
      <c r="ER46" s="304" t="s">
        <v>835</v>
      </c>
      <c r="ES46" s="304" t="s">
        <v>835</v>
      </c>
      <c r="ET46" s="304" t="s">
        <v>835</v>
      </c>
      <c r="EU46" s="304" t="s">
        <v>835</v>
      </c>
      <c r="EV46" s="304" t="s">
        <v>835</v>
      </c>
      <c r="EW46" s="304" t="s">
        <v>835</v>
      </c>
      <c r="EX46" s="304" t="s">
        <v>835</v>
      </c>
      <c r="EY46" s="1587"/>
      <c r="EZ46" s="1611" t="s">
        <v>838</v>
      </c>
      <c r="FA46" s="1587" t="s">
        <v>32</v>
      </c>
      <c r="FB46" s="1615" t="s">
        <v>969</v>
      </c>
      <c r="FC46" s="1587" t="s">
        <v>74</v>
      </c>
    </row>
    <row r="47" spans="1:160" s="12" customFormat="1" ht="15" customHeight="1">
      <c r="A47" s="1623"/>
      <c r="B47" s="1628"/>
      <c r="C47" s="1580" t="s">
        <v>836</v>
      </c>
      <c r="D47" s="1587" t="s">
        <v>837</v>
      </c>
      <c r="E47" s="1640"/>
      <c r="F47" s="1640" t="s">
        <v>816</v>
      </c>
      <c r="G47" s="1640" t="s">
        <v>816</v>
      </c>
      <c r="H47" s="1607"/>
      <c r="I47" s="1607"/>
      <c r="J47" s="1607"/>
      <c r="K47" s="1607"/>
      <c r="L47" s="1607"/>
      <c r="M47" s="1607"/>
      <c r="N47" s="1607"/>
      <c r="O47" s="1607"/>
      <c r="P47" s="1607"/>
      <c r="Q47" s="1607"/>
      <c r="R47" s="1607"/>
      <c r="S47" s="229">
        <f t="shared" ref="S47:BP47" si="4">SUM(S50:S101)</f>
        <v>0</v>
      </c>
      <c r="T47" s="229">
        <f t="shared" si="4"/>
        <v>0</v>
      </c>
      <c r="U47" s="229">
        <f t="shared" si="4"/>
        <v>0</v>
      </c>
      <c r="V47" s="229">
        <f t="shared" si="4"/>
        <v>0</v>
      </c>
      <c r="W47" s="229">
        <f t="shared" si="4"/>
        <v>0</v>
      </c>
      <c r="X47" s="229">
        <f t="shared" si="4"/>
        <v>0</v>
      </c>
      <c r="Y47" s="229">
        <f t="shared" si="4"/>
        <v>0</v>
      </c>
      <c r="Z47" s="229">
        <f t="shared" si="4"/>
        <v>0</v>
      </c>
      <c r="AA47" s="986"/>
      <c r="AB47" s="986"/>
      <c r="AC47" s="986"/>
      <c r="AD47" s="986"/>
      <c r="AE47" s="986"/>
      <c r="AF47" s="986"/>
      <c r="AG47" s="229">
        <f t="shared" si="4"/>
        <v>0</v>
      </c>
      <c r="AH47" s="229">
        <f t="shared" si="4"/>
        <v>0</v>
      </c>
      <c r="AI47" s="986"/>
      <c r="AJ47" s="229">
        <f t="shared" si="4"/>
        <v>0</v>
      </c>
      <c r="AK47" s="229">
        <f t="shared" si="4"/>
        <v>0</v>
      </c>
      <c r="AL47" s="229">
        <f t="shared" si="4"/>
        <v>0</v>
      </c>
      <c r="AM47" s="229">
        <f t="shared" si="4"/>
        <v>0</v>
      </c>
      <c r="AN47" s="229">
        <f t="shared" si="4"/>
        <v>0</v>
      </c>
      <c r="AO47" s="229">
        <f t="shared" si="4"/>
        <v>0</v>
      </c>
      <c r="AP47" s="229">
        <f t="shared" si="4"/>
        <v>0</v>
      </c>
      <c r="AQ47" s="229">
        <f t="shared" si="4"/>
        <v>0</v>
      </c>
      <c r="AR47" s="229">
        <f t="shared" si="4"/>
        <v>0</v>
      </c>
      <c r="AS47" s="229">
        <f t="shared" si="4"/>
        <v>0</v>
      </c>
      <c r="AT47" s="229">
        <f t="shared" si="4"/>
        <v>0</v>
      </c>
      <c r="AU47" s="229">
        <f t="shared" si="4"/>
        <v>0</v>
      </c>
      <c r="AV47" s="229">
        <f t="shared" si="4"/>
        <v>0</v>
      </c>
      <c r="AW47" s="229">
        <f t="shared" si="4"/>
        <v>0</v>
      </c>
      <c r="AX47" s="229">
        <f t="shared" si="4"/>
        <v>0</v>
      </c>
      <c r="AY47" s="229">
        <f t="shared" si="4"/>
        <v>0</v>
      </c>
      <c r="AZ47" s="229">
        <f t="shared" si="4"/>
        <v>0</v>
      </c>
      <c r="BA47" s="229">
        <f t="shared" si="4"/>
        <v>0</v>
      </c>
      <c r="BB47" s="229">
        <f t="shared" si="4"/>
        <v>0</v>
      </c>
      <c r="BC47" s="229">
        <f t="shared" si="4"/>
        <v>0</v>
      </c>
      <c r="BD47" s="229">
        <f t="shared" si="4"/>
        <v>0</v>
      </c>
      <c r="BE47" s="229">
        <f t="shared" si="4"/>
        <v>0</v>
      </c>
      <c r="BF47" s="229">
        <f t="shared" si="4"/>
        <v>0</v>
      </c>
      <c r="BG47" s="229">
        <f t="shared" si="4"/>
        <v>0</v>
      </c>
      <c r="BH47" s="229">
        <f t="shared" si="4"/>
        <v>0</v>
      </c>
      <c r="BI47" s="229">
        <f t="shared" si="4"/>
        <v>0</v>
      </c>
      <c r="BJ47" s="229">
        <f t="shared" si="4"/>
        <v>0</v>
      </c>
      <c r="BK47" s="229">
        <f t="shared" si="4"/>
        <v>0</v>
      </c>
      <c r="BL47" s="229">
        <f t="shared" si="4"/>
        <v>0</v>
      </c>
      <c r="BM47" s="229">
        <f t="shared" si="4"/>
        <v>0</v>
      </c>
      <c r="BN47" s="229">
        <f t="shared" si="4"/>
        <v>0</v>
      </c>
      <c r="BO47" s="229">
        <f t="shared" si="4"/>
        <v>0</v>
      </c>
      <c r="BP47" s="229">
        <f t="shared" si="4"/>
        <v>0</v>
      </c>
      <c r="BQ47" s="229">
        <f t="shared" ref="BQ47" si="5">SUM(BQ50:BQ101)</f>
        <v>0</v>
      </c>
      <c r="BR47" s="986"/>
      <c r="BS47" s="986"/>
      <c r="BT47" s="986"/>
      <c r="BU47" s="986"/>
      <c r="BV47" s="986"/>
      <c r="BW47" s="229">
        <f>SUM(BW50:BW101)</f>
        <v>0</v>
      </c>
      <c r="BX47" s="986">
        <v>0</v>
      </c>
      <c r="BY47" s="986"/>
      <c r="BZ47" s="229">
        <f t="shared" ref="BZ47:CB47" si="6">SUM(BZ50:BZ101)</f>
        <v>0</v>
      </c>
      <c r="CA47" s="229">
        <f t="shared" si="6"/>
        <v>0</v>
      </c>
      <c r="CB47" s="229">
        <f t="shared" si="6"/>
        <v>0</v>
      </c>
      <c r="CC47" s="986"/>
      <c r="CD47" s="986"/>
      <c r="CE47" s="986"/>
      <c r="CF47" s="986"/>
      <c r="CG47" s="229">
        <f t="shared" ref="CG47:EX47" si="7">SUM(CG50:CG101)</f>
        <v>0</v>
      </c>
      <c r="CH47" s="229">
        <f t="shared" si="7"/>
        <v>0</v>
      </c>
      <c r="CI47" s="229">
        <f t="shared" si="7"/>
        <v>0</v>
      </c>
      <c r="CJ47" s="229">
        <f t="shared" si="7"/>
        <v>0</v>
      </c>
      <c r="CK47" s="229">
        <f t="shared" si="7"/>
        <v>0</v>
      </c>
      <c r="CL47" s="229">
        <f t="shared" si="7"/>
        <v>0</v>
      </c>
      <c r="CM47" s="229">
        <f t="shared" si="7"/>
        <v>0</v>
      </c>
      <c r="CN47" s="229">
        <f t="shared" si="7"/>
        <v>0</v>
      </c>
      <c r="CO47" s="229">
        <f t="shared" si="7"/>
        <v>0</v>
      </c>
      <c r="CP47" s="229">
        <f t="shared" si="7"/>
        <v>0</v>
      </c>
      <c r="CQ47" s="229">
        <f t="shared" si="7"/>
        <v>0</v>
      </c>
      <c r="CR47" s="229">
        <f t="shared" si="7"/>
        <v>0</v>
      </c>
      <c r="CS47" s="229">
        <f t="shared" si="7"/>
        <v>0</v>
      </c>
      <c r="CT47" s="229">
        <f t="shared" si="7"/>
        <v>0</v>
      </c>
      <c r="CU47" s="229">
        <f t="shared" si="7"/>
        <v>0</v>
      </c>
      <c r="CV47" s="229">
        <f t="shared" si="7"/>
        <v>0</v>
      </c>
      <c r="CW47" s="229">
        <f t="shared" si="7"/>
        <v>0</v>
      </c>
      <c r="CX47" s="229">
        <f t="shared" si="7"/>
        <v>0</v>
      </c>
      <c r="CY47" s="229">
        <f t="shared" si="7"/>
        <v>0</v>
      </c>
      <c r="CZ47" s="229">
        <f t="shared" si="7"/>
        <v>0</v>
      </c>
      <c r="DA47" s="229">
        <f t="shared" si="7"/>
        <v>0</v>
      </c>
      <c r="DB47" s="229">
        <f t="shared" si="7"/>
        <v>0</v>
      </c>
      <c r="DC47" s="229">
        <f t="shared" si="7"/>
        <v>0</v>
      </c>
      <c r="DD47" s="229">
        <f t="shared" si="7"/>
        <v>0</v>
      </c>
      <c r="DE47" s="229">
        <f t="shared" si="7"/>
        <v>0</v>
      </c>
      <c r="DF47" s="229">
        <f t="shared" si="7"/>
        <v>0</v>
      </c>
      <c r="DG47" s="229">
        <f t="shared" si="7"/>
        <v>0</v>
      </c>
      <c r="DH47" s="229">
        <f t="shared" si="7"/>
        <v>0</v>
      </c>
      <c r="DI47" s="229">
        <f t="shared" si="7"/>
        <v>0</v>
      </c>
      <c r="DJ47" s="229">
        <f t="shared" si="7"/>
        <v>0</v>
      </c>
      <c r="DK47" s="229">
        <f t="shared" si="7"/>
        <v>0</v>
      </c>
      <c r="DL47" s="229">
        <f t="shared" si="7"/>
        <v>0</v>
      </c>
      <c r="DM47" s="229">
        <f t="shared" si="7"/>
        <v>0</v>
      </c>
      <c r="DN47" s="229">
        <f t="shared" ref="DN47" si="8">SUM(DN50:DN101)</f>
        <v>0</v>
      </c>
      <c r="DO47" s="986"/>
      <c r="DP47" s="229">
        <f t="shared" si="7"/>
        <v>0</v>
      </c>
      <c r="DQ47" s="229">
        <f t="shared" si="7"/>
        <v>0</v>
      </c>
      <c r="DR47" s="229">
        <f t="shared" si="7"/>
        <v>0</v>
      </c>
      <c r="DS47" s="229">
        <f t="shared" si="7"/>
        <v>0</v>
      </c>
      <c r="DT47" s="229">
        <f t="shared" si="7"/>
        <v>0</v>
      </c>
      <c r="DU47" s="229">
        <f t="shared" si="7"/>
        <v>0</v>
      </c>
      <c r="DV47" s="229">
        <f t="shared" si="7"/>
        <v>0</v>
      </c>
      <c r="DW47" s="229">
        <f t="shared" si="7"/>
        <v>0</v>
      </c>
      <c r="DX47" s="229">
        <f t="shared" si="7"/>
        <v>0</v>
      </c>
      <c r="DY47" s="229">
        <f t="shared" si="7"/>
        <v>0</v>
      </c>
      <c r="DZ47" s="229">
        <f t="shared" si="7"/>
        <v>0</v>
      </c>
      <c r="EA47" s="229">
        <f t="shared" si="7"/>
        <v>0</v>
      </c>
      <c r="EB47" s="229">
        <f t="shared" si="7"/>
        <v>0</v>
      </c>
      <c r="EC47" s="229">
        <f t="shared" si="7"/>
        <v>0</v>
      </c>
      <c r="ED47" s="229">
        <f t="shared" si="7"/>
        <v>0</v>
      </c>
      <c r="EE47" s="229">
        <f t="shared" si="7"/>
        <v>0</v>
      </c>
      <c r="EF47" s="229">
        <f t="shared" si="7"/>
        <v>0</v>
      </c>
      <c r="EG47" s="229">
        <f t="shared" si="7"/>
        <v>0</v>
      </c>
      <c r="EH47" s="229">
        <f t="shared" si="7"/>
        <v>0</v>
      </c>
      <c r="EI47" s="229">
        <f t="shared" si="7"/>
        <v>0</v>
      </c>
      <c r="EJ47" s="229">
        <f t="shared" si="7"/>
        <v>0</v>
      </c>
      <c r="EK47" s="229">
        <f t="shared" si="7"/>
        <v>0</v>
      </c>
      <c r="EL47" s="229">
        <f t="shared" si="7"/>
        <v>0</v>
      </c>
      <c r="EM47" s="229">
        <f t="shared" si="7"/>
        <v>0</v>
      </c>
      <c r="EN47" s="229">
        <f t="shared" si="7"/>
        <v>0</v>
      </c>
      <c r="EO47" s="229">
        <f t="shared" si="7"/>
        <v>0</v>
      </c>
      <c r="EP47" s="229">
        <f t="shared" si="7"/>
        <v>0</v>
      </c>
      <c r="EQ47" s="229">
        <f t="shared" si="7"/>
        <v>0</v>
      </c>
      <c r="ER47" s="229">
        <f t="shared" si="7"/>
        <v>0</v>
      </c>
      <c r="ES47" s="229">
        <f t="shared" si="7"/>
        <v>0</v>
      </c>
      <c r="ET47" s="229">
        <f t="shared" si="7"/>
        <v>0</v>
      </c>
      <c r="EU47" s="229">
        <f t="shared" si="7"/>
        <v>0</v>
      </c>
      <c r="EV47" s="229">
        <f t="shared" si="7"/>
        <v>0</v>
      </c>
      <c r="EW47" s="229">
        <f t="shared" si="7"/>
        <v>0</v>
      </c>
      <c r="EX47" s="229">
        <f t="shared" si="7"/>
        <v>0</v>
      </c>
      <c r="EY47" s="1588"/>
      <c r="EZ47" s="1617"/>
      <c r="FA47" s="1588"/>
      <c r="FB47" s="1643"/>
      <c r="FC47" s="1588"/>
      <c r="FD47" s="234"/>
    </row>
    <row r="48" spans="1:160" s="13" customFormat="1" ht="12.75" customHeight="1">
      <c r="A48" s="1624"/>
      <c r="B48" s="1628"/>
      <c r="C48" s="1638"/>
      <c r="D48" s="1639"/>
      <c r="E48" s="1641"/>
      <c r="F48" s="1641"/>
      <c r="G48" s="1641"/>
      <c r="H48" s="1608"/>
      <c r="I48" s="1608"/>
      <c r="J48" s="1608"/>
      <c r="K48" s="1608"/>
      <c r="L48" s="1608"/>
      <c r="M48" s="1608"/>
      <c r="N48" s="1608"/>
      <c r="O48" s="1608"/>
      <c r="P48" s="1608"/>
      <c r="Q48" s="1608"/>
      <c r="R48" s="1608"/>
      <c r="S48" s="303">
        <v>43466</v>
      </c>
      <c r="T48" s="303">
        <v>43467</v>
      </c>
      <c r="U48" s="303">
        <v>43468</v>
      </c>
      <c r="V48" s="303">
        <v>43469</v>
      </c>
      <c r="W48" s="303">
        <v>43470</v>
      </c>
      <c r="X48" s="303">
        <v>43471</v>
      </c>
      <c r="Y48" s="303">
        <v>43472</v>
      </c>
      <c r="Z48" s="303">
        <v>43473</v>
      </c>
      <c r="AA48" s="303">
        <v>43474</v>
      </c>
      <c r="AB48" s="303">
        <v>43475</v>
      </c>
      <c r="AC48" s="303">
        <v>43476</v>
      </c>
      <c r="AD48" s="303">
        <v>43477</v>
      </c>
      <c r="AE48" s="303">
        <v>43478</v>
      </c>
      <c r="AF48" s="303">
        <v>43479</v>
      </c>
      <c r="AG48" s="303">
        <v>43480</v>
      </c>
      <c r="AH48" s="303">
        <v>43481</v>
      </c>
      <c r="AI48" s="303">
        <v>43482</v>
      </c>
      <c r="AJ48" s="303">
        <v>43483</v>
      </c>
      <c r="AK48" s="303">
        <v>43484</v>
      </c>
      <c r="AL48" s="303">
        <v>43485</v>
      </c>
      <c r="AM48" s="303">
        <v>43486</v>
      </c>
      <c r="AN48" s="303">
        <v>43487</v>
      </c>
      <c r="AO48" s="303">
        <v>43488</v>
      </c>
      <c r="AP48" s="303">
        <v>43489</v>
      </c>
      <c r="AQ48" s="303">
        <v>43490</v>
      </c>
      <c r="AR48" s="303">
        <v>43491</v>
      </c>
      <c r="AS48" s="303">
        <v>43492</v>
      </c>
      <c r="AT48" s="303">
        <v>43493</v>
      </c>
      <c r="AU48" s="303">
        <v>43494</v>
      </c>
      <c r="AV48" s="303">
        <v>43495</v>
      </c>
      <c r="AW48" s="303">
        <v>43496</v>
      </c>
      <c r="AX48" s="303">
        <v>43497</v>
      </c>
      <c r="AY48" s="303">
        <v>43498</v>
      </c>
      <c r="AZ48" s="303">
        <v>43499</v>
      </c>
      <c r="BA48" s="303">
        <v>43500</v>
      </c>
      <c r="BB48" s="303">
        <v>43501</v>
      </c>
      <c r="BC48" s="303">
        <v>43502</v>
      </c>
      <c r="BD48" s="303">
        <v>43503</v>
      </c>
      <c r="BE48" s="303">
        <v>43504</v>
      </c>
      <c r="BF48" s="303">
        <v>43505</v>
      </c>
      <c r="BG48" s="303">
        <v>43506</v>
      </c>
      <c r="BH48" s="303">
        <v>43507</v>
      </c>
      <c r="BI48" s="303">
        <v>43508</v>
      </c>
      <c r="BJ48" s="303">
        <v>43509</v>
      </c>
      <c r="BK48" s="303">
        <v>43510</v>
      </c>
      <c r="BL48" s="303">
        <v>43511</v>
      </c>
      <c r="BM48" s="303">
        <v>43512</v>
      </c>
      <c r="BN48" s="303">
        <v>43513</v>
      </c>
      <c r="BO48" s="303">
        <v>43514</v>
      </c>
      <c r="BP48" s="303">
        <v>43515</v>
      </c>
      <c r="BQ48" s="303">
        <v>43516</v>
      </c>
      <c r="BR48" s="303">
        <v>43517</v>
      </c>
      <c r="BS48" s="303">
        <v>43518</v>
      </c>
      <c r="BT48" s="303">
        <v>43519</v>
      </c>
      <c r="BU48" s="303">
        <v>43520</v>
      </c>
      <c r="BV48" s="303">
        <v>43521</v>
      </c>
      <c r="BW48" s="303">
        <v>43522</v>
      </c>
      <c r="BX48" s="303">
        <v>43523</v>
      </c>
      <c r="BY48" s="303">
        <v>43524</v>
      </c>
      <c r="BZ48" s="303">
        <v>43525</v>
      </c>
      <c r="CA48" s="303">
        <v>43526</v>
      </c>
      <c r="CB48" s="303">
        <v>43527</v>
      </c>
      <c r="CC48" s="303">
        <v>43528</v>
      </c>
      <c r="CD48" s="303">
        <v>43529</v>
      </c>
      <c r="CE48" s="303">
        <v>43530</v>
      </c>
      <c r="CF48" s="303">
        <v>43531</v>
      </c>
      <c r="CG48" s="303">
        <v>43532</v>
      </c>
      <c r="CH48" s="303">
        <v>43533</v>
      </c>
      <c r="CI48" s="303">
        <v>43534</v>
      </c>
      <c r="CJ48" s="303">
        <v>43535</v>
      </c>
      <c r="CK48" s="303">
        <v>43536</v>
      </c>
      <c r="CL48" s="303">
        <v>43537</v>
      </c>
      <c r="CM48" s="303">
        <v>43538</v>
      </c>
      <c r="CN48" s="303">
        <v>43539</v>
      </c>
      <c r="CO48" s="303">
        <v>43540</v>
      </c>
      <c r="CP48" s="303">
        <v>43541</v>
      </c>
      <c r="CQ48" s="303">
        <v>43542</v>
      </c>
      <c r="CR48" s="303">
        <v>43543</v>
      </c>
      <c r="CS48" s="303">
        <v>43544</v>
      </c>
      <c r="CT48" s="303">
        <v>43545</v>
      </c>
      <c r="CU48" s="303">
        <v>43546</v>
      </c>
      <c r="CV48" s="303">
        <v>43547</v>
      </c>
      <c r="CW48" s="303">
        <v>43548</v>
      </c>
      <c r="CX48" s="303">
        <v>43549</v>
      </c>
      <c r="CY48" s="303">
        <v>43550</v>
      </c>
      <c r="CZ48" s="303">
        <v>43551</v>
      </c>
      <c r="DA48" s="303">
        <v>43552</v>
      </c>
      <c r="DB48" s="303">
        <v>43553</v>
      </c>
      <c r="DC48" s="303">
        <v>43554</v>
      </c>
      <c r="DD48" s="303">
        <v>43555</v>
      </c>
      <c r="DE48" s="303">
        <v>43556</v>
      </c>
      <c r="DF48" s="303">
        <v>43557</v>
      </c>
      <c r="DG48" s="303">
        <v>43558</v>
      </c>
      <c r="DH48" s="303">
        <v>43559</v>
      </c>
      <c r="DI48" s="303">
        <v>43560</v>
      </c>
      <c r="DJ48" s="303">
        <v>43561</v>
      </c>
      <c r="DK48" s="303">
        <v>43562</v>
      </c>
      <c r="DL48" s="303">
        <v>43563</v>
      </c>
      <c r="DM48" s="303">
        <v>43564</v>
      </c>
      <c r="DN48" s="303">
        <v>43565</v>
      </c>
      <c r="DO48" s="303">
        <v>43566</v>
      </c>
      <c r="DP48" s="303">
        <v>43567</v>
      </c>
      <c r="DQ48" s="303">
        <v>43568</v>
      </c>
      <c r="DR48" s="303">
        <v>43569</v>
      </c>
      <c r="DS48" s="303">
        <v>43570</v>
      </c>
      <c r="DT48" s="303">
        <v>43571</v>
      </c>
      <c r="DU48" s="303">
        <v>43572</v>
      </c>
      <c r="DV48" s="303">
        <v>43573</v>
      </c>
      <c r="DW48" s="303">
        <v>43574</v>
      </c>
      <c r="DX48" s="303">
        <v>43575</v>
      </c>
      <c r="DY48" s="303">
        <v>43576</v>
      </c>
      <c r="DZ48" s="303">
        <v>43577</v>
      </c>
      <c r="EA48" s="303">
        <v>43578</v>
      </c>
      <c r="EB48" s="303">
        <v>43579</v>
      </c>
      <c r="EC48" s="303">
        <v>43580</v>
      </c>
      <c r="ED48" s="303">
        <v>43581</v>
      </c>
      <c r="EE48" s="303">
        <v>43582</v>
      </c>
      <c r="EF48" s="303">
        <v>43583</v>
      </c>
      <c r="EG48" s="303">
        <v>43584</v>
      </c>
      <c r="EH48" s="303">
        <v>43585</v>
      </c>
      <c r="EI48" s="303">
        <v>43586</v>
      </c>
      <c r="EJ48" s="303">
        <v>43587</v>
      </c>
      <c r="EK48" s="303">
        <v>43588</v>
      </c>
      <c r="EL48" s="303">
        <v>43589</v>
      </c>
      <c r="EM48" s="303">
        <v>43590</v>
      </c>
      <c r="EN48" s="303">
        <v>43591</v>
      </c>
      <c r="EO48" s="303">
        <v>43592</v>
      </c>
      <c r="EP48" s="303">
        <v>43593</v>
      </c>
      <c r="EQ48" s="303">
        <v>43594</v>
      </c>
      <c r="ER48" s="303">
        <v>43595</v>
      </c>
      <c r="ES48" s="303">
        <v>43596</v>
      </c>
      <c r="ET48" s="303">
        <v>43597</v>
      </c>
      <c r="EU48" s="303">
        <v>43598</v>
      </c>
      <c r="EV48" s="303">
        <v>43599</v>
      </c>
      <c r="EW48" s="303">
        <v>43600</v>
      </c>
      <c r="EX48" s="303">
        <v>43601</v>
      </c>
      <c r="EY48" s="1589"/>
      <c r="EZ48" s="1639"/>
      <c r="FA48" s="1589"/>
      <c r="FB48" s="1616"/>
      <c r="FC48" s="1589"/>
    </row>
    <row r="49" spans="1:159" s="14" customFormat="1">
      <c r="A49" s="213"/>
      <c r="B49" s="69"/>
      <c r="C49" s="214"/>
      <c r="D49" s="213"/>
      <c r="E49" s="70"/>
      <c r="F49" s="70"/>
      <c r="G49" s="70"/>
      <c r="H49" s="70"/>
      <c r="I49" s="960"/>
      <c r="J49" s="960"/>
      <c r="K49" s="70"/>
      <c r="L49" s="960"/>
      <c r="M49" s="960"/>
      <c r="N49" s="70"/>
      <c r="O49" s="70"/>
      <c r="P49" s="70"/>
      <c r="Q49" s="70"/>
      <c r="R49" s="70"/>
      <c r="S49" s="305"/>
      <c r="T49" s="305"/>
      <c r="U49" s="961"/>
      <c r="V49" s="961"/>
      <c r="W49" s="961"/>
      <c r="X49" s="961"/>
      <c r="Y49" s="961"/>
      <c r="Z49" s="961"/>
      <c r="AA49" s="961"/>
      <c r="AB49" s="961"/>
      <c r="AC49" s="961"/>
      <c r="AD49" s="961"/>
      <c r="AE49" s="961"/>
      <c r="AF49" s="961"/>
      <c r="AG49" s="961"/>
      <c r="AH49" s="961"/>
      <c r="AI49" s="961"/>
      <c r="AJ49" s="961"/>
      <c r="AK49" s="961"/>
      <c r="AL49" s="961"/>
      <c r="AM49" s="961"/>
      <c r="AN49" s="961"/>
      <c r="AO49" s="961"/>
      <c r="AP49" s="961"/>
      <c r="AQ49" s="961"/>
      <c r="AR49" s="961"/>
      <c r="AS49" s="961"/>
      <c r="AT49" s="961"/>
      <c r="AU49" s="961"/>
      <c r="AV49" s="961"/>
      <c r="AW49" s="961"/>
      <c r="AX49" s="961"/>
      <c r="AY49" s="961"/>
      <c r="AZ49" s="961"/>
      <c r="BA49" s="961"/>
      <c r="BB49" s="961"/>
      <c r="BC49" s="961"/>
      <c r="BD49" s="961"/>
      <c r="BE49" s="961"/>
      <c r="BF49" s="961"/>
      <c r="BG49" s="961"/>
      <c r="BH49" s="961"/>
      <c r="BI49" s="961"/>
      <c r="BJ49" s="961"/>
      <c r="BK49" s="961"/>
      <c r="BL49" s="961"/>
      <c r="BM49" s="961"/>
      <c r="BN49" s="961"/>
      <c r="BO49" s="961"/>
      <c r="BP49" s="961"/>
      <c r="BQ49" s="961"/>
      <c r="BR49" s="961"/>
      <c r="BS49" s="961"/>
      <c r="BT49" s="961"/>
      <c r="BU49" s="961"/>
      <c r="BV49" s="961"/>
      <c r="BW49" s="961"/>
      <c r="BX49" s="961"/>
      <c r="BY49" s="961"/>
      <c r="BZ49" s="961"/>
      <c r="CA49" s="961"/>
      <c r="CB49" s="961"/>
      <c r="CC49" s="961"/>
      <c r="CD49" s="961"/>
      <c r="CE49" s="961"/>
      <c r="CF49" s="961"/>
      <c r="CG49" s="961"/>
      <c r="CH49" s="961"/>
      <c r="CI49" s="961"/>
      <c r="CJ49" s="961"/>
      <c r="CK49" s="961"/>
      <c r="CL49" s="961"/>
      <c r="CM49" s="961"/>
      <c r="CN49" s="961"/>
      <c r="CO49" s="961"/>
      <c r="CP49" s="961"/>
      <c r="CQ49" s="961"/>
      <c r="CR49" s="961"/>
      <c r="CS49" s="961"/>
      <c r="CT49" s="961"/>
      <c r="CU49" s="961"/>
      <c r="CV49" s="961"/>
      <c r="CW49" s="961"/>
      <c r="CX49" s="961"/>
      <c r="CY49" s="961"/>
      <c r="CZ49" s="961"/>
      <c r="DA49" s="961"/>
      <c r="DB49" s="961"/>
      <c r="DC49" s="961"/>
      <c r="DD49" s="961"/>
      <c r="DE49" s="961"/>
      <c r="DF49" s="961"/>
      <c r="DG49" s="961"/>
      <c r="DH49" s="961"/>
      <c r="DI49" s="961"/>
      <c r="DJ49" s="961"/>
      <c r="DK49" s="961"/>
      <c r="DL49" s="305"/>
      <c r="DM49" s="961"/>
      <c r="DN49" s="961"/>
      <c r="DO49" s="961"/>
      <c r="DP49" s="961"/>
      <c r="DQ49" s="961"/>
      <c r="DR49" s="961"/>
      <c r="DS49" s="961"/>
      <c r="DT49" s="961"/>
      <c r="DU49" s="961"/>
      <c r="DV49" s="961"/>
      <c r="DW49" s="961"/>
      <c r="DX49" s="961"/>
      <c r="DY49" s="961"/>
      <c r="DZ49" s="961"/>
      <c r="EA49" s="961"/>
      <c r="EB49" s="961"/>
      <c r="EC49" s="961"/>
      <c r="ED49" s="961"/>
      <c r="EE49" s="961"/>
      <c r="EF49" s="961"/>
      <c r="EG49" s="961"/>
      <c r="EH49" s="961"/>
      <c r="EI49" s="961"/>
      <c r="EJ49" s="961"/>
      <c r="EK49" s="961"/>
      <c r="EL49" s="961"/>
      <c r="EM49" s="961"/>
      <c r="EN49" s="961"/>
      <c r="EO49" s="961"/>
      <c r="EP49" s="961"/>
      <c r="EQ49" s="961"/>
      <c r="ER49" s="961"/>
      <c r="ES49" s="961"/>
      <c r="ET49" s="961"/>
      <c r="EU49" s="961"/>
      <c r="EV49" s="961"/>
      <c r="EW49" s="961"/>
      <c r="EX49" s="305"/>
      <c r="EY49" s="232"/>
      <c r="EZ49" s="232"/>
      <c r="FA49" s="232"/>
      <c r="FB49" s="69"/>
      <c r="FC49" s="235"/>
    </row>
    <row r="50" spans="1:159" s="15" customFormat="1" ht="161.25" customHeight="1">
      <c r="A50" s="734">
        <v>1</v>
      </c>
      <c r="B50" s="1600" t="s">
        <v>842</v>
      </c>
      <c r="C50" s="827" t="s">
        <v>843</v>
      </c>
      <c r="D50" s="828" t="s">
        <v>1180</v>
      </c>
      <c r="E50" s="751">
        <f t="shared" ref="E50:E81" si="9">SUM(S50:EX50)</f>
        <v>0</v>
      </c>
      <c r="F50" s="751"/>
      <c r="G50" s="751">
        <v>1</v>
      </c>
      <c r="H50" s="751">
        <v>0</v>
      </c>
      <c r="I50" s="77">
        <f>SUM(S50:AW50)</f>
        <v>0</v>
      </c>
      <c r="J50" s="751">
        <f>SUM(AX50:BY50)</f>
        <v>0</v>
      </c>
      <c r="K50" s="751">
        <f>SUM(BZ50:DD50)</f>
        <v>0</v>
      </c>
      <c r="L50" s="751">
        <f>SUM(DE50:EH50)</f>
        <v>0</v>
      </c>
      <c r="M50" s="751">
        <f>SUM(EI50:EX50)</f>
        <v>0</v>
      </c>
      <c r="N50" s="751">
        <f>SUM(ED50:EJ50)</f>
        <v>0</v>
      </c>
      <c r="O50" s="751">
        <f>SUM(EK50:EQ50)</f>
        <v>0</v>
      </c>
      <c r="P50" s="751">
        <f>SUM(ER50:EX50)</f>
        <v>0</v>
      </c>
      <c r="Q50" s="751"/>
      <c r="R50" s="751"/>
      <c r="S50" s="734"/>
      <c r="T50" s="734"/>
      <c r="U50" s="86"/>
      <c r="V50" s="86"/>
      <c r="W50" s="86"/>
      <c r="X50" s="86"/>
      <c r="Y50" s="734"/>
      <c r="Z50" s="734"/>
      <c r="AA50" s="734"/>
      <c r="AB50" s="734"/>
      <c r="AC50" s="734"/>
      <c r="AD50" s="734"/>
      <c r="AE50" s="734"/>
      <c r="AF50" s="734"/>
      <c r="AG50" s="734"/>
      <c r="AH50" s="734"/>
      <c r="AI50" s="734"/>
      <c r="AJ50" s="734"/>
      <c r="AK50" s="734"/>
      <c r="AL50" s="734"/>
      <c r="AM50" s="734"/>
      <c r="AN50" s="734"/>
      <c r="AO50" s="734"/>
      <c r="AP50" s="734"/>
      <c r="AQ50" s="734"/>
      <c r="AR50" s="734"/>
      <c r="AS50" s="734"/>
      <c r="AT50" s="734"/>
      <c r="AU50" s="734"/>
      <c r="AV50" s="734"/>
      <c r="AW50" s="734"/>
      <c r="AX50" s="734"/>
      <c r="AY50" s="734"/>
      <c r="AZ50" s="734"/>
      <c r="BA50" s="734"/>
      <c r="BB50" s="734"/>
      <c r="BC50" s="734"/>
      <c r="BD50" s="734"/>
      <c r="BE50" s="734"/>
      <c r="BF50" s="734"/>
      <c r="BG50" s="734"/>
      <c r="BH50" s="734"/>
      <c r="BI50" s="734"/>
      <c r="BJ50" s="734"/>
      <c r="BK50" s="734"/>
      <c r="BL50" s="734"/>
      <c r="BM50" s="734"/>
      <c r="BN50" s="734"/>
      <c r="BO50" s="734"/>
      <c r="BP50" s="734"/>
      <c r="BQ50" s="734"/>
      <c r="BR50" s="734"/>
      <c r="BS50" s="734"/>
      <c r="BT50" s="734"/>
      <c r="BU50" s="734"/>
      <c r="BV50" s="734"/>
      <c r="BW50" s="734"/>
      <c r="BX50" s="734"/>
      <c r="BY50" s="734"/>
      <c r="BZ50" s="734"/>
      <c r="CA50" s="734"/>
      <c r="CB50" s="734"/>
      <c r="CC50" s="734"/>
      <c r="CD50" s="734"/>
      <c r="CE50" s="734"/>
      <c r="CF50" s="734"/>
      <c r="CG50" s="734"/>
      <c r="CH50" s="734"/>
      <c r="CI50" s="734"/>
      <c r="CJ50" s="734"/>
      <c r="CK50" s="734"/>
      <c r="CL50" s="734"/>
      <c r="CM50" s="734"/>
      <c r="CN50" s="734"/>
      <c r="CO50" s="734"/>
      <c r="CP50" s="734"/>
      <c r="CQ50" s="734"/>
      <c r="CR50" s="734"/>
      <c r="CS50" s="734"/>
      <c r="CT50" s="734"/>
      <c r="CU50" s="734"/>
      <c r="CV50" s="734"/>
      <c r="CW50" s="734"/>
      <c r="CX50" s="734"/>
      <c r="CY50" s="734"/>
      <c r="CZ50" s="734"/>
      <c r="DA50" s="734"/>
      <c r="DB50" s="734"/>
      <c r="DC50" s="734"/>
      <c r="DD50" s="734"/>
      <c r="DE50" s="734"/>
      <c r="DF50" s="734"/>
      <c r="DG50" s="734"/>
      <c r="DH50" s="734"/>
      <c r="DI50" s="734"/>
      <c r="DJ50" s="734"/>
      <c r="DK50" s="734"/>
      <c r="DL50" s="734"/>
      <c r="DM50" s="734"/>
      <c r="DN50" s="734"/>
      <c r="DO50" s="734"/>
      <c r="DP50" s="734"/>
      <c r="DQ50" s="734"/>
      <c r="DR50" s="734"/>
      <c r="DS50" s="734"/>
      <c r="DT50" s="734"/>
      <c r="DU50" s="734"/>
      <c r="DV50" s="734"/>
      <c r="DW50" s="734"/>
      <c r="DX50" s="734"/>
      <c r="DY50" s="734"/>
      <c r="DZ50" s="734"/>
      <c r="EA50" s="734"/>
      <c r="EB50" s="734"/>
      <c r="EC50" s="734"/>
      <c r="ED50" s="734"/>
      <c r="EE50" s="734"/>
      <c r="EF50" s="734"/>
      <c r="EG50" s="734"/>
      <c r="EH50" s="734"/>
      <c r="EI50" s="734"/>
      <c r="EJ50" s="734"/>
      <c r="EK50" s="734"/>
      <c r="EL50" s="734"/>
      <c r="EM50" s="734"/>
      <c r="EN50" s="734"/>
      <c r="EO50" s="734"/>
      <c r="EP50" s="734"/>
      <c r="EQ50" s="734"/>
      <c r="ER50" s="734"/>
      <c r="ES50" s="734"/>
      <c r="ET50" s="734"/>
      <c r="EU50" s="734"/>
      <c r="EV50" s="734"/>
      <c r="EW50" s="734"/>
      <c r="EX50" s="734"/>
      <c r="EY50" s="828" t="s">
        <v>970</v>
      </c>
      <c r="EZ50" s="828"/>
      <c r="FA50" s="829"/>
      <c r="FB50" s="830" t="s">
        <v>971</v>
      </c>
      <c r="FC50" s="797" t="s">
        <v>972</v>
      </c>
    </row>
    <row r="51" spans="1:159" s="15" customFormat="1" ht="28.5">
      <c r="A51" s="248"/>
      <c r="B51" s="1601"/>
      <c r="C51" s="822" t="s">
        <v>973</v>
      </c>
      <c r="D51" s="823" t="s">
        <v>974</v>
      </c>
      <c r="E51" s="751">
        <f t="shared" si="9"/>
        <v>0</v>
      </c>
      <c r="F51" s="751">
        <v>0</v>
      </c>
      <c r="G51" s="751">
        <v>0</v>
      </c>
      <c r="H51" s="751">
        <v>0</v>
      </c>
      <c r="I51" s="77">
        <f t="shared" ref="I51:I101" si="10">SUM(S51:AW51)</f>
        <v>0</v>
      </c>
      <c r="J51" s="751">
        <f t="shared" ref="J51:J101" si="11">SUM(AX51:BY51)</f>
        <v>0</v>
      </c>
      <c r="K51" s="751">
        <f t="shared" ref="K51:K101" si="12">SUM(BZ51:DD51)</f>
        <v>0</v>
      </c>
      <c r="L51" s="751">
        <f t="shared" ref="L51:L101" si="13">SUM(DE51:EH51)</f>
        <v>0</v>
      </c>
      <c r="M51" s="751">
        <f t="shared" ref="M51:M101" si="14">SUM(EI51:EX51)</f>
        <v>0</v>
      </c>
      <c r="N51" s="751">
        <f t="shared" ref="N51:N101" si="15">SUM(ED51:EJ51)</f>
        <v>0</v>
      </c>
      <c r="O51" s="751">
        <f t="shared" ref="O51:O101" si="16">SUM(EK51:EQ51)</f>
        <v>0</v>
      </c>
      <c r="P51" s="751">
        <f t="shared" ref="P51:P101" si="17">SUM(ER51:EX51)</f>
        <v>0</v>
      </c>
      <c r="Q51" s="751"/>
      <c r="R51" s="751"/>
      <c r="S51" s="933"/>
      <c r="T51" s="933"/>
      <c r="U51" s="951"/>
      <c r="V51" s="951"/>
      <c r="W51" s="951"/>
      <c r="X51" s="951"/>
      <c r="Y51" s="968"/>
      <c r="Z51" s="973"/>
      <c r="AA51" s="979"/>
      <c r="AB51" s="979"/>
      <c r="AC51" s="979"/>
      <c r="AD51" s="979"/>
      <c r="AE51" s="979"/>
      <c r="AF51" s="979"/>
      <c r="AG51" s="979"/>
      <c r="AH51" s="991"/>
      <c r="AI51" s="998"/>
      <c r="AJ51" s="998"/>
      <c r="AK51" s="998"/>
      <c r="AL51" s="1005"/>
      <c r="AM51" s="1019"/>
      <c r="AN51" s="1025"/>
      <c r="AO51" s="1033"/>
      <c r="AP51" s="1047"/>
      <c r="AQ51" s="1056"/>
      <c r="AR51" s="1056"/>
      <c r="AS51" s="1061"/>
      <c r="AT51" s="1066"/>
      <c r="AU51" s="1072"/>
      <c r="AV51" s="1081"/>
      <c r="AW51" s="1081"/>
      <c r="AX51" s="1081"/>
      <c r="AY51" s="1081"/>
      <c r="AZ51" s="1081"/>
      <c r="BA51" s="1081"/>
      <c r="BB51" s="1081"/>
      <c r="BC51" s="1081"/>
      <c r="BD51" s="1081"/>
      <c r="BE51" s="1081"/>
      <c r="BF51" s="1081"/>
      <c r="BG51" s="1081"/>
      <c r="BH51" s="1095"/>
      <c r="BI51" s="1101"/>
      <c r="BJ51" s="1106"/>
      <c r="BK51" s="1113"/>
      <c r="BL51" s="1113"/>
      <c r="BM51" s="1113"/>
      <c r="BN51" s="1120"/>
      <c r="BO51" s="1124"/>
      <c r="BP51" s="1124"/>
      <c r="BQ51" s="1129"/>
      <c r="BR51" s="1141"/>
      <c r="BS51" s="1141"/>
      <c r="BT51" s="1141"/>
      <c r="BU51" s="1147"/>
      <c r="BV51" s="1152"/>
      <c r="BW51" s="1157"/>
      <c r="BX51" s="1157"/>
      <c r="BY51" s="1165"/>
      <c r="BZ51" s="1165"/>
      <c r="CA51" s="1165"/>
      <c r="CB51" s="1178"/>
      <c r="CC51" s="1187"/>
      <c r="CD51" s="1187"/>
      <c r="CE51" s="1194"/>
      <c r="CF51" s="1200"/>
      <c r="CG51" s="1200"/>
      <c r="CH51" s="1200"/>
      <c r="CI51" s="1211"/>
      <c r="CJ51" s="1217"/>
      <c r="CK51" s="1223"/>
      <c r="CL51" s="1237"/>
      <c r="CM51" s="1246"/>
      <c r="CN51" s="1246"/>
      <c r="CO51" s="1246"/>
      <c r="CP51" s="1252"/>
      <c r="CQ51" s="1257"/>
      <c r="CR51" s="1264"/>
      <c r="CS51" s="1270"/>
      <c r="CT51" s="1274"/>
      <c r="CU51" s="1274"/>
      <c r="CV51" s="1274"/>
      <c r="CW51" s="1285"/>
      <c r="CX51" s="1292"/>
      <c r="CY51" s="1300"/>
      <c r="CZ51" s="1306"/>
      <c r="DA51" s="1312"/>
      <c r="DB51" s="1312"/>
      <c r="DC51" s="1312"/>
      <c r="DD51" s="1320"/>
      <c r="DE51" s="1326"/>
      <c r="DF51" s="1332"/>
      <c r="DG51" s="1339"/>
      <c r="DH51" s="1339"/>
      <c r="DI51" s="1339"/>
      <c r="DJ51" s="1345"/>
      <c r="DK51" s="1352"/>
      <c r="DL51" s="1357"/>
      <c r="DM51" s="1364"/>
      <c r="DN51" s="1370"/>
      <c r="DO51" s="1380"/>
      <c r="DP51" s="1380"/>
      <c r="DQ51" s="1380"/>
      <c r="DR51" s="1388"/>
      <c r="DS51" s="1391"/>
      <c r="DT51" s="1399"/>
      <c r="DU51" s="1404"/>
      <c r="DV51" s="1418"/>
      <c r="DW51" s="1418"/>
      <c r="DX51" s="1418"/>
      <c r="DY51" s="1423"/>
      <c r="DZ51" s="1427"/>
      <c r="EA51" s="1434"/>
      <c r="EB51" s="1440"/>
      <c r="EC51" s="1447"/>
      <c r="ED51" s="1447"/>
      <c r="EE51" s="1452"/>
      <c r="EF51" s="1452"/>
      <c r="EG51" s="1452"/>
      <c r="EH51" s="1452"/>
      <c r="EI51" s="1452"/>
      <c r="EJ51" s="1452"/>
      <c r="EK51" s="1452"/>
      <c r="EL51" s="1452"/>
      <c r="EM51" s="1461"/>
      <c r="EN51" s="1466"/>
      <c r="EO51" s="1472"/>
      <c r="EP51" s="1478"/>
      <c r="EQ51" s="1485"/>
      <c r="ER51" s="1485"/>
      <c r="ES51" s="1485"/>
      <c r="ET51" s="1494"/>
      <c r="EU51" s="1501"/>
      <c r="EV51" s="1511"/>
      <c r="EW51" s="1517"/>
      <c r="EX51" s="821"/>
      <c r="EY51" s="824"/>
      <c r="EZ51" s="824"/>
      <c r="FA51" s="825"/>
      <c r="FB51" s="826"/>
      <c r="FC51" s="315"/>
    </row>
    <row r="52" spans="1:159" s="15" customFormat="1" ht="28.5">
      <c r="A52" s="215"/>
      <c r="B52" s="1601"/>
      <c r="C52" s="263" t="s">
        <v>973</v>
      </c>
      <c r="D52" s="264" t="s">
        <v>975</v>
      </c>
      <c r="E52" s="751">
        <f t="shared" si="9"/>
        <v>0</v>
      </c>
      <c r="F52" s="751">
        <v>0</v>
      </c>
      <c r="G52" s="751">
        <v>0</v>
      </c>
      <c r="H52" s="751">
        <v>0</v>
      </c>
      <c r="I52" s="77">
        <f t="shared" si="10"/>
        <v>0</v>
      </c>
      <c r="J52" s="751">
        <f t="shared" si="11"/>
        <v>0</v>
      </c>
      <c r="K52" s="751">
        <f t="shared" si="12"/>
        <v>0</v>
      </c>
      <c r="L52" s="751">
        <f t="shared" si="13"/>
        <v>0</v>
      </c>
      <c r="M52" s="751">
        <f t="shared" si="14"/>
        <v>0</v>
      </c>
      <c r="N52" s="751">
        <f t="shared" si="15"/>
        <v>0</v>
      </c>
      <c r="O52" s="751">
        <f t="shared" si="16"/>
        <v>0</v>
      </c>
      <c r="P52" s="751">
        <f t="shared" si="17"/>
        <v>0</v>
      </c>
      <c r="Q52" s="751"/>
      <c r="R52" s="751"/>
      <c r="S52" s="773"/>
      <c r="T52" s="773"/>
      <c r="U52" s="950"/>
      <c r="V52" s="950"/>
      <c r="W52" s="950"/>
      <c r="X52" s="950"/>
      <c r="Y52" s="773"/>
      <c r="Z52" s="773"/>
      <c r="AA52" s="773"/>
      <c r="AB52" s="773"/>
      <c r="AC52" s="773"/>
      <c r="AD52" s="773"/>
      <c r="AE52" s="773"/>
      <c r="AF52" s="773"/>
      <c r="AG52" s="773"/>
      <c r="AH52" s="773"/>
      <c r="AI52" s="773"/>
      <c r="AJ52" s="773"/>
      <c r="AK52" s="773"/>
      <c r="AL52" s="773"/>
      <c r="AM52" s="773"/>
      <c r="AN52" s="773"/>
      <c r="AO52" s="773"/>
      <c r="AP52" s="773"/>
      <c r="AQ52" s="773"/>
      <c r="AR52" s="773"/>
      <c r="AS52" s="773"/>
      <c r="AT52" s="773"/>
      <c r="AU52" s="773"/>
      <c r="AV52" s="773"/>
      <c r="AW52" s="773"/>
      <c r="AX52" s="773"/>
      <c r="AY52" s="773"/>
      <c r="AZ52" s="773"/>
      <c r="BA52" s="773"/>
      <c r="BB52" s="773"/>
      <c r="BC52" s="773"/>
      <c r="BD52" s="773"/>
      <c r="BE52" s="773"/>
      <c r="BF52" s="773"/>
      <c r="BG52" s="773"/>
      <c r="BH52" s="773"/>
      <c r="BI52" s="773"/>
      <c r="BJ52" s="773"/>
      <c r="BK52" s="773"/>
      <c r="BL52" s="773"/>
      <c r="BM52" s="773"/>
      <c r="BN52" s="773"/>
      <c r="BO52" s="773"/>
      <c r="BP52" s="773"/>
      <c r="BQ52" s="773"/>
      <c r="BR52" s="773"/>
      <c r="BS52" s="773"/>
      <c r="BT52" s="773"/>
      <c r="BU52" s="773"/>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3"/>
      <c r="EI52" s="773"/>
      <c r="EJ52" s="773"/>
      <c r="EK52" s="773"/>
      <c r="EL52" s="773"/>
      <c r="EM52" s="773"/>
      <c r="EN52" s="773"/>
      <c r="EO52" s="773"/>
      <c r="EP52" s="773"/>
      <c r="EQ52" s="773"/>
      <c r="ER52" s="773"/>
      <c r="ES52" s="773"/>
      <c r="ET52" s="773"/>
      <c r="EU52" s="773"/>
      <c r="EV52" s="773"/>
      <c r="EW52" s="773"/>
      <c r="EX52" s="65"/>
      <c r="EY52" s="308"/>
      <c r="EZ52" s="308"/>
      <c r="FA52" s="311"/>
      <c r="FB52" s="312"/>
      <c r="FC52" s="239" t="s">
        <v>852</v>
      </c>
    </row>
    <row r="53" spans="1:159" s="15" customFormat="1" ht="28.5">
      <c r="A53" s="215">
        <v>2</v>
      </c>
      <c r="B53" s="1601"/>
      <c r="C53" s="217" t="s">
        <v>843</v>
      </c>
      <c r="D53" s="218" t="s">
        <v>976</v>
      </c>
      <c r="E53" s="751">
        <f t="shared" si="9"/>
        <v>0</v>
      </c>
      <c r="F53" s="751">
        <v>0</v>
      </c>
      <c r="G53" s="751">
        <v>0</v>
      </c>
      <c r="H53" s="751">
        <v>0</v>
      </c>
      <c r="I53" s="77">
        <f t="shared" si="10"/>
        <v>0</v>
      </c>
      <c r="J53" s="751">
        <f t="shared" si="11"/>
        <v>0</v>
      </c>
      <c r="K53" s="751">
        <f t="shared" si="12"/>
        <v>0</v>
      </c>
      <c r="L53" s="751">
        <f t="shared" si="13"/>
        <v>0</v>
      </c>
      <c r="M53" s="751">
        <f t="shared" si="14"/>
        <v>0</v>
      </c>
      <c r="N53" s="751">
        <f t="shared" si="15"/>
        <v>0</v>
      </c>
      <c r="O53" s="751">
        <f t="shared" si="16"/>
        <v>0</v>
      </c>
      <c r="P53" s="751">
        <f t="shared" si="17"/>
        <v>0</v>
      </c>
      <c r="Q53" s="751"/>
      <c r="R53" s="751"/>
      <c r="S53" s="773"/>
      <c r="T53" s="773"/>
      <c r="U53" s="950"/>
      <c r="V53" s="950"/>
      <c r="W53" s="950"/>
      <c r="X53" s="950"/>
      <c r="Y53" s="773"/>
      <c r="Z53" s="773"/>
      <c r="AA53" s="773"/>
      <c r="AB53" s="773"/>
      <c r="AC53" s="773"/>
      <c r="AD53" s="773"/>
      <c r="AE53" s="773"/>
      <c r="AF53" s="773"/>
      <c r="AG53" s="773"/>
      <c r="AH53" s="773"/>
      <c r="AI53" s="773"/>
      <c r="AJ53" s="773"/>
      <c r="AK53" s="773"/>
      <c r="AL53" s="773"/>
      <c r="AM53" s="773"/>
      <c r="AN53" s="773"/>
      <c r="AO53" s="773"/>
      <c r="AP53" s="773"/>
      <c r="AQ53" s="773"/>
      <c r="AR53" s="773"/>
      <c r="AS53" s="773"/>
      <c r="AT53" s="773"/>
      <c r="AU53" s="773"/>
      <c r="AV53" s="773"/>
      <c r="AW53" s="773"/>
      <c r="AX53" s="773"/>
      <c r="AY53" s="773"/>
      <c r="AZ53" s="773"/>
      <c r="BA53" s="773"/>
      <c r="BB53" s="773"/>
      <c r="BC53" s="773"/>
      <c r="BD53" s="773"/>
      <c r="BE53" s="773"/>
      <c r="BF53" s="773"/>
      <c r="BG53" s="773"/>
      <c r="BH53" s="773"/>
      <c r="BI53" s="773"/>
      <c r="BJ53" s="773"/>
      <c r="BK53" s="773"/>
      <c r="BL53" s="773"/>
      <c r="BM53" s="773"/>
      <c r="BN53" s="773"/>
      <c r="BO53" s="773"/>
      <c r="BP53" s="773"/>
      <c r="BQ53" s="773"/>
      <c r="BR53" s="773"/>
      <c r="BS53" s="773"/>
      <c r="BT53" s="773"/>
      <c r="BU53" s="773"/>
      <c r="BV53" s="773"/>
      <c r="BW53" s="773"/>
      <c r="BX53" s="773"/>
      <c r="BY53" s="773"/>
      <c r="BZ53" s="773"/>
      <c r="CA53" s="773"/>
      <c r="CB53" s="773"/>
      <c r="CC53" s="773"/>
      <c r="CD53" s="773"/>
      <c r="CE53" s="773"/>
      <c r="CF53" s="773"/>
      <c r="CG53" s="773"/>
      <c r="CH53" s="773"/>
      <c r="CI53" s="773"/>
      <c r="CJ53" s="773"/>
      <c r="CK53" s="773"/>
      <c r="CL53" s="773"/>
      <c r="CM53" s="773"/>
      <c r="CN53" s="773"/>
      <c r="CO53" s="773"/>
      <c r="CP53" s="773"/>
      <c r="CQ53" s="773"/>
      <c r="CR53" s="773"/>
      <c r="CS53" s="773"/>
      <c r="CT53" s="773"/>
      <c r="CU53" s="773"/>
      <c r="CV53" s="773"/>
      <c r="CW53" s="773"/>
      <c r="CX53" s="773"/>
      <c r="CY53" s="773"/>
      <c r="CZ53" s="773"/>
      <c r="DA53" s="773"/>
      <c r="DB53" s="773"/>
      <c r="DC53" s="773"/>
      <c r="DD53" s="773"/>
      <c r="DE53" s="773"/>
      <c r="DF53" s="773"/>
      <c r="DG53" s="773"/>
      <c r="DH53" s="773"/>
      <c r="DI53" s="773"/>
      <c r="DJ53" s="773"/>
      <c r="DK53" s="773"/>
      <c r="DL53" s="773"/>
      <c r="DM53" s="773"/>
      <c r="DN53" s="773"/>
      <c r="DO53" s="773"/>
      <c r="DP53" s="773"/>
      <c r="DQ53" s="773"/>
      <c r="DR53" s="773"/>
      <c r="DS53" s="773"/>
      <c r="DT53" s="773"/>
      <c r="DU53" s="773"/>
      <c r="DV53" s="773"/>
      <c r="DW53" s="773"/>
      <c r="DX53" s="773"/>
      <c r="DY53" s="773"/>
      <c r="DZ53" s="773"/>
      <c r="EA53" s="773"/>
      <c r="EB53" s="773"/>
      <c r="EC53" s="773"/>
      <c r="ED53" s="773"/>
      <c r="EE53" s="773"/>
      <c r="EF53" s="773"/>
      <c r="EG53" s="773"/>
      <c r="EH53" s="773"/>
      <c r="EI53" s="773"/>
      <c r="EJ53" s="773"/>
      <c r="EK53" s="773"/>
      <c r="EL53" s="773"/>
      <c r="EM53" s="773"/>
      <c r="EN53" s="773"/>
      <c r="EO53" s="773"/>
      <c r="EP53" s="773"/>
      <c r="EQ53" s="773"/>
      <c r="ER53" s="773"/>
      <c r="ES53" s="773"/>
      <c r="ET53" s="773"/>
      <c r="EU53" s="773"/>
      <c r="EV53" s="773"/>
      <c r="EW53" s="773"/>
      <c r="EX53" s="65"/>
      <c r="EY53" s="85" t="s">
        <v>977</v>
      </c>
      <c r="EZ53" s="85"/>
      <c r="FA53" s="85"/>
      <c r="FB53" s="313"/>
      <c r="FC53" s="239" t="s">
        <v>978</v>
      </c>
    </row>
    <row r="54" spans="1:159" s="15" customFormat="1" ht="28.5">
      <c r="A54" s="215"/>
      <c r="B54" s="1601"/>
      <c r="C54" s="217" t="s">
        <v>843</v>
      </c>
      <c r="D54" s="218" t="s">
        <v>979</v>
      </c>
      <c r="E54" s="751">
        <f t="shared" si="9"/>
        <v>0</v>
      </c>
      <c r="F54" s="751">
        <v>0</v>
      </c>
      <c r="G54" s="751">
        <v>0</v>
      </c>
      <c r="H54" s="751">
        <v>0</v>
      </c>
      <c r="I54" s="77">
        <f t="shared" si="10"/>
        <v>0</v>
      </c>
      <c r="J54" s="751">
        <f t="shared" si="11"/>
        <v>0</v>
      </c>
      <c r="K54" s="751">
        <f t="shared" si="12"/>
        <v>0</v>
      </c>
      <c r="L54" s="751">
        <f t="shared" si="13"/>
        <v>0</v>
      </c>
      <c r="M54" s="751">
        <f t="shared" si="14"/>
        <v>0</v>
      </c>
      <c r="N54" s="751">
        <f t="shared" si="15"/>
        <v>0</v>
      </c>
      <c r="O54" s="751">
        <f t="shared" si="16"/>
        <v>0</v>
      </c>
      <c r="P54" s="751">
        <f t="shared" si="17"/>
        <v>0</v>
      </c>
      <c r="Q54" s="751"/>
      <c r="R54" s="751"/>
      <c r="S54" s="773"/>
      <c r="T54" s="773"/>
      <c r="U54" s="950"/>
      <c r="V54" s="950"/>
      <c r="W54" s="950"/>
      <c r="X54" s="950"/>
      <c r="Y54" s="773"/>
      <c r="Z54" s="773"/>
      <c r="AA54" s="773"/>
      <c r="AB54" s="773"/>
      <c r="AC54" s="773"/>
      <c r="AD54" s="773"/>
      <c r="AE54" s="773"/>
      <c r="AF54" s="773"/>
      <c r="AG54" s="773"/>
      <c r="AH54" s="773"/>
      <c r="AI54" s="773"/>
      <c r="AJ54" s="773"/>
      <c r="AK54" s="773"/>
      <c r="AL54" s="773"/>
      <c r="AM54" s="773"/>
      <c r="AN54" s="773"/>
      <c r="AO54" s="773"/>
      <c r="AP54" s="773"/>
      <c r="AQ54" s="773"/>
      <c r="AR54" s="773"/>
      <c r="AS54" s="773"/>
      <c r="AT54" s="773"/>
      <c r="AU54" s="773"/>
      <c r="AV54" s="773"/>
      <c r="AW54" s="773"/>
      <c r="AX54" s="773"/>
      <c r="AY54" s="773"/>
      <c r="AZ54" s="773"/>
      <c r="BA54" s="773"/>
      <c r="BB54" s="773"/>
      <c r="BC54" s="773"/>
      <c r="BD54" s="773"/>
      <c r="BE54" s="773"/>
      <c r="BF54" s="773"/>
      <c r="BG54" s="773"/>
      <c r="BH54" s="773"/>
      <c r="BI54" s="773"/>
      <c r="BJ54" s="773"/>
      <c r="BK54" s="773"/>
      <c r="BL54" s="773"/>
      <c r="BM54" s="773"/>
      <c r="BN54" s="773"/>
      <c r="BO54" s="773"/>
      <c r="BP54" s="773"/>
      <c r="BQ54" s="773"/>
      <c r="BR54" s="773"/>
      <c r="BS54" s="773"/>
      <c r="BT54" s="773"/>
      <c r="BU54" s="773"/>
      <c r="BV54" s="773"/>
      <c r="BW54" s="773"/>
      <c r="BX54" s="773"/>
      <c r="BY54" s="773"/>
      <c r="BZ54" s="773"/>
      <c r="CA54" s="773"/>
      <c r="CB54" s="773"/>
      <c r="CC54" s="773"/>
      <c r="CD54" s="773"/>
      <c r="CE54" s="773"/>
      <c r="CF54" s="773"/>
      <c r="CG54" s="773"/>
      <c r="CH54" s="773"/>
      <c r="CI54" s="773"/>
      <c r="CJ54" s="773"/>
      <c r="CK54" s="773"/>
      <c r="CL54" s="773"/>
      <c r="CM54" s="773"/>
      <c r="CN54" s="773"/>
      <c r="CO54" s="773"/>
      <c r="CP54" s="773"/>
      <c r="CQ54" s="773"/>
      <c r="CR54" s="773"/>
      <c r="CS54" s="773"/>
      <c r="CT54" s="773"/>
      <c r="CU54" s="773"/>
      <c r="CV54" s="773"/>
      <c r="CW54" s="773"/>
      <c r="CX54" s="773"/>
      <c r="CY54" s="773"/>
      <c r="CZ54" s="773"/>
      <c r="DA54" s="773"/>
      <c r="DB54" s="773"/>
      <c r="DC54" s="773"/>
      <c r="DD54" s="773"/>
      <c r="DE54" s="773"/>
      <c r="DF54" s="773"/>
      <c r="DG54" s="773"/>
      <c r="DH54" s="773"/>
      <c r="DI54" s="773"/>
      <c r="DJ54" s="773"/>
      <c r="DK54" s="773"/>
      <c r="DL54" s="773"/>
      <c r="DM54" s="773"/>
      <c r="DN54" s="773"/>
      <c r="DO54" s="773"/>
      <c r="DP54" s="773"/>
      <c r="DQ54" s="773"/>
      <c r="DR54" s="773"/>
      <c r="DS54" s="773"/>
      <c r="DT54" s="773"/>
      <c r="DU54" s="773"/>
      <c r="DV54" s="773"/>
      <c r="DW54" s="773"/>
      <c r="DX54" s="773"/>
      <c r="DY54" s="773"/>
      <c r="DZ54" s="773"/>
      <c r="EA54" s="773"/>
      <c r="EB54" s="773"/>
      <c r="EC54" s="773"/>
      <c r="ED54" s="773"/>
      <c r="EE54" s="773"/>
      <c r="EF54" s="773"/>
      <c r="EG54" s="773"/>
      <c r="EH54" s="773"/>
      <c r="EI54" s="773"/>
      <c r="EJ54" s="773"/>
      <c r="EK54" s="773"/>
      <c r="EL54" s="773"/>
      <c r="EM54" s="773"/>
      <c r="EN54" s="773"/>
      <c r="EO54" s="773"/>
      <c r="EP54" s="773"/>
      <c r="EQ54" s="773"/>
      <c r="ER54" s="773"/>
      <c r="ES54" s="773"/>
      <c r="ET54" s="773"/>
      <c r="EU54" s="773"/>
      <c r="EV54" s="773"/>
      <c r="EW54" s="773"/>
      <c r="EX54" s="65"/>
      <c r="EY54" s="85"/>
      <c r="EZ54" s="85"/>
      <c r="FA54" s="85"/>
      <c r="FB54" s="313"/>
      <c r="FC54" s="239"/>
    </row>
    <row r="55" spans="1:159" s="15" customFormat="1" ht="33" customHeight="1">
      <c r="A55" s="816"/>
      <c r="B55" s="1601"/>
      <c r="C55" s="818" t="s">
        <v>843</v>
      </c>
      <c r="D55" s="219" t="s">
        <v>980</v>
      </c>
      <c r="E55" s="751">
        <f t="shared" si="9"/>
        <v>0</v>
      </c>
      <c r="F55" s="751">
        <v>0</v>
      </c>
      <c r="G55" s="751">
        <v>0</v>
      </c>
      <c r="H55" s="751">
        <v>0</v>
      </c>
      <c r="I55" s="77">
        <f t="shared" si="10"/>
        <v>0</v>
      </c>
      <c r="J55" s="751">
        <f t="shared" si="11"/>
        <v>0</v>
      </c>
      <c r="K55" s="751">
        <f t="shared" si="12"/>
        <v>0</v>
      </c>
      <c r="L55" s="751">
        <f t="shared" si="13"/>
        <v>0</v>
      </c>
      <c r="M55" s="751">
        <f t="shared" si="14"/>
        <v>0</v>
      </c>
      <c r="N55" s="751">
        <f t="shared" si="15"/>
        <v>0</v>
      </c>
      <c r="O55" s="751">
        <f t="shared" si="16"/>
        <v>0</v>
      </c>
      <c r="P55" s="751">
        <f t="shared" si="17"/>
        <v>0</v>
      </c>
      <c r="Q55" s="751"/>
      <c r="R55" s="751"/>
      <c r="S55" s="773"/>
      <c r="T55" s="773"/>
      <c r="U55" s="950"/>
      <c r="V55" s="950"/>
      <c r="W55" s="950"/>
      <c r="X55" s="950"/>
      <c r="Y55" s="773"/>
      <c r="Z55" s="773"/>
      <c r="AA55" s="773"/>
      <c r="AB55" s="773"/>
      <c r="AC55" s="773"/>
      <c r="AD55" s="773"/>
      <c r="AE55" s="773"/>
      <c r="AF55" s="773"/>
      <c r="AG55" s="773"/>
      <c r="AH55" s="773"/>
      <c r="AI55" s="773"/>
      <c r="AJ55" s="773"/>
      <c r="AK55" s="773"/>
      <c r="AL55" s="773"/>
      <c r="AM55" s="773"/>
      <c r="AN55" s="773"/>
      <c r="AO55" s="773"/>
      <c r="AP55" s="773"/>
      <c r="AQ55" s="773"/>
      <c r="AR55" s="773"/>
      <c r="AS55" s="773"/>
      <c r="AT55" s="773"/>
      <c r="AU55" s="773"/>
      <c r="AV55" s="773"/>
      <c r="AW55" s="773"/>
      <c r="AX55" s="773"/>
      <c r="AY55" s="773"/>
      <c r="AZ55" s="773"/>
      <c r="BA55" s="773"/>
      <c r="BB55" s="773"/>
      <c r="BC55" s="773"/>
      <c r="BD55" s="773"/>
      <c r="BE55" s="773"/>
      <c r="BF55" s="773"/>
      <c r="BG55" s="773"/>
      <c r="BH55" s="773"/>
      <c r="BI55" s="773"/>
      <c r="BJ55" s="773"/>
      <c r="BK55" s="773"/>
      <c r="BL55" s="773"/>
      <c r="BM55" s="773"/>
      <c r="BN55" s="773"/>
      <c r="BO55" s="773"/>
      <c r="BP55" s="773"/>
      <c r="BQ55" s="773"/>
      <c r="BR55" s="773"/>
      <c r="BS55" s="773"/>
      <c r="BT55" s="773"/>
      <c r="BU55" s="773"/>
      <c r="BV55" s="773"/>
      <c r="BW55" s="773"/>
      <c r="BX55" s="773"/>
      <c r="BY55" s="773"/>
      <c r="BZ55" s="773"/>
      <c r="CA55" s="773"/>
      <c r="CB55" s="773"/>
      <c r="CC55" s="773"/>
      <c r="CD55" s="773"/>
      <c r="CE55" s="773"/>
      <c r="CF55" s="773"/>
      <c r="CG55" s="773"/>
      <c r="CH55" s="773"/>
      <c r="CI55" s="773"/>
      <c r="CJ55" s="773"/>
      <c r="CK55" s="773"/>
      <c r="CL55" s="773"/>
      <c r="CM55" s="773"/>
      <c r="CN55" s="773"/>
      <c r="CO55" s="773"/>
      <c r="CP55" s="773"/>
      <c r="CQ55" s="773"/>
      <c r="CR55" s="773"/>
      <c r="CS55" s="773"/>
      <c r="CT55" s="773"/>
      <c r="CU55" s="773"/>
      <c r="CV55" s="773"/>
      <c r="CW55" s="773"/>
      <c r="CX55" s="773"/>
      <c r="CY55" s="773"/>
      <c r="CZ55" s="773"/>
      <c r="DA55" s="773"/>
      <c r="DB55" s="773"/>
      <c r="DC55" s="773"/>
      <c r="DD55" s="773"/>
      <c r="DE55" s="773"/>
      <c r="DF55" s="773"/>
      <c r="DG55" s="773"/>
      <c r="DH55" s="773"/>
      <c r="DI55" s="773"/>
      <c r="DJ55" s="773"/>
      <c r="DK55" s="773"/>
      <c r="DL55" s="773"/>
      <c r="DM55" s="773"/>
      <c r="DN55" s="773"/>
      <c r="DO55" s="773"/>
      <c r="DP55" s="773"/>
      <c r="DQ55" s="773"/>
      <c r="DR55" s="773"/>
      <c r="DS55" s="773"/>
      <c r="DT55" s="773"/>
      <c r="DU55" s="773"/>
      <c r="DV55" s="773"/>
      <c r="DW55" s="773"/>
      <c r="DX55" s="773"/>
      <c r="DY55" s="773"/>
      <c r="DZ55" s="773"/>
      <c r="EA55" s="773"/>
      <c r="EB55" s="773"/>
      <c r="EC55" s="773"/>
      <c r="ED55" s="773"/>
      <c r="EE55" s="773"/>
      <c r="EF55" s="773"/>
      <c r="EG55" s="773"/>
      <c r="EH55" s="773"/>
      <c r="EI55" s="773"/>
      <c r="EJ55" s="773"/>
      <c r="EK55" s="773"/>
      <c r="EL55" s="773"/>
      <c r="EM55" s="773"/>
      <c r="EN55" s="773"/>
      <c r="EO55" s="773"/>
      <c r="EP55" s="773"/>
      <c r="EQ55" s="773"/>
      <c r="ER55" s="773"/>
      <c r="ES55" s="773"/>
      <c r="ET55" s="773"/>
      <c r="EU55" s="773"/>
      <c r="EV55" s="773"/>
      <c r="EW55" s="773"/>
      <c r="EX55" s="773"/>
      <c r="EY55" s="780" t="s">
        <v>981</v>
      </c>
      <c r="EZ55" s="780" t="s">
        <v>982</v>
      </c>
      <c r="FA55" s="780"/>
      <c r="FB55" s="819"/>
      <c r="FC55" s="813"/>
    </row>
    <row r="56" spans="1:159" s="15" customFormat="1" ht="48.75" customHeight="1">
      <c r="A56" s="913"/>
      <c r="B56" s="1601"/>
      <c r="C56" s="818" t="s">
        <v>843</v>
      </c>
      <c r="D56" s="219" t="s">
        <v>1225</v>
      </c>
      <c r="E56" s="751">
        <f t="shared" si="9"/>
        <v>0</v>
      </c>
      <c r="F56" s="751">
        <v>0</v>
      </c>
      <c r="G56" s="751">
        <v>0</v>
      </c>
      <c r="H56" s="751">
        <v>0</v>
      </c>
      <c r="I56" s="77">
        <f t="shared" si="10"/>
        <v>0</v>
      </c>
      <c r="J56" s="751">
        <f t="shared" si="11"/>
        <v>0</v>
      </c>
      <c r="K56" s="751">
        <f t="shared" si="12"/>
        <v>0</v>
      </c>
      <c r="L56" s="751">
        <f t="shared" si="13"/>
        <v>0</v>
      </c>
      <c r="M56" s="751">
        <f t="shared" si="14"/>
        <v>0</v>
      </c>
      <c r="N56" s="751">
        <f t="shared" si="15"/>
        <v>0</v>
      </c>
      <c r="O56" s="751">
        <f t="shared" si="16"/>
        <v>0</v>
      </c>
      <c r="P56" s="751">
        <f t="shared" si="17"/>
        <v>0</v>
      </c>
      <c r="Q56" s="751"/>
      <c r="R56" s="751"/>
      <c r="S56" s="734"/>
      <c r="T56" s="734"/>
      <c r="U56" s="86"/>
      <c r="V56" s="86"/>
      <c r="W56" s="86"/>
      <c r="X56" s="86"/>
      <c r="Y56" s="734"/>
      <c r="Z56" s="734"/>
      <c r="AA56" s="734"/>
      <c r="AB56" s="734"/>
      <c r="AC56" s="734"/>
      <c r="AD56" s="734"/>
      <c r="AE56" s="734"/>
      <c r="AF56" s="734"/>
      <c r="AG56" s="734"/>
      <c r="AH56" s="734"/>
      <c r="AI56" s="734"/>
      <c r="AJ56" s="734"/>
      <c r="AK56" s="734"/>
      <c r="AL56" s="734"/>
      <c r="AM56" s="734"/>
      <c r="AN56" s="734"/>
      <c r="AO56" s="734"/>
      <c r="AP56" s="734"/>
      <c r="AQ56" s="734"/>
      <c r="AR56" s="734"/>
      <c r="AS56" s="734"/>
      <c r="AT56" s="734"/>
      <c r="AU56" s="734"/>
      <c r="AV56" s="734"/>
      <c r="AW56" s="734"/>
      <c r="AX56" s="734"/>
      <c r="AY56" s="734"/>
      <c r="AZ56" s="734"/>
      <c r="BA56" s="734"/>
      <c r="BB56" s="734"/>
      <c r="BC56" s="734"/>
      <c r="BD56" s="734"/>
      <c r="BE56" s="734"/>
      <c r="BF56" s="734"/>
      <c r="BG56" s="734"/>
      <c r="BH56" s="734"/>
      <c r="BI56" s="734"/>
      <c r="BJ56" s="734"/>
      <c r="BK56" s="734"/>
      <c r="BL56" s="734"/>
      <c r="BM56" s="734"/>
      <c r="BN56" s="734"/>
      <c r="BO56" s="734"/>
      <c r="BP56" s="734"/>
      <c r="BQ56" s="734"/>
      <c r="BR56" s="734"/>
      <c r="BS56" s="734"/>
      <c r="BT56" s="734"/>
      <c r="BU56" s="734"/>
      <c r="BV56" s="734"/>
      <c r="BW56" s="734"/>
      <c r="BX56" s="734"/>
      <c r="BY56" s="734"/>
      <c r="BZ56" s="734"/>
      <c r="CA56" s="734"/>
      <c r="CB56" s="734"/>
      <c r="CC56" s="734"/>
      <c r="CD56" s="734"/>
      <c r="CE56" s="734"/>
      <c r="CF56" s="734"/>
      <c r="CG56" s="734"/>
      <c r="CH56" s="734"/>
      <c r="CI56" s="734"/>
      <c r="CJ56" s="734"/>
      <c r="CK56" s="734"/>
      <c r="CL56" s="734"/>
      <c r="CM56" s="734"/>
      <c r="CN56" s="734"/>
      <c r="CO56" s="734"/>
      <c r="CP56" s="734"/>
      <c r="CQ56" s="734"/>
      <c r="CR56" s="734"/>
      <c r="CS56" s="734"/>
      <c r="CT56" s="734"/>
      <c r="CU56" s="734"/>
      <c r="CV56" s="734"/>
      <c r="CW56" s="734"/>
      <c r="CX56" s="734"/>
      <c r="CY56" s="734"/>
      <c r="CZ56" s="734"/>
      <c r="DA56" s="734"/>
      <c r="DB56" s="734"/>
      <c r="DC56" s="734"/>
      <c r="DD56" s="734"/>
      <c r="DE56" s="734"/>
      <c r="DF56" s="734"/>
      <c r="DG56" s="734"/>
      <c r="DH56" s="734"/>
      <c r="DI56" s="734"/>
      <c r="DJ56" s="734"/>
      <c r="DK56" s="734"/>
      <c r="DL56" s="734"/>
      <c r="DM56" s="734"/>
      <c r="DN56" s="734"/>
      <c r="DO56" s="734"/>
      <c r="DP56" s="734"/>
      <c r="DQ56" s="734"/>
      <c r="DR56" s="734"/>
      <c r="DS56" s="734"/>
      <c r="DT56" s="734"/>
      <c r="DU56" s="734"/>
      <c r="DV56" s="734"/>
      <c r="DW56" s="734"/>
      <c r="DX56" s="734"/>
      <c r="DY56" s="734"/>
      <c r="DZ56" s="734"/>
      <c r="EA56" s="734"/>
      <c r="EB56" s="734"/>
      <c r="EC56" s="734"/>
      <c r="ED56" s="734"/>
      <c r="EE56" s="734"/>
      <c r="EF56" s="734"/>
      <c r="EG56" s="734"/>
      <c r="EH56" s="734"/>
      <c r="EI56" s="734"/>
      <c r="EJ56" s="734"/>
      <c r="EK56" s="734"/>
      <c r="EL56" s="734"/>
      <c r="EM56" s="734"/>
      <c r="EN56" s="734"/>
      <c r="EO56" s="734"/>
      <c r="EP56" s="734"/>
      <c r="EQ56" s="734"/>
      <c r="ER56" s="734"/>
      <c r="ES56" s="734"/>
      <c r="ET56" s="734"/>
      <c r="EU56" s="734"/>
      <c r="EV56" s="734"/>
      <c r="EW56" s="734"/>
      <c r="EX56" s="734"/>
      <c r="EY56" s="780"/>
      <c r="EZ56" s="780"/>
      <c r="FA56" s="780"/>
      <c r="FB56" s="819"/>
      <c r="FC56" s="813"/>
    </row>
    <row r="57" spans="1:159" s="15" customFormat="1" ht="33" customHeight="1">
      <c r="A57" s="734"/>
      <c r="B57" s="1600"/>
      <c r="C57" s="754" t="s">
        <v>843</v>
      </c>
      <c r="D57" s="755" t="s">
        <v>1176</v>
      </c>
      <c r="E57" s="751">
        <f t="shared" si="9"/>
        <v>0</v>
      </c>
      <c r="F57" s="751">
        <v>0</v>
      </c>
      <c r="G57" s="751">
        <v>0</v>
      </c>
      <c r="H57" s="751">
        <v>0</v>
      </c>
      <c r="I57" s="77">
        <f t="shared" si="10"/>
        <v>0</v>
      </c>
      <c r="J57" s="751">
        <f t="shared" si="11"/>
        <v>0</v>
      </c>
      <c r="K57" s="751">
        <f t="shared" si="12"/>
        <v>0</v>
      </c>
      <c r="L57" s="751">
        <f t="shared" si="13"/>
        <v>0</v>
      </c>
      <c r="M57" s="751">
        <f t="shared" si="14"/>
        <v>0</v>
      </c>
      <c r="N57" s="751">
        <f t="shared" si="15"/>
        <v>0</v>
      </c>
      <c r="O57" s="751">
        <f t="shared" si="16"/>
        <v>0</v>
      </c>
      <c r="P57" s="751">
        <f t="shared" si="17"/>
        <v>0</v>
      </c>
      <c r="Q57" s="751"/>
      <c r="R57" s="751"/>
      <c r="S57" s="734"/>
      <c r="T57" s="734"/>
      <c r="U57" s="86"/>
      <c r="V57" s="86"/>
      <c r="W57" s="86"/>
      <c r="X57" s="86"/>
      <c r="Y57" s="734"/>
      <c r="Z57" s="734"/>
      <c r="AA57" s="734"/>
      <c r="AB57" s="734"/>
      <c r="AC57" s="734"/>
      <c r="AD57" s="734"/>
      <c r="AE57" s="734"/>
      <c r="AF57" s="734"/>
      <c r="AG57" s="734"/>
      <c r="AH57" s="734"/>
      <c r="AI57" s="734"/>
      <c r="AJ57" s="734"/>
      <c r="AK57" s="734"/>
      <c r="AL57" s="734"/>
      <c r="AM57" s="734"/>
      <c r="AN57" s="734"/>
      <c r="AO57" s="734"/>
      <c r="AP57" s="734"/>
      <c r="AQ57" s="734"/>
      <c r="AR57" s="734"/>
      <c r="AS57" s="734"/>
      <c r="AT57" s="734"/>
      <c r="AU57" s="734"/>
      <c r="AV57" s="734"/>
      <c r="AW57" s="734"/>
      <c r="AX57" s="734"/>
      <c r="AY57" s="734"/>
      <c r="AZ57" s="734"/>
      <c r="BA57" s="734"/>
      <c r="BB57" s="734"/>
      <c r="BC57" s="734"/>
      <c r="BD57" s="734"/>
      <c r="BE57" s="734"/>
      <c r="BF57" s="734"/>
      <c r="BG57" s="734"/>
      <c r="BH57" s="734"/>
      <c r="BI57" s="734"/>
      <c r="BJ57" s="734"/>
      <c r="BK57" s="734"/>
      <c r="BL57" s="734"/>
      <c r="BM57" s="734"/>
      <c r="BN57" s="734"/>
      <c r="BO57" s="734"/>
      <c r="BP57" s="734"/>
      <c r="BQ57" s="734"/>
      <c r="BR57" s="734"/>
      <c r="BS57" s="734"/>
      <c r="BT57" s="734"/>
      <c r="BU57" s="734"/>
      <c r="BV57" s="734"/>
      <c r="BW57" s="734"/>
      <c r="BX57" s="734"/>
      <c r="BY57" s="734"/>
      <c r="BZ57" s="734"/>
      <c r="CA57" s="734"/>
      <c r="CB57" s="734"/>
      <c r="CC57" s="734"/>
      <c r="CD57" s="734"/>
      <c r="CE57" s="734"/>
      <c r="CF57" s="734"/>
      <c r="CG57" s="734"/>
      <c r="CH57" s="734"/>
      <c r="CI57" s="734"/>
      <c r="CJ57" s="734"/>
      <c r="CK57" s="734"/>
      <c r="CL57" s="734"/>
      <c r="CM57" s="734"/>
      <c r="CN57" s="734"/>
      <c r="CO57" s="734"/>
      <c r="CP57" s="734"/>
      <c r="CQ57" s="734"/>
      <c r="CR57" s="734"/>
      <c r="CS57" s="734"/>
      <c r="CT57" s="734"/>
      <c r="CU57" s="734"/>
      <c r="CV57" s="734"/>
      <c r="CW57" s="734"/>
      <c r="CX57" s="734"/>
      <c r="CY57" s="734"/>
      <c r="CZ57" s="734"/>
      <c r="DA57" s="734"/>
      <c r="DB57" s="734"/>
      <c r="DC57" s="734"/>
      <c r="DD57" s="734"/>
      <c r="DE57" s="734"/>
      <c r="DF57" s="734"/>
      <c r="DG57" s="734"/>
      <c r="DH57" s="734"/>
      <c r="DI57" s="734"/>
      <c r="DJ57" s="734"/>
      <c r="DK57" s="734"/>
      <c r="DL57" s="734"/>
      <c r="DM57" s="734"/>
      <c r="DN57" s="734"/>
      <c r="DO57" s="734"/>
      <c r="DP57" s="734"/>
      <c r="DQ57" s="734"/>
      <c r="DR57" s="734"/>
      <c r="DS57" s="734"/>
      <c r="DT57" s="734"/>
      <c r="DU57" s="734"/>
      <c r="DV57" s="734"/>
      <c r="DW57" s="734"/>
      <c r="DX57" s="734"/>
      <c r="DY57" s="734"/>
      <c r="DZ57" s="734"/>
      <c r="EA57" s="734"/>
      <c r="EB57" s="734"/>
      <c r="EC57" s="734"/>
      <c r="ED57" s="734"/>
      <c r="EE57" s="734"/>
      <c r="EF57" s="734"/>
      <c r="EG57" s="734"/>
      <c r="EH57" s="734"/>
      <c r="EI57" s="734"/>
      <c r="EJ57" s="734"/>
      <c r="EK57" s="734"/>
      <c r="EL57" s="734"/>
      <c r="EM57" s="734"/>
      <c r="EN57" s="734"/>
      <c r="EO57" s="734"/>
      <c r="EP57" s="734"/>
      <c r="EQ57" s="734"/>
      <c r="ER57" s="734"/>
      <c r="ES57" s="734"/>
      <c r="ET57" s="734"/>
      <c r="EU57" s="734"/>
      <c r="EV57" s="734"/>
      <c r="EW57" s="734"/>
      <c r="EX57" s="734"/>
      <c r="EY57" s="755"/>
      <c r="EZ57" s="755"/>
      <c r="FA57" s="755"/>
      <c r="FB57" s="817"/>
      <c r="FC57" s="797" t="s">
        <v>1177</v>
      </c>
    </row>
    <row r="58" spans="1:159" s="15" customFormat="1" ht="33" customHeight="1">
      <c r="A58" s="248"/>
      <c r="B58" s="1601"/>
      <c r="C58" s="815" t="s">
        <v>843</v>
      </c>
      <c r="D58" s="249" t="s">
        <v>983</v>
      </c>
      <c r="E58" s="751">
        <f t="shared" si="9"/>
        <v>0</v>
      </c>
      <c r="F58" s="751">
        <v>0</v>
      </c>
      <c r="G58" s="751">
        <v>0</v>
      </c>
      <c r="H58" s="751">
        <v>0</v>
      </c>
      <c r="I58" s="77">
        <f t="shared" si="10"/>
        <v>0</v>
      </c>
      <c r="J58" s="751">
        <f t="shared" si="11"/>
        <v>0</v>
      </c>
      <c r="K58" s="751">
        <f t="shared" si="12"/>
        <v>0</v>
      </c>
      <c r="L58" s="751">
        <f t="shared" si="13"/>
        <v>0</v>
      </c>
      <c r="M58" s="751">
        <f t="shared" si="14"/>
        <v>0</v>
      </c>
      <c r="N58" s="751">
        <f t="shared" si="15"/>
        <v>0</v>
      </c>
      <c r="O58" s="751">
        <f t="shared" si="16"/>
        <v>0</v>
      </c>
      <c r="P58" s="751">
        <f t="shared" si="17"/>
        <v>0</v>
      </c>
      <c r="Q58" s="751"/>
      <c r="R58" s="751"/>
      <c r="S58" s="934"/>
      <c r="T58" s="934"/>
      <c r="U58" s="959"/>
      <c r="V58" s="959"/>
      <c r="W58" s="959"/>
      <c r="X58" s="959"/>
      <c r="Y58" s="959"/>
      <c r="Z58" s="959"/>
      <c r="AA58" s="959"/>
      <c r="AB58" s="959"/>
      <c r="AC58" s="959"/>
      <c r="AD58" s="959"/>
      <c r="AE58" s="959"/>
      <c r="AF58" s="959"/>
      <c r="AG58" s="959"/>
      <c r="AH58" s="959"/>
      <c r="AI58" s="959"/>
      <c r="AJ58" s="959"/>
      <c r="AK58" s="959"/>
      <c r="AL58" s="959"/>
      <c r="AM58" s="959"/>
      <c r="AN58" s="959"/>
      <c r="AO58" s="959"/>
      <c r="AP58" s="959"/>
      <c r="AQ58" s="959"/>
      <c r="AR58" s="959"/>
      <c r="AS58" s="959"/>
      <c r="AT58" s="959"/>
      <c r="AU58" s="959"/>
      <c r="AV58" s="959"/>
      <c r="AW58" s="959"/>
      <c r="AX58" s="959"/>
      <c r="AY58" s="959"/>
      <c r="AZ58" s="959"/>
      <c r="BA58" s="959"/>
      <c r="BB58" s="959"/>
      <c r="BC58" s="959"/>
      <c r="BD58" s="959"/>
      <c r="BE58" s="959"/>
      <c r="BF58" s="959"/>
      <c r="BG58" s="959"/>
      <c r="BH58" s="959"/>
      <c r="BI58" s="959"/>
      <c r="BJ58" s="959"/>
      <c r="BK58" s="959"/>
      <c r="BL58" s="959"/>
      <c r="BM58" s="959"/>
      <c r="BN58" s="959"/>
      <c r="BO58" s="959"/>
      <c r="BP58" s="959"/>
      <c r="BQ58" s="959"/>
      <c r="BR58" s="959"/>
      <c r="BS58" s="959"/>
      <c r="BT58" s="959"/>
      <c r="BU58" s="959"/>
      <c r="BV58" s="959"/>
      <c r="BW58" s="959"/>
      <c r="BX58" s="959"/>
      <c r="BY58" s="959"/>
      <c r="BZ58" s="959"/>
      <c r="CA58" s="959"/>
      <c r="CB58" s="959"/>
      <c r="CC58" s="959"/>
      <c r="CD58" s="959"/>
      <c r="CE58" s="959"/>
      <c r="CF58" s="959"/>
      <c r="CG58" s="959"/>
      <c r="CH58" s="959"/>
      <c r="CI58" s="959"/>
      <c r="CJ58" s="959"/>
      <c r="CK58" s="959"/>
      <c r="CL58" s="959"/>
      <c r="CM58" s="959"/>
      <c r="CN58" s="959"/>
      <c r="CO58" s="959"/>
      <c r="CP58" s="959"/>
      <c r="CQ58" s="959"/>
      <c r="CR58" s="959"/>
      <c r="CS58" s="959"/>
      <c r="CT58" s="959"/>
      <c r="CU58" s="959"/>
      <c r="CV58" s="959"/>
      <c r="CW58" s="959"/>
      <c r="CX58" s="959"/>
      <c r="CY58" s="959"/>
      <c r="CZ58" s="959"/>
      <c r="DA58" s="959"/>
      <c r="DB58" s="959"/>
      <c r="DC58" s="959"/>
      <c r="DD58" s="959"/>
      <c r="DE58" s="959"/>
      <c r="DF58" s="959"/>
      <c r="DG58" s="959"/>
      <c r="DH58" s="959"/>
      <c r="DI58" s="959"/>
      <c r="DJ58" s="959"/>
      <c r="DK58" s="959"/>
      <c r="DL58" s="959"/>
      <c r="DM58" s="959"/>
      <c r="DN58" s="959"/>
      <c r="DO58" s="959"/>
      <c r="DP58" s="959"/>
      <c r="DQ58" s="959"/>
      <c r="DR58" s="959"/>
      <c r="DS58" s="959"/>
      <c r="DT58" s="959"/>
      <c r="DU58" s="959"/>
      <c r="DV58" s="959"/>
      <c r="DW58" s="959"/>
      <c r="DX58" s="959"/>
      <c r="DY58" s="959"/>
      <c r="DZ58" s="959"/>
      <c r="EA58" s="959"/>
      <c r="EB58" s="959"/>
      <c r="EC58" s="959"/>
      <c r="ED58" s="959"/>
      <c r="EE58" s="959"/>
      <c r="EF58" s="959"/>
      <c r="EG58" s="959"/>
      <c r="EH58" s="959"/>
      <c r="EI58" s="959"/>
      <c r="EJ58" s="959"/>
      <c r="EK58" s="959"/>
      <c r="EL58" s="959"/>
      <c r="EM58" s="959"/>
      <c r="EN58" s="959"/>
      <c r="EO58" s="959"/>
      <c r="EP58" s="959"/>
      <c r="EQ58" s="959"/>
      <c r="ER58" s="959"/>
      <c r="ES58" s="959"/>
      <c r="ET58" s="959"/>
      <c r="EU58" s="959"/>
      <c r="EV58" s="959"/>
      <c r="EW58" s="959"/>
      <c r="EX58" s="814"/>
      <c r="EY58" s="87" t="s">
        <v>984</v>
      </c>
      <c r="EZ58" s="87"/>
      <c r="FA58" s="87"/>
      <c r="FB58" s="820"/>
      <c r="FC58" s="315" t="s">
        <v>847</v>
      </c>
    </row>
    <row r="59" spans="1:159" s="15" customFormat="1" ht="71.25">
      <c r="A59" s="215">
        <v>3</v>
      </c>
      <c r="B59" s="1601"/>
      <c r="C59" s="217" t="s">
        <v>985</v>
      </c>
      <c r="D59" s="218" t="s">
        <v>986</v>
      </c>
      <c r="E59" s="751">
        <f t="shared" si="9"/>
        <v>0</v>
      </c>
      <c r="F59" s="751">
        <v>0</v>
      </c>
      <c r="G59" s="751">
        <v>0</v>
      </c>
      <c r="H59" s="751">
        <v>0</v>
      </c>
      <c r="I59" s="77">
        <f t="shared" si="10"/>
        <v>0</v>
      </c>
      <c r="J59" s="751">
        <f t="shared" si="11"/>
        <v>0</v>
      </c>
      <c r="K59" s="751">
        <f t="shared" si="12"/>
        <v>0</v>
      </c>
      <c r="L59" s="751">
        <f t="shared" si="13"/>
        <v>0</v>
      </c>
      <c r="M59" s="751">
        <f t="shared" si="14"/>
        <v>0</v>
      </c>
      <c r="N59" s="751">
        <f t="shared" si="15"/>
        <v>0</v>
      </c>
      <c r="O59" s="751">
        <f t="shared" si="16"/>
        <v>0</v>
      </c>
      <c r="P59" s="751">
        <f t="shared" si="17"/>
        <v>0</v>
      </c>
      <c r="Q59" s="751"/>
      <c r="R59" s="751"/>
      <c r="S59" s="773"/>
      <c r="T59" s="773"/>
      <c r="U59" s="950"/>
      <c r="V59" s="950"/>
      <c r="W59" s="950"/>
      <c r="X59" s="950"/>
      <c r="Y59" s="773"/>
      <c r="Z59" s="773"/>
      <c r="AA59" s="773"/>
      <c r="AB59" s="773"/>
      <c r="AC59" s="773"/>
      <c r="AD59" s="773"/>
      <c r="AE59" s="773"/>
      <c r="AF59" s="773"/>
      <c r="AG59" s="773"/>
      <c r="AH59" s="773"/>
      <c r="AI59" s="773"/>
      <c r="AJ59" s="773"/>
      <c r="AK59" s="773"/>
      <c r="AL59" s="773"/>
      <c r="AM59" s="773"/>
      <c r="AN59" s="773"/>
      <c r="AO59" s="773"/>
      <c r="AP59" s="773"/>
      <c r="AQ59" s="773"/>
      <c r="AR59" s="773"/>
      <c r="AS59" s="773"/>
      <c r="AT59" s="773"/>
      <c r="AU59" s="773"/>
      <c r="AV59" s="773"/>
      <c r="AW59" s="773"/>
      <c r="AX59" s="773"/>
      <c r="AY59" s="773"/>
      <c r="AZ59" s="773"/>
      <c r="BA59" s="773"/>
      <c r="BB59" s="773"/>
      <c r="BC59" s="773"/>
      <c r="BD59" s="773"/>
      <c r="BE59" s="773"/>
      <c r="BF59" s="773"/>
      <c r="BG59" s="773"/>
      <c r="BH59" s="773"/>
      <c r="BI59" s="773"/>
      <c r="BJ59" s="773"/>
      <c r="BK59" s="773"/>
      <c r="BL59" s="773"/>
      <c r="BM59" s="773"/>
      <c r="BN59" s="773"/>
      <c r="BO59" s="773"/>
      <c r="BP59" s="773"/>
      <c r="BQ59" s="773"/>
      <c r="BR59" s="773"/>
      <c r="BS59" s="773"/>
      <c r="BT59" s="773"/>
      <c r="BU59" s="773"/>
      <c r="BV59" s="773"/>
      <c r="BW59" s="773"/>
      <c r="BX59" s="773"/>
      <c r="BY59" s="773"/>
      <c r="BZ59" s="773"/>
      <c r="CA59" s="773"/>
      <c r="CB59" s="773"/>
      <c r="CC59" s="773"/>
      <c r="CD59" s="773"/>
      <c r="CE59" s="773"/>
      <c r="CF59" s="773"/>
      <c r="CG59" s="773"/>
      <c r="CH59" s="773"/>
      <c r="CI59" s="773"/>
      <c r="CJ59" s="773"/>
      <c r="CK59" s="773"/>
      <c r="CL59" s="773"/>
      <c r="CM59" s="773"/>
      <c r="CN59" s="773"/>
      <c r="CO59" s="773"/>
      <c r="CP59" s="773"/>
      <c r="CQ59" s="773"/>
      <c r="CR59" s="773"/>
      <c r="CS59" s="773"/>
      <c r="CT59" s="773"/>
      <c r="CU59" s="773"/>
      <c r="CV59" s="773"/>
      <c r="CW59" s="773"/>
      <c r="CX59" s="773"/>
      <c r="CY59" s="773"/>
      <c r="CZ59" s="773"/>
      <c r="DA59" s="773"/>
      <c r="DB59" s="773"/>
      <c r="DC59" s="773"/>
      <c r="DD59" s="773"/>
      <c r="DE59" s="773"/>
      <c r="DF59" s="773"/>
      <c r="DG59" s="773"/>
      <c r="DH59" s="773"/>
      <c r="DI59" s="773"/>
      <c r="DJ59" s="773"/>
      <c r="DK59" s="773"/>
      <c r="DL59" s="773"/>
      <c r="DM59" s="773"/>
      <c r="DN59" s="773"/>
      <c r="DO59" s="773"/>
      <c r="DP59" s="773"/>
      <c r="DQ59" s="773"/>
      <c r="DR59" s="773"/>
      <c r="DS59" s="773"/>
      <c r="DT59" s="773"/>
      <c r="DU59" s="773"/>
      <c r="DV59" s="773"/>
      <c r="DW59" s="773"/>
      <c r="DX59" s="773"/>
      <c r="DY59" s="773"/>
      <c r="DZ59" s="773"/>
      <c r="EA59" s="773"/>
      <c r="EB59" s="773"/>
      <c r="EC59" s="773"/>
      <c r="ED59" s="773"/>
      <c r="EE59" s="773"/>
      <c r="EF59" s="773"/>
      <c r="EG59" s="773"/>
      <c r="EH59" s="773"/>
      <c r="EI59" s="773"/>
      <c r="EJ59" s="773"/>
      <c r="EK59" s="773"/>
      <c r="EL59" s="773"/>
      <c r="EM59" s="773"/>
      <c r="EN59" s="773"/>
      <c r="EO59" s="773"/>
      <c r="EP59" s="773"/>
      <c r="EQ59" s="773"/>
      <c r="ER59" s="773"/>
      <c r="ES59" s="773"/>
      <c r="ET59" s="773"/>
      <c r="EU59" s="773"/>
      <c r="EV59" s="773"/>
      <c r="EW59" s="773"/>
      <c r="EX59" s="65"/>
      <c r="EY59" s="85" t="s">
        <v>987</v>
      </c>
      <c r="EZ59" s="85"/>
      <c r="FA59" s="85"/>
      <c r="FB59" s="313"/>
      <c r="FC59" s="239" t="s">
        <v>988</v>
      </c>
    </row>
    <row r="60" spans="1:159" s="15" customFormat="1" ht="57">
      <c r="A60" s="215"/>
      <c r="B60" s="1601"/>
      <c r="C60" s="217" t="s">
        <v>843</v>
      </c>
      <c r="D60" s="218" t="s">
        <v>989</v>
      </c>
      <c r="E60" s="751">
        <f t="shared" si="9"/>
        <v>0</v>
      </c>
      <c r="F60" s="751">
        <v>0</v>
      </c>
      <c r="G60" s="751">
        <v>0</v>
      </c>
      <c r="H60" s="751">
        <v>0</v>
      </c>
      <c r="I60" s="77">
        <f t="shared" si="10"/>
        <v>0</v>
      </c>
      <c r="J60" s="751">
        <f t="shared" si="11"/>
        <v>0</v>
      </c>
      <c r="K60" s="751">
        <f t="shared" si="12"/>
        <v>0</v>
      </c>
      <c r="L60" s="751">
        <f t="shared" si="13"/>
        <v>0</v>
      </c>
      <c r="M60" s="751">
        <f t="shared" si="14"/>
        <v>0</v>
      </c>
      <c r="N60" s="751">
        <f t="shared" si="15"/>
        <v>0</v>
      </c>
      <c r="O60" s="751">
        <f t="shared" si="16"/>
        <v>0</v>
      </c>
      <c r="P60" s="751">
        <f t="shared" si="17"/>
        <v>0</v>
      </c>
      <c r="Q60" s="751"/>
      <c r="R60" s="751"/>
      <c r="S60" s="773"/>
      <c r="T60" s="773"/>
      <c r="U60" s="950"/>
      <c r="V60" s="950"/>
      <c r="W60" s="950"/>
      <c r="X60" s="950"/>
      <c r="Y60" s="773"/>
      <c r="Z60" s="773"/>
      <c r="AA60" s="773"/>
      <c r="AB60" s="773"/>
      <c r="AC60" s="773"/>
      <c r="AD60" s="773"/>
      <c r="AE60" s="773"/>
      <c r="AF60" s="773"/>
      <c r="AG60" s="773"/>
      <c r="AH60" s="773"/>
      <c r="AI60" s="773"/>
      <c r="AJ60" s="773"/>
      <c r="AK60" s="773"/>
      <c r="AL60" s="773"/>
      <c r="AM60" s="773"/>
      <c r="AN60" s="773"/>
      <c r="AO60" s="773"/>
      <c r="AP60" s="773"/>
      <c r="AQ60" s="773"/>
      <c r="AR60" s="773"/>
      <c r="AS60" s="773"/>
      <c r="AT60" s="773"/>
      <c r="AU60" s="773"/>
      <c r="AV60" s="773"/>
      <c r="AW60" s="773"/>
      <c r="AX60" s="773"/>
      <c r="AY60" s="773"/>
      <c r="AZ60" s="773"/>
      <c r="BA60" s="773"/>
      <c r="BB60" s="773"/>
      <c r="BC60" s="773"/>
      <c r="BD60" s="773"/>
      <c r="BE60" s="773"/>
      <c r="BF60" s="773"/>
      <c r="BG60" s="773"/>
      <c r="BH60" s="773"/>
      <c r="BI60" s="773"/>
      <c r="BJ60" s="773"/>
      <c r="BK60" s="773"/>
      <c r="BL60" s="773"/>
      <c r="BM60" s="773"/>
      <c r="BN60" s="773"/>
      <c r="BO60" s="773"/>
      <c r="BP60" s="773"/>
      <c r="BQ60" s="773"/>
      <c r="BR60" s="773"/>
      <c r="BS60" s="773"/>
      <c r="BT60" s="773"/>
      <c r="BU60" s="773"/>
      <c r="BV60" s="773"/>
      <c r="BW60" s="773"/>
      <c r="BX60" s="773"/>
      <c r="BY60" s="773"/>
      <c r="BZ60" s="773"/>
      <c r="CA60" s="773"/>
      <c r="CB60" s="773"/>
      <c r="CC60" s="773"/>
      <c r="CD60" s="773"/>
      <c r="CE60" s="773"/>
      <c r="CF60" s="773"/>
      <c r="CG60" s="773"/>
      <c r="CH60" s="773"/>
      <c r="CI60" s="773"/>
      <c r="CJ60" s="773"/>
      <c r="CK60" s="773"/>
      <c r="CL60" s="773"/>
      <c r="CM60" s="773"/>
      <c r="CN60" s="773"/>
      <c r="CO60" s="773"/>
      <c r="CP60" s="773"/>
      <c r="CQ60" s="773"/>
      <c r="CR60" s="773"/>
      <c r="CS60" s="773"/>
      <c r="CT60" s="773"/>
      <c r="CU60" s="773"/>
      <c r="CV60" s="773"/>
      <c r="CW60" s="773"/>
      <c r="CX60" s="773"/>
      <c r="CY60" s="773"/>
      <c r="CZ60" s="773"/>
      <c r="DA60" s="773"/>
      <c r="DB60" s="773"/>
      <c r="DC60" s="773"/>
      <c r="DD60" s="773"/>
      <c r="DE60" s="773"/>
      <c r="DF60" s="773"/>
      <c r="DG60" s="773"/>
      <c r="DH60" s="773"/>
      <c r="DI60" s="773"/>
      <c r="DJ60" s="773"/>
      <c r="DK60" s="773"/>
      <c r="DL60" s="773"/>
      <c r="DM60" s="773"/>
      <c r="DN60" s="773"/>
      <c r="DO60" s="773"/>
      <c r="DP60" s="773"/>
      <c r="DQ60" s="773"/>
      <c r="DR60" s="773"/>
      <c r="DS60" s="773"/>
      <c r="DT60" s="773"/>
      <c r="DU60" s="773"/>
      <c r="DV60" s="773"/>
      <c r="DW60" s="773"/>
      <c r="DX60" s="773"/>
      <c r="DY60" s="773"/>
      <c r="DZ60" s="773"/>
      <c r="EA60" s="773"/>
      <c r="EB60" s="773"/>
      <c r="EC60" s="773"/>
      <c r="ED60" s="773"/>
      <c r="EE60" s="773"/>
      <c r="EF60" s="773"/>
      <c r="EG60" s="773"/>
      <c r="EH60" s="773"/>
      <c r="EI60" s="773"/>
      <c r="EJ60" s="773"/>
      <c r="EK60" s="773"/>
      <c r="EL60" s="773"/>
      <c r="EM60" s="773"/>
      <c r="EN60" s="773"/>
      <c r="EO60" s="773"/>
      <c r="EP60" s="773"/>
      <c r="EQ60" s="773"/>
      <c r="ER60" s="773"/>
      <c r="ES60" s="773"/>
      <c r="ET60" s="773"/>
      <c r="EU60" s="773"/>
      <c r="EV60" s="773"/>
      <c r="EW60" s="773"/>
      <c r="EX60" s="65"/>
      <c r="EY60" s="85"/>
      <c r="EZ60" s="85" t="s">
        <v>990</v>
      </c>
      <c r="FA60" s="85"/>
      <c r="FB60" s="313"/>
      <c r="FC60" s="239"/>
    </row>
    <row r="61" spans="1:159" s="15" customFormat="1" ht="42.75">
      <c r="A61" s="215">
        <v>4</v>
      </c>
      <c r="B61" s="1601"/>
      <c r="C61" s="212" t="s">
        <v>843</v>
      </c>
      <c r="D61" s="219" t="s">
        <v>991</v>
      </c>
      <c r="E61" s="751">
        <f t="shared" si="9"/>
        <v>0</v>
      </c>
      <c r="F61" s="751">
        <v>0</v>
      </c>
      <c r="G61" s="751">
        <v>0</v>
      </c>
      <c r="H61" s="751">
        <v>0</v>
      </c>
      <c r="I61" s="77">
        <f t="shared" si="10"/>
        <v>0</v>
      </c>
      <c r="J61" s="751">
        <f t="shared" si="11"/>
        <v>0</v>
      </c>
      <c r="K61" s="751">
        <f t="shared" si="12"/>
        <v>0</v>
      </c>
      <c r="L61" s="751">
        <f t="shared" si="13"/>
        <v>0</v>
      </c>
      <c r="M61" s="751">
        <f t="shared" si="14"/>
        <v>0</v>
      </c>
      <c r="N61" s="751">
        <f t="shared" si="15"/>
        <v>0</v>
      </c>
      <c r="O61" s="751">
        <f t="shared" si="16"/>
        <v>0</v>
      </c>
      <c r="P61" s="751">
        <f t="shared" si="17"/>
        <v>0</v>
      </c>
      <c r="Q61" s="751"/>
      <c r="R61" s="751"/>
      <c r="S61" s="773"/>
      <c r="T61" s="773"/>
      <c r="U61" s="950"/>
      <c r="V61" s="950"/>
      <c r="W61" s="950"/>
      <c r="X61" s="950"/>
      <c r="Y61" s="773"/>
      <c r="Z61" s="773"/>
      <c r="AA61" s="773"/>
      <c r="AB61" s="773"/>
      <c r="AC61" s="773"/>
      <c r="AD61" s="773"/>
      <c r="AE61" s="773"/>
      <c r="AF61" s="773"/>
      <c r="AG61" s="773"/>
      <c r="AH61" s="773"/>
      <c r="AI61" s="773"/>
      <c r="AJ61" s="773"/>
      <c r="AK61" s="773"/>
      <c r="AL61" s="773"/>
      <c r="AM61" s="773"/>
      <c r="AN61" s="773"/>
      <c r="AO61" s="773"/>
      <c r="AP61" s="773"/>
      <c r="AQ61" s="773"/>
      <c r="AR61" s="773"/>
      <c r="AS61" s="773"/>
      <c r="AT61" s="773"/>
      <c r="AU61" s="773"/>
      <c r="AV61" s="773"/>
      <c r="AW61" s="773"/>
      <c r="AX61" s="773"/>
      <c r="AY61" s="773"/>
      <c r="AZ61" s="773"/>
      <c r="BA61" s="773"/>
      <c r="BB61" s="773"/>
      <c r="BC61" s="773"/>
      <c r="BD61" s="773"/>
      <c r="BE61" s="773"/>
      <c r="BF61" s="773"/>
      <c r="BG61" s="773"/>
      <c r="BH61" s="773"/>
      <c r="BI61" s="773"/>
      <c r="BJ61" s="773"/>
      <c r="BK61" s="773"/>
      <c r="BL61" s="773"/>
      <c r="BM61" s="773"/>
      <c r="BN61" s="773"/>
      <c r="BO61" s="773"/>
      <c r="BP61" s="773"/>
      <c r="BQ61" s="773"/>
      <c r="BR61" s="773"/>
      <c r="BS61" s="773"/>
      <c r="BT61" s="773"/>
      <c r="BU61" s="773"/>
      <c r="BV61" s="773"/>
      <c r="BW61" s="773"/>
      <c r="BX61" s="773"/>
      <c r="BY61" s="773"/>
      <c r="BZ61" s="773"/>
      <c r="CA61" s="773"/>
      <c r="CB61" s="773"/>
      <c r="CC61" s="773"/>
      <c r="CD61" s="773"/>
      <c r="CE61" s="773"/>
      <c r="CF61" s="773"/>
      <c r="CG61" s="773"/>
      <c r="CH61" s="773"/>
      <c r="CI61" s="773"/>
      <c r="CJ61" s="773"/>
      <c r="CK61" s="773"/>
      <c r="CL61" s="773"/>
      <c r="CM61" s="773"/>
      <c r="CN61" s="773"/>
      <c r="CO61" s="773"/>
      <c r="CP61" s="773"/>
      <c r="CQ61" s="773"/>
      <c r="CR61" s="773"/>
      <c r="CS61" s="773"/>
      <c r="CT61" s="773"/>
      <c r="CU61" s="773"/>
      <c r="CV61" s="773"/>
      <c r="CW61" s="773"/>
      <c r="CX61" s="773"/>
      <c r="CY61" s="773"/>
      <c r="CZ61" s="773"/>
      <c r="DA61" s="773"/>
      <c r="DB61" s="773"/>
      <c r="DC61" s="773"/>
      <c r="DD61" s="773"/>
      <c r="DE61" s="773"/>
      <c r="DF61" s="773"/>
      <c r="DG61" s="773"/>
      <c r="DH61" s="773"/>
      <c r="DI61" s="773"/>
      <c r="DJ61" s="773"/>
      <c r="DK61" s="773"/>
      <c r="DL61" s="773"/>
      <c r="DM61" s="773"/>
      <c r="DN61" s="773"/>
      <c r="DO61" s="773"/>
      <c r="DP61" s="773"/>
      <c r="DQ61" s="773"/>
      <c r="DR61" s="773"/>
      <c r="DS61" s="773"/>
      <c r="DT61" s="773"/>
      <c r="DU61" s="773"/>
      <c r="DV61" s="773"/>
      <c r="DW61" s="773"/>
      <c r="DX61" s="773"/>
      <c r="DY61" s="773"/>
      <c r="DZ61" s="773"/>
      <c r="EA61" s="773"/>
      <c r="EB61" s="773"/>
      <c r="EC61" s="773"/>
      <c r="ED61" s="773"/>
      <c r="EE61" s="773"/>
      <c r="EF61" s="773"/>
      <c r="EG61" s="773"/>
      <c r="EH61" s="773"/>
      <c r="EI61" s="773"/>
      <c r="EJ61" s="773"/>
      <c r="EK61" s="773"/>
      <c r="EL61" s="773"/>
      <c r="EM61" s="773"/>
      <c r="EN61" s="773"/>
      <c r="EO61" s="773"/>
      <c r="EP61" s="773"/>
      <c r="EQ61" s="773"/>
      <c r="ER61" s="773"/>
      <c r="ES61" s="773"/>
      <c r="ET61" s="773"/>
      <c r="EU61" s="773"/>
      <c r="EV61" s="773"/>
      <c r="EW61" s="773"/>
      <c r="EX61" s="65"/>
      <c r="EY61" s="84" t="s">
        <v>992</v>
      </c>
      <c r="EZ61" s="85"/>
      <c r="FA61" s="85"/>
      <c r="FB61" s="313"/>
      <c r="FC61" s="239" t="s">
        <v>862</v>
      </c>
    </row>
    <row r="62" spans="1:159" s="15" customFormat="1" ht="57">
      <c r="A62" s="215">
        <v>5</v>
      </c>
      <c r="B62" s="1599"/>
      <c r="C62" s="217" t="s">
        <v>843</v>
      </c>
      <c r="D62" s="85" t="s">
        <v>993</v>
      </c>
      <c r="E62" s="751">
        <f t="shared" si="9"/>
        <v>0</v>
      </c>
      <c r="F62" s="751">
        <v>0</v>
      </c>
      <c r="G62" s="751">
        <v>0</v>
      </c>
      <c r="H62" s="751">
        <v>0</v>
      </c>
      <c r="I62" s="77">
        <f t="shared" si="10"/>
        <v>0</v>
      </c>
      <c r="J62" s="751">
        <f t="shared" si="11"/>
        <v>0</v>
      </c>
      <c r="K62" s="751">
        <f t="shared" si="12"/>
        <v>0</v>
      </c>
      <c r="L62" s="751">
        <f t="shared" si="13"/>
        <v>0</v>
      </c>
      <c r="M62" s="751">
        <f t="shared" si="14"/>
        <v>0</v>
      </c>
      <c r="N62" s="751">
        <f t="shared" si="15"/>
        <v>0</v>
      </c>
      <c r="O62" s="751">
        <f t="shared" si="16"/>
        <v>0</v>
      </c>
      <c r="P62" s="751">
        <f t="shared" si="17"/>
        <v>0</v>
      </c>
      <c r="Q62" s="751"/>
      <c r="R62" s="751"/>
      <c r="S62" s="734"/>
      <c r="T62" s="734"/>
      <c r="U62" s="86"/>
      <c r="V62" s="86"/>
      <c r="W62" s="86"/>
      <c r="X62" s="86"/>
      <c r="Y62" s="734"/>
      <c r="Z62" s="734"/>
      <c r="AA62" s="734"/>
      <c r="AB62" s="734"/>
      <c r="AC62" s="734"/>
      <c r="AD62" s="734"/>
      <c r="AE62" s="734"/>
      <c r="AF62" s="734"/>
      <c r="AG62" s="734"/>
      <c r="AH62" s="734"/>
      <c r="AI62" s="734"/>
      <c r="AJ62" s="734"/>
      <c r="AK62" s="734"/>
      <c r="AL62" s="734"/>
      <c r="AM62" s="734"/>
      <c r="AN62" s="734"/>
      <c r="AO62" s="734"/>
      <c r="AP62" s="734"/>
      <c r="AQ62" s="734"/>
      <c r="AR62" s="734"/>
      <c r="AS62" s="734"/>
      <c r="AT62" s="734"/>
      <c r="AU62" s="734"/>
      <c r="AV62" s="734"/>
      <c r="AW62" s="734"/>
      <c r="AX62" s="734"/>
      <c r="AY62" s="734"/>
      <c r="AZ62" s="734"/>
      <c r="BA62" s="734"/>
      <c r="BB62" s="734"/>
      <c r="BC62" s="734"/>
      <c r="BD62" s="734"/>
      <c r="BE62" s="734"/>
      <c r="BF62" s="734"/>
      <c r="BG62" s="734"/>
      <c r="BH62" s="734"/>
      <c r="BI62" s="734"/>
      <c r="BJ62" s="734"/>
      <c r="BK62" s="734"/>
      <c r="BL62" s="734"/>
      <c r="BM62" s="734"/>
      <c r="BN62" s="734"/>
      <c r="BO62" s="734"/>
      <c r="BP62" s="734"/>
      <c r="BQ62" s="734"/>
      <c r="BR62" s="734"/>
      <c r="BS62" s="734"/>
      <c r="BT62" s="734"/>
      <c r="BU62" s="734"/>
      <c r="BV62" s="734"/>
      <c r="BW62" s="734"/>
      <c r="BX62" s="734"/>
      <c r="BY62" s="734"/>
      <c r="BZ62" s="734"/>
      <c r="CA62" s="734"/>
      <c r="CB62" s="734"/>
      <c r="CC62" s="734"/>
      <c r="CD62" s="734"/>
      <c r="CE62" s="734"/>
      <c r="CF62" s="734"/>
      <c r="CG62" s="734"/>
      <c r="CH62" s="734"/>
      <c r="CI62" s="734"/>
      <c r="CJ62" s="734"/>
      <c r="CK62" s="734"/>
      <c r="CL62" s="734"/>
      <c r="CM62" s="734"/>
      <c r="CN62" s="734"/>
      <c r="CO62" s="734"/>
      <c r="CP62" s="734"/>
      <c r="CQ62" s="734"/>
      <c r="CR62" s="734"/>
      <c r="CS62" s="734"/>
      <c r="CT62" s="734"/>
      <c r="CU62" s="734"/>
      <c r="CV62" s="734"/>
      <c r="CW62" s="734"/>
      <c r="CX62" s="734"/>
      <c r="CY62" s="734"/>
      <c r="CZ62" s="734"/>
      <c r="DA62" s="734"/>
      <c r="DB62" s="734"/>
      <c r="DC62" s="734"/>
      <c r="DD62" s="734"/>
      <c r="DE62" s="734"/>
      <c r="DF62" s="734"/>
      <c r="DG62" s="734"/>
      <c r="DH62" s="734"/>
      <c r="DI62" s="734"/>
      <c r="DJ62" s="734"/>
      <c r="DK62" s="734"/>
      <c r="DL62" s="734"/>
      <c r="DM62" s="734"/>
      <c r="DN62" s="734"/>
      <c r="DO62" s="734"/>
      <c r="DP62" s="734"/>
      <c r="DQ62" s="734"/>
      <c r="DR62" s="734"/>
      <c r="DS62" s="734"/>
      <c r="DT62" s="734"/>
      <c r="DU62" s="734"/>
      <c r="DV62" s="734"/>
      <c r="DW62" s="734"/>
      <c r="DX62" s="734"/>
      <c r="DY62" s="734"/>
      <c r="DZ62" s="734"/>
      <c r="EA62" s="734"/>
      <c r="EB62" s="734"/>
      <c r="EC62" s="734"/>
      <c r="ED62" s="734"/>
      <c r="EE62" s="734"/>
      <c r="EF62" s="734"/>
      <c r="EG62" s="734"/>
      <c r="EH62" s="734"/>
      <c r="EI62" s="734"/>
      <c r="EJ62" s="734"/>
      <c r="EK62" s="734"/>
      <c r="EL62" s="734"/>
      <c r="EM62" s="734"/>
      <c r="EN62" s="734"/>
      <c r="EO62" s="734"/>
      <c r="EP62" s="734"/>
      <c r="EQ62" s="734"/>
      <c r="ER62" s="734"/>
      <c r="ES62" s="734"/>
      <c r="ET62" s="734"/>
      <c r="EU62" s="734"/>
      <c r="EV62" s="734"/>
      <c r="EW62" s="734"/>
      <c r="EX62" s="86"/>
      <c r="EY62" s="85" t="s">
        <v>994</v>
      </c>
      <c r="EZ62" s="85"/>
      <c r="FA62" s="85"/>
      <c r="FB62" s="313"/>
      <c r="FC62" s="239" t="s">
        <v>1254</v>
      </c>
    </row>
    <row r="63" spans="1:159" s="15" customFormat="1" ht="66.75" customHeight="1">
      <c r="A63" s="86"/>
      <c r="B63" s="1599"/>
      <c r="C63" s="217"/>
      <c r="D63" s="85" t="s">
        <v>995</v>
      </c>
      <c r="E63" s="751">
        <f t="shared" si="9"/>
        <v>0</v>
      </c>
      <c r="F63" s="751">
        <v>0</v>
      </c>
      <c r="G63" s="751">
        <v>0</v>
      </c>
      <c r="H63" s="751">
        <v>0</v>
      </c>
      <c r="I63" s="77">
        <f t="shared" si="10"/>
        <v>0</v>
      </c>
      <c r="J63" s="751">
        <f t="shared" si="11"/>
        <v>0</v>
      </c>
      <c r="K63" s="751">
        <f t="shared" si="12"/>
        <v>0</v>
      </c>
      <c r="L63" s="751">
        <f t="shared" si="13"/>
        <v>0</v>
      </c>
      <c r="M63" s="751">
        <f t="shared" si="14"/>
        <v>0</v>
      </c>
      <c r="N63" s="751">
        <f t="shared" si="15"/>
        <v>0</v>
      </c>
      <c r="O63" s="751">
        <f t="shared" si="16"/>
        <v>0</v>
      </c>
      <c r="P63" s="751">
        <f t="shared" si="17"/>
        <v>0</v>
      </c>
      <c r="Q63" s="751"/>
      <c r="R63" s="751"/>
      <c r="S63" s="734"/>
      <c r="T63" s="734"/>
      <c r="U63" s="86"/>
      <c r="V63" s="86"/>
      <c r="W63" s="86"/>
      <c r="X63" s="86"/>
      <c r="Y63" s="734"/>
      <c r="Z63" s="734"/>
      <c r="AA63" s="734"/>
      <c r="AB63" s="734"/>
      <c r="AC63" s="734"/>
      <c r="AD63" s="734"/>
      <c r="AE63" s="734"/>
      <c r="AF63" s="734"/>
      <c r="AG63" s="734"/>
      <c r="AH63" s="734"/>
      <c r="AI63" s="734"/>
      <c r="AJ63" s="734"/>
      <c r="AK63" s="734"/>
      <c r="AL63" s="734"/>
      <c r="AM63" s="734"/>
      <c r="AN63" s="734"/>
      <c r="AO63" s="734"/>
      <c r="AP63" s="734"/>
      <c r="AQ63" s="734"/>
      <c r="AR63" s="734"/>
      <c r="AS63" s="734"/>
      <c r="AT63" s="734"/>
      <c r="AU63" s="734"/>
      <c r="AV63" s="734"/>
      <c r="AW63" s="734"/>
      <c r="AX63" s="734"/>
      <c r="AY63" s="734"/>
      <c r="AZ63" s="734"/>
      <c r="BA63" s="734"/>
      <c r="BB63" s="734"/>
      <c r="BC63" s="734"/>
      <c r="BD63" s="734"/>
      <c r="BE63" s="734"/>
      <c r="BF63" s="734"/>
      <c r="BG63" s="734"/>
      <c r="BH63" s="734"/>
      <c r="BI63" s="734"/>
      <c r="BJ63" s="734"/>
      <c r="BK63" s="734"/>
      <c r="BL63" s="734"/>
      <c r="BM63" s="734"/>
      <c r="BN63" s="734"/>
      <c r="BO63" s="734"/>
      <c r="BP63" s="734"/>
      <c r="BQ63" s="734"/>
      <c r="BR63" s="734"/>
      <c r="BS63" s="734"/>
      <c r="BT63" s="734"/>
      <c r="BU63" s="734"/>
      <c r="BV63" s="734"/>
      <c r="BW63" s="734"/>
      <c r="BX63" s="734"/>
      <c r="BY63" s="734"/>
      <c r="BZ63" s="734"/>
      <c r="CA63" s="734"/>
      <c r="CB63" s="734"/>
      <c r="CC63" s="734"/>
      <c r="CD63" s="734"/>
      <c r="CE63" s="734"/>
      <c r="CF63" s="734"/>
      <c r="CG63" s="734"/>
      <c r="CH63" s="734"/>
      <c r="CI63" s="734"/>
      <c r="CJ63" s="734"/>
      <c r="CK63" s="734"/>
      <c r="CL63" s="734"/>
      <c r="CM63" s="734"/>
      <c r="CN63" s="734"/>
      <c r="CO63" s="734"/>
      <c r="CP63" s="734"/>
      <c r="CQ63" s="734"/>
      <c r="CR63" s="734"/>
      <c r="CS63" s="734"/>
      <c r="CT63" s="734"/>
      <c r="CU63" s="734"/>
      <c r="CV63" s="734"/>
      <c r="CW63" s="734"/>
      <c r="CX63" s="734"/>
      <c r="CY63" s="734"/>
      <c r="CZ63" s="734"/>
      <c r="DA63" s="734"/>
      <c r="DB63" s="734"/>
      <c r="DC63" s="734"/>
      <c r="DD63" s="734"/>
      <c r="DE63" s="734"/>
      <c r="DF63" s="734"/>
      <c r="DG63" s="734"/>
      <c r="DH63" s="734"/>
      <c r="DI63" s="734"/>
      <c r="DJ63" s="734"/>
      <c r="DK63" s="734"/>
      <c r="DL63" s="734"/>
      <c r="DM63" s="734"/>
      <c r="DN63" s="734"/>
      <c r="DO63" s="734"/>
      <c r="DP63" s="734"/>
      <c r="DQ63" s="734"/>
      <c r="DR63" s="734"/>
      <c r="DS63" s="734"/>
      <c r="DT63" s="734"/>
      <c r="DU63" s="734"/>
      <c r="DV63" s="734"/>
      <c r="DW63" s="734"/>
      <c r="DX63" s="734"/>
      <c r="DY63" s="734"/>
      <c r="DZ63" s="734"/>
      <c r="EA63" s="734"/>
      <c r="EB63" s="734"/>
      <c r="EC63" s="734"/>
      <c r="ED63" s="734"/>
      <c r="EE63" s="734"/>
      <c r="EF63" s="734"/>
      <c r="EG63" s="734"/>
      <c r="EH63" s="734"/>
      <c r="EI63" s="734"/>
      <c r="EJ63" s="734"/>
      <c r="EK63" s="734"/>
      <c r="EL63" s="734"/>
      <c r="EM63" s="734"/>
      <c r="EN63" s="734"/>
      <c r="EO63" s="734"/>
      <c r="EP63" s="734"/>
      <c r="EQ63" s="734"/>
      <c r="ER63" s="734"/>
      <c r="ES63" s="734"/>
      <c r="ET63" s="734"/>
      <c r="EU63" s="734"/>
      <c r="EV63" s="734"/>
      <c r="EW63" s="734"/>
      <c r="EX63" s="86"/>
      <c r="EY63" s="85"/>
      <c r="EZ63" s="85"/>
      <c r="FA63" s="85"/>
      <c r="FB63" s="313"/>
      <c r="FC63" s="241"/>
    </row>
    <row r="64" spans="1:159" s="15" customFormat="1" ht="66" customHeight="1">
      <c r="A64" s="221"/>
      <c r="B64" s="1601"/>
      <c r="C64" s="794" t="s">
        <v>843</v>
      </c>
      <c r="D64" s="297" t="s">
        <v>996</v>
      </c>
      <c r="E64" s="751">
        <f t="shared" si="9"/>
        <v>0</v>
      </c>
      <c r="F64" s="751">
        <v>0</v>
      </c>
      <c r="G64" s="751">
        <v>0</v>
      </c>
      <c r="H64" s="751">
        <v>0</v>
      </c>
      <c r="I64" s="77">
        <f t="shared" si="10"/>
        <v>0</v>
      </c>
      <c r="J64" s="751">
        <f t="shared" si="11"/>
        <v>0</v>
      </c>
      <c r="K64" s="751">
        <f t="shared" si="12"/>
        <v>0</v>
      </c>
      <c r="L64" s="751">
        <f t="shared" si="13"/>
        <v>0</v>
      </c>
      <c r="M64" s="751">
        <f t="shared" si="14"/>
        <v>0</v>
      </c>
      <c r="N64" s="751">
        <f t="shared" si="15"/>
        <v>0</v>
      </c>
      <c r="O64" s="751">
        <f t="shared" si="16"/>
        <v>0</v>
      </c>
      <c r="P64" s="751">
        <f t="shared" si="17"/>
        <v>0</v>
      </c>
      <c r="Q64" s="751"/>
      <c r="R64" s="751"/>
      <c r="S64" s="933"/>
      <c r="T64" s="933"/>
      <c r="U64" s="951"/>
      <c r="V64" s="951"/>
      <c r="W64" s="951"/>
      <c r="X64" s="951"/>
      <c r="Y64" s="968"/>
      <c r="Z64" s="973"/>
      <c r="AA64" s="979"/>
      <c r="AB64" s="979"/>
      <c r="AC64" s="979"/>
      <c r="AD64" s="979"/>
      <c r="AE64" s="979"/>
      <c r="AF64" s="979"/>
      <c r="AG64" s="979"/>
      <c r="AH64" s="991"/>
      <c r="AI64" s="998"/>
      <c r="AJ64" s="998"/>
      <c r="AK64" s="998"/>
      <c r="AL64" s="1005"/>
      <c r="AM64" s="1019"/>
      <c r="AN64" s="1025"/>
      <c r="AO64" s="1033"/>
      <c r="AP64" s="1047"/>
      <c r="AQ64" s="1056"/>
      <c r="AR64" s="1056"/>
      <c r="AS64" s="1061"/>
      <c r="AT64" s="1066"/>
      <c r="AU64" s="1072"/>
      <c r="AV64" s="1081"/>
      <c r="AW64" s="1081"/>
      <c r="AX64" s="1081"/>
      <c r="AY64" s="1081"/>
      <c r="AZ64" s="1081"/>
      <c r="BA64" s="1081"/>
      <c r="BB64" s="1081"/>
      <c r="BC64" s="1081"/>
      <c r="BD64" s="1081"/>
      <c r="BE64" s="1081"/>
      <c r="BF64" s="1081"/>
      <c r="BG64" s="1081"/>
      <c r="BH64" s="1095"/>
      <c r="BI64" s="1101"/>
      <c r="BJ64" s="1106"/>
      <c r="BK64" s="1113"/>
      <c r="BL64" s="1113"/>
      <c r="BM64" s="1113"/>
      <c r="BN64" s="1120"/>
      <c r="BO64" s="1124"/>
      <c r="BP64" s="1124"/>
      <c r="BQ64" s="1129"/>
      <c r="BR64" s="1141"/>
      <c r="BS64" s="1141"/>
      <c r="BT64" s="1141"/>
      <c r="BU64" s="1147"/>
      <c r="BV64" s="1152"/>
      <c r="BW64" s="1157"/>
      <c r="BX64" s="1157"/>
      <c r="BY64" s="1165"/>
      <c r="BZ64" s="1165"/>
      <c r="CA64" s="1165"/>
      <c r="CB64" s="1178"/>
      <c r="CC64" s="1187"/>
      <c r="CD64" s="1187"/>
      <c r="CE64" s="1194"/>
      <c r="CF64" s="1200"/>
      <c r="CG64" s="1200"/>
      <c r="CH64" s="1200"/>
      <c r="CI64" s="1211"/>
      <c r="CJ64" s="1217"/>
      <c r="CK64" s="1223"/>
      <c r="CL64" s="1237"/>
      <c r="CM64" s="1246"/>
      <c r="CN64" s="1246"/>
      <c r="CO64" s="1246"/>
      <c r="CP64" s="1252"/>
      <c r="CQ64" s="1257"/>
      <c r="CR64" s="1264"/>
      <c r="CS64" s="1270"/>
      <c r="CT64" s="1274"/>
      <c r="CU64" s="1274"/>
      <c r="CV64" s="1274"/>
      <c r="CW64" s="1285"/>
      <c r="CX64" s="1292"/>
      <c r="CY64" s="1300"/>
      <c r="CZ64" s="1306"/>
      <c r="DA64" s="1312"/>
      <c r="DB64" s="1312"/>
      <c r="DC64" s="1312"/>
      <c r="DD64" s="1320"/>
      <c r="DE64" s="1326"/>
      <c r="DF64" s="1332"/>
      <c r="DG64" s="1339"/>
      <c r="DH64" s="1339"/>
      <c r="DI64" s="1339"/>
      <c r="DJ64" s="1345"/>
      <c r="DK64" s="1352"/>
      <c r="DL64" s="1357"/>
      <c r="DM64" s="1364"/>
      <c r="DN64" s="1370"/>
      <c r="DO64" s="1380"/>
      <c r="DP64" s="1380"/>
      <c r="DQ64" s="1380"/>
      <c r="DR64" s="1388"/>
      <c r="DS64" s="1391"/>
      <c r="DT64" s="1399"/>
      <c r="DU64" s="1404"/>
      <c r="DV64" s="1418"/>
      <c r="DW64" s="1418"/>
      <c r="DX64" s="1418"/>
      <c r="DY64" s="1423"/>
      <c r="DZ64" s="1427"/>
      <c r="EA64" s="1434"/>
      <c r="EB64" s="1440"/>
      <c r="EC64" s="1447"/>
      <c r="ED64" s="1447"/>
      <c r="EE64" s="1452"/>
      <c r="EF64" s="1452"/>
      <c r="EG64" s="1452"/>
      <c r="EH64" s="1452"/>
      <c r="EI64" s="1452"/>
      <c r="EJ64" s="1452"/>
      <c r="EK64" s="1452"/>
      <c r="EL64" s="1452"/>
      <c r="EM64" s="1461"/>
      <c r="EN64" s="1466"/>
      <c r="EO64" s="1472"/>
      <c r="EP64" s="1478"/>
      <c r="EQ64" s="1485"/>
      <c r="ER64" s="1485"/>
      <c r="ES64" s="1485"/>
      <c r="ET64" s="1494"/>
      <c r="EU64" s="1501"/>
      <c r="EV64" s="1511"/>
      <c r="EW64" s="1517"/>
      <c r="EX64" s="67"/>
      <c r="EY64" s="309" t="s">
        <v>997</v>
      </c>
      <c r="EZ64" s="309" t="s">
        <v>998</v>
      </c>
      <c r="FA64" s="309" t="s">
        <v>999</v>
      </c>
      <c r="FB64" s="314"/>
      <c r="FC64" s="315"/>
    </row>
    <row r="65" spans="1:159" s="16" customFormat="1" ht="42.75" customHeight="1">
      <c r="A65" s="735"/>
      <c r="B65" s="1629"/>
      <c r="C65" s="752" t="s">
        <v>843</v>
      </c>
      <c r="D65" s="753" t="s">
        <v>1178</v>
      </c>
      <c r="E65" s="751">
        <f t="shared" si="9"/>
        <v>0</v>
      </c>
      <c r="F65" s="751">
        <v>0</v>
      </c>
      <c r="G65" s="751">
        <v>0</v>
      </c>
      <c r="H65" s="751">
        <v>0</v>
      </c>
      <c r="I65" s="77">
        <f t="shared" si="10"/>
        <v>0</v>
      </c>
      <c r="J65" s="751">
        <f t="shared" si="11"/>
        <v>0</v>
      </c>
      <c r="K65" s="751">
        <f t="shared" si="12"/>
        <v>0</v>
      </c>
      <c r="L65" s="751">
        <f t="shared" si="13"/>
        <v>0</v>
      </c>
      <c r="M65" s="751">
        <f t="shared" si="14"/>
        <v>0</v>
      </c>
      <c r="N65" s="751">
        <f t="shared" si="15"/>
        <v>0</v>
      </c>
      <c r="O65" s="751">
        <f t="shared" si="16"/>
        <v>0</v>
      </c>
      <c r="P65" s="751">
        <f t="shared" si="17"/>
        <v>0</v>
      </c>
      <c r="Q65" s="751"/>
      <c r="R65" s="751"/>
      <c r="S65" s="737"/>
      <c r="T65" s="737"/>
      <c r="U65" s="307"/>
      <c r="V65" s="307"/>
      <c r="W65" s="307"/>
      <c r="X65" s="307"/>
      <c r="Y65" s="737"/>
      <c r="Z65" s="737"/>
      <c r="AA65" s="737"/>
      <c r="AB65" s="737"/>
      <c r="AC65" s="737"/>
      <c r="AD65" s="737"/>
      <c r="AE65" s="737"/>
      <c r="AF65" s="737"/>
      <c r="AG65" s="737"/>
      <c r="AH65" s="737"/>
      <c r="AI65" s="737"/>
      <c r="AJ65" s="737"/>
      <c r="AK65" s="737"/>
      <c r="AL65" s="737"/>
      <c r="AM65" s="737"/>
      <c r="AN65" s="737"/>
      <c r="AO65" s="737"/>
      <c r="AP65" s="737"/>
      <c r="AQ65" s="737"/>
      <c r="AR65" s="737"/>
      <c r="AS65" s="737"/>
      <c r="AT65" s="737"/>
      <c r="AU65" s="737"/>
      <c r="AV65" s="737"/>
      <c r="AW65" s="737"/>
      <c r="AX65" s="737"/>
      <c r="AY65" s="737"/>
      <c r="AZ65" s="737"/>
      <c r="BA65" s="737"/>
      <c r="BB65" s="737"/>
      <c r="BC65" s="737"/>
      <c r="BD65" s="737"/>
      <c r="BE65" s="737"/>
      <c r="BF65" s="737"/>
      <c r="BG65" s="737"/>
      <c r="BH65" s="737"/>
      <c r="BI65" s="737"/>
      <c r="BJ65" s="737"/>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7"/>
      <c r="CJ65" s="737"/>
      <c r="CK65" s="737"/>
      <c r="CL65" s="737"/>
      <c r="CM65" s="737"/>
      <c r="CN65" s="737"/>
      <c r="CO65" s="737"/>
      <c r="CP65" s="737"/>
      <c r="CQ65" s="737"/>
      <c r="CR65" s="737"/>
      <c r="CS65" s="737"/>
      <c r="CT65" s="737"/>
      <c r="CU65" s="737"/>
      <c r="CV65" s="737"/>
      <c r="CW65" s="737"/>
      <c r="CX65" s="737"/>
      <c r="CY65" s="737"/>
      <c r="CZ65" s="737"/>
      <c r="DA65" s="737"/>
      <c r="DB65" s="737"/>
      <c r="DC65" s="737"/>
      <c r="DD65" s="737"/>
      <c r="DE65" s="737"/>
      <c r="DF65" s="737"/>
      <c r="DG65" s="737"/>
      <c r="DH65" s="737"/>
      <c r="DI65" s="737"/>
      <c r="DJ65" s="737"/>
      <c r="DK65" s="737"/>
      <c r="DL65" s="737"/>
      <c r="DM65" s="737"/>
      <c r="DN65" s="737"/>
      <c r="DO65" s="737"/>
      <c r="DP65" s="737"/>
      <c r="DQ65" s="737"/>
      <c r="DR65" s="737"/>
      <c r="DS65" s="737"/>
      <c r="DT65" s="737"/>
      <c r="DU65" s="737"/>
      <c r="DV65" s="737"/>
      <c r="DW65" s="737"/>
      <c r="DX65" s="737"/>
      <c r="DY65" s="737"/>
      <c r="DZ65" s="737"/>
      <c r="EA65" s="737"/>
      <c r="EB65" s="737"/>
      <c r="EC65" s="737"/>
      <c r="ED65" s="737"/>
      <c r="EE65" s="737"/>
      <c r="EF65" s="737"/>
      <c r="EG65" s="737"/>
      <c r="EH65" s="737"/>
      <c r="EI65" s="737"/>
      <c r="EJ65" s="737"/>
      <c r="EK65" s="737"/>
      <c r="EL65" s="737"/>
      <c r="EM65" s="737"/>
      <c r="EN65" s="737"/>
      <c r="EO65" s="737"/>
      <c r="EP65" s="737"/>
      <c r="EQ65" s="737"/>
      <c r="ER65" s="737"/>
      <c r="ES65" s="737"/>
      <c r="ET65" s="737"/>
      <c r="EU65" s="737"/>
      <c r="EV65" s="737"/>
      <c r="EW65" s="737"/>
      <c r="EX65" s="737"/>
      <c r="EY65" s="753" t="s">
        <v>1000</v>
      </c>
      <c r="EZ65" s="753"/>
      <c r="FA65" s="753"/>
      <c r="FB65" s="796"/>
      <c r="FC65" s="797" t="s">
        <v>1179</v>
      </c>
    </row>
    <row r="66" spans="1:159" s="15" customFormat="1" ht="51" customHeight="1">
      <c r="A66" s="248"/>
      <c r="B66" s="1612"/>
      <c r="C66" s="795" t="s">
        <v>843</v>
      </c>
      <c r="D66" s="87" t="s">
        <v>1001</v>
      </c>
      <c r="E66" s="751">
        <f t="shared" si="9"/>
        <v>0</v>
      </c>
      <c r="F66" s="751">
        <v>0</v>
      </c>
      <c r="G66" s="751">
        <v>0</v>
      </c>
      <c r="H66" s="751">
        <v>0</v>
      </c>
      <c r="I66" s="77">
        <f t="shared" si="10"/>
        <v>0</v>
      </c>
      <c r="J66" s="751">
        <f t="shared" si="11"/>
        <v>0</v>
      </c>
      <c r="K66" s="751">
        <f t="shared" si="12"/>
        <v>0</v>
      </c>
      <c r="L66" s="751">
        <f t="shared" si="13"/>
        <v>0</v>
      </c>
      <c r="M66" s="751">
        <f t="shared" si="14"/>
        <v>0</v>
      </c>
      <c r="N66" s="751">
        <f t="shared" si="15"/>
        <v>0</v>
      </c>
      <c r="O66" s="751">
        <f t="shared" si="16"/>
        <v>0</v>
      </c>
      <c r="P66" s="751">
        <f t="shared" si="17"/>
        <v>0</v>
      </c>
      <c r="Q66" s="751"/>
      <c r="R66" s="751"/>
      <c r="S66" s="933"/>
      <c r="T66" s="933"/>
      <c r="U66" s="951"/>
      <c r="V66" s="951"/>
      <c r="W66" s="951"/>
      <c r="X66" s="951"/>
      <c r="Y66" s="968"/>
      <c r="Z66" s="973"/>
      <c r="AA66" s="979"/>
      <c r="AB66" s="979"/>
      <c r="AC66" s="979"/>
      <c r="AD66" s="979"/>
      <c r="AE66" s="979"/>
      <c r="AF66" s="979"/>
      <c r="AG66" s="979"/>
      <c r="AH66" s="991"/>
      <c r="AI66" s="998"/>
      <c r="AJ66" s="998"/>
      <c r="AK66" s="998"/>
      <c r="AL66" s="1005"/>
      <c r="AM66" s="1019"/>
      <c r="AN66" s="1025"/>
      <c r="AO66" s="1033"/>
      <c r="AP66" s="1047"/>
      <c r="AQ66" s="1056"/>
      <c r="AR66" s="1056"/>
      <c r="AS66" s="1061"/>
      <c r="AT66" s="1066"/>
      <c r="AU66" s="1072"/>
      <c r="AV66" s="1081"/>
      <c r="AW66" s="1081"/>
      <c r="AX66" s="1081"/>
      <c r="AY66" s="1081"/>
      <c r="AZ66" s="1081"/>
      <c r="BA66" s="1081"/>
      <c r="BB66" s="1081"/>
      <c r="BC66" s="1081"/>
      <c r="BD66" s="1081"/>
      <c r="BE66" s="1081"/>
      <c r="BF66" s="1081"/>
      <c r="BG66" s="1081"/>
      <c r="BH66" s="1095"/>
      <c r="BI66" s="1101"/>
      <c r="BJ66" s="1106"/>
      <c r="BK66" s="1113"/>
      <c r="BL66" s="1113"/>
      <c r="BM66" s="1113"/>
      <c r="BN66" s="1120"/>
      <c r="BO66" s="1124"/>
      <c r="BP66" s="1124"/>
      <c r="BQ66" s="1129"/>
      <c r="BR66" s="1141"/>
      <c r="BS66" s="1141"/>
      <c r="BT66" s="1141"/>
      <c r="BU66" s="1147"/>
      <c r="BV66" s="1152"/>
      <c r="BW66" s="1157"/>
      <c r="BX66" s="1157"/>
      <c r="BY66" s="1165"/>
      <c r="BZ66" s="1165"/>
      <c r="CA66" s="1165"/>
      <c r="CB66" s="1178"/>
      <c r="CC66" s="1187"/>
      <c r="CD66" s="1187"/>
      <c r="CE66" s="1194"/>
      <c r="CF66" s="1200"/>
      <c r="CG66" s="1200"/>
      <c r="CH66" s="1200"/>
      <c r="CI66" s="1211"/>
      <c r="CJ66" s="1217"/>
      <c r="CK66" s="1223"/>
      <c r="CL66" s="1237"/>
      <c r="CM66" s="1246"/>
      <c r="CN66" s="1246"/>
      <c r="CO66" s="1246"/>
      <c r="CP66" s="1252"/>
      <c r="CQ66" s="1257"/>
      <c r="CR66" s="1264"/>
      <c r="CS66" s="1270"/>
      <c r="CT66" s="1274"/>
      <c r="CU66" s="1274"/>
      <c r="CV66" s="1274"/>
      <c r="CW66" s="1285"/>
      <c r="CX66" s="1292"/>
      <c r="CY66" s="1300"/>
      <c r="CZ66" s="1306"/>
      <c r="DA66" s="1312"/>
      <c r="DB66" s="1312"/>
      <c r="DC66" s="1312"/>
      <c r="DD66" s="1320"/>
      <c r="DE66" s="1326"/>
      <c r="DF66" s="1332"/>
      <c r="DG66" s="1339"/>
      <c r="DH66" s="1339"/>
      <c r="DI66" s="1339"/>
      <c r="DJ66" s="1345"/>
      <c r="DK66" s="1352"/>
      <c r="DL66" s="1357"/>
      <c r="DM66" s="1364"/>
      <c r="DN66" s="1370"/>
      <c r="DO66" s="1380"/>
      <c r="DP66" s="1380"/>
      <c r="DQ66" s="1380"/>
      <c r="DR66" s="1388"/>
      <c r="DS66" s="1391"/>
      <c r="DT66" s="1399"/>
      <c r="DU66" s="1404"/>
      <c r="DV66" s="1418"/>
      <c r="DW66" s="1418"/>
      <c r="DX66" s="1418"/>
      <c r="DY66" s="1423"/>
      <c r="DZ66" s="1427"/>
      <c r="EA66" s="1434"/>
      <c r="EB66" s="1440"/>
      <c r="EC66" s="1447"/>
      <c r="ED66" s="1447"/>
      <c r="EE66" s="1452"/>
      <c r="EF66" s="1452"/>
      <c r="EG66" s="1452"/>
      <c r="EH66" s="1452"/>
      <c r="EI66" s="1452"/>
      <c r="EJ66" s="1452"/>
      <c r="EK66" s="1452"/>
      <c r="EL66" s="1452"/>
      <c r="EM66" s="1461"/>
      <c r="EN66" s="1466"/>
      <c r="EO66" s="1472"/>
      <c r="EP66" s="1478"/>
      <c r="EQ66" s="1485"/>
      <c r="ER66" s="1485"/>
      <c r="ES66" s="1485"/>
      <c r="ET66" s="1494"/>
      <c r="EU66" s="1501"/>
      <c r="EV66" s="1511"/>
      <c r="EW66" s="1517"/>
      <c r="EX66" s="793"/>
      <c r="EY66" s="310" t="s">
        <v>860</v>
      </c>
      <c r="EZ66" s="316"/>
      <c r="FA66" s="317"/>
      <c r="FB66" s="318"/>
      <c r="FC66" s="315"/>
    </row>
    <row r="67" spans="1:159" s="15" customFormat="1" ht="42.75">
      <c r="A67" s="215">
        <v>7</v>
      </c>
      <c r="B67" s="1601"/>
      <c r="C67" s="222" t="s">
        <v>843</v>
      </c>
      <c r="D67" s="249" t="s">
        <v>1002</v>
      </c>
      <c r="E67" s="751">
        <f t="shared" si="9"/>
        <v>0</v>
      </c>
      <c r="F67" s="751">
        <v>0</v>
      </c>
      <c r="G67" s="751">
        <v>0</v>
      </c>
      <c r="H67" s="751">
        <v>0</v>
      </c>
      <c r="I67" s="77">
        <f t="shared" si="10"/>
        <v>0</v>
      </c>
      <c r="J67" s="751">
        <f t="shared" si="11"/>
        <v>0</v>
      </c>
      <c r="K67" s="751">
        <f t="shared" si="12"/>
        <v>0</v>
      </c>
      <c r="L67" s="751">
        <f t="shared" si="13"/>
        <v>0</v>
      </c>
      <c r="M67" s="751">
        <f t="shared" si="14"/>
        <v>0</v>
      </c>
      <c r="N67" s="751">
        <f t="shared" si="15"/>
        <v>0</v>
      </c>
      <c r="O67" s="751">
        <f t="shared" si="16"/>
        <v>0</v>
      </c>
      <c r="P67" s="751">
        <f t="shared" si="17"/>
        <v>0</v>
      </c>
      <c r="Q67" s="751"/>
      <c r="R67" s="751"/>
      <c r="S67" s="773"/>
      <c r="T67" s="773"/>
      <c r="U67" s="950"/>
      <c r="V67" s="950"/>
      <c r="W67" s="950"/>
      <c r="X67" s="950"/>
      <c r="Y67" s="773"/>
      <c r="Z67" s="773"/>
      <c r="AA67" s="773"/>
      <c r="AB67" s="773"/>
      <c r="AC67" s="773"/>
      <c r="AD67" s="773"/>
      <c r="AE67" s="773"/>
      <c r="AF67" s="773"/>
      <c r="AG67" s="773"/>
      <c r="AH67" s="773"/>
      <c r="AI67" s="773"/>
      <c r="AJ67" s="773"/>
      <c r="AK67" s="773"/>
      <c r="AL67" s="773"/>
      <c r="AM67" s="773"/>
      <c r="AN67" s="773"/>
      <c r="AO67" s="773"/>
      <c r="AP67" s="773"/>
      <c r="AQ67" s="773"/>
      <c r="AR67" s="773"/>
      <c r="AS67" s="773"/>
      <c r="AT67" s="773"/>
      <c r="AU67" s="773"/>
      <c r="AV67" s="773"/>
      <c r="AW67" s="773"/>
      <c r="AX67" s="773"/>
      <c r="AY67" s="773"/>
      <c r="AZ67" s="773"/>
      <c r="BA67" s="773"/>
      <c r="BB67" s="773"/>
      <c r="BC67" s="773"/>
      <c r="BD67" s="773"/>
      <c r="BE67" s="773"/>
      <c r="BF67" s="773"/>
      <c r="BG67" s="773"/>
      <c r="BH67" s="773"/>
      <c r="BI67" s="773"/>
      <c r="BJ67" s="773"/>
      <c r="BK67" s="773"/>
      <c r="BL67" s="773"/>
      <c r="BM67" s="773"/>
      <c r="BN67" s="773"/>
      <c r="BO67" s="773"/>
      <c r="BP67" s="773"/>
      <c r="BQ67" s="773"/>
      <c r="BR67" s="773"/>
      <c r="BS67" s="773"/>
      <c r="BT67" s="773"/>
      <c r="BU67" s="773"/>
      <c r="BV67" s="773"/>
      <c r="BW67" s="773"/>
      <c r="BX67" s="773"/>
      <c r="BY67" s="773"/>
      <c r="BZ67" s="773"/>
      <c r="CA67" s="773"/>
      <c r="CB67" s="773"/>
      <c r="CC67" s="773"/>
      <c r="CD67" s="773"/>
      <c r="CE67" s="773"/>
      <c r="CF67" s="773"/>
      <c r="CG67" s="773"/>
      <c r="CH67" s="773"/>
      <c r="CI67" s="773"/>
      <c r="CJ67" s="773"/>
      <c r="CK67" s="773"/>
      <c r="CL67" s="773"/>
      <c r="CM67" s="773"/>
      <c r="CN67" s="773"/>
      <c r="CO67" s="773"/>
      <c r="CP67" s="773"/>
      <c r="CQ67" s="773"/>
      <c r="CR67" s="773"/>
      <c r="CS67" s="773"/>
      <c r="CT67" s="773"/>
      <c r="CU67" s="773"/>
      <c r="CV67" s="773"/>
      <c r="CW67" s="773"/>
      <c r="CX67" s="773"/>
      <c r="CY67" s="773"/>
      <c r="CZ67" s="773"/>
      <c r="DA67" s="773"/>
      <c r="DB67" s="773"/>
      <c r="DC67" s="773"/>
      <c r="DD67" s="773"/>
      <c r="DE67" s="773"/>
      <c r="DF67" s="773"/>
      <c r="DG67" s="773"/>
      <c r="DH67" s="773"/>
      <c r="DI67" s="773"/>
      <c r="DJ67" s="773"/>
      <c r="DK67" s="773"/>
      <c r="DL67" s="773"/>
      <c r="DM67" s="773"/>
      <c r="DN67" s="773"/>
      <c r="DO67" s="773"/>
      <c r="DP67" s="773"/>
      <c r="DQ67" s="773"/>
      <c r="DR67" s="773"/>
      <c r="DS67" s="773"/>
      <c r="DT67" s="773"/>
      <c r="DU67" s="773"/>
      <c r="DV67" s="773"/>
      <c r="DW67" s="773"/>
      <c r="DX67" s="773"/>
      <c r="DY67" s="773"/>
      <c r="DZ67" s="773"/>
      <c r="EA67" s="773"/>
      <c r="EB67" s="773"/>
      <c r="EC67" s="773"/>
      <c r="ED67" s="773"/>
      <c r="EE67" s="773"/>
      <c r="EF67" s="773"/>
      <c r="EG67" s="773"/>
      <c r="EH67" s="773"/>
      <c r="EI67" s="773"/>
      <c r="EJ67" s="773"/>
      <c r="EK67" s="773"/>
      <c r="EL67" s="773"/>
      <c r="EM67" s="773"/>
      <c r="EN67" s="773"/>
      <c r="EO67" s="773"/>
      <c r="EP67" s="773"/>
      <c r="EQ67" s="773"/>
      <c r="ER67" s="773"/>
      <c r="ES67" s="773"/>
      <c r="ET67" s="773"/>
      <c r="EU67" s="773"/>
      <c r="EV67" s="773"/>
      <c r="EW67" s="773"/>
      <c r="EX67" s="65"/>
      <c r="EY67" s="85" t="s">
        <v>860</v>
      </c>
      <c r="EZ67" s="85"/>
      <c r="FA67" s="85"/>
      <c r="FB67" s="313"/>
      <c r="FC67" s="239" t="s">
        <v>873</v>
      </c>
    </row>
    <row r="68" spans="1:159" s="15" customFormat="1" ht="42.75">
      <c r="A68" s="215">
        <v>8</v>
      </c>
      <c r="B68" s="1601"/>
      <c r="C68" s="212" t="s">
        <v>843</v>
      </c>
      <c r="D68" s="219" t="s">
        <v>1003</v>
      </c>
      <c r="E68" s="751">
        <f t="shared" si="9"/>
        <v>0</v>
      </c>
      <c r="F68" s="751">
        <v>0</v>
      </c>
      <c r="G68" s="751">
        <v>0</v>
      </c>
      <c r="H68" s="751">
        <v>0</v>
      </c>
      <c r="I68" s="77">
        <f t="shared" si="10"/>
        <v>0</v>
      </c>
      <c r="J68" s="751">
        <f t="shared" si="11"/>
        <v>0</v>
      </c>
      <c r="K68" s="751">
        <f t="shared" si="12"/>
        <v>0</v>
      </c>
      <c r="L68" s="751">
        <f t="shared" si="13"/>
        <v>0</v>
      </c>
      <c r="M68" s="751">
        <f t="shared" si="14"/>
        <v>0</v>
      </c>
      <c r="N68" s="751">
        <f t="shared" si="15"/>
        <v>0</v>
      </c>
      <c r="O68" s="751">
        <f t="shared" si="16"/>
        <v>0</v>
      </c>
      <c r="P68" s="751">
        <f t="shared" si="17"/>
        <v>0</v>
      </c>
      <c r="Q68" s="751"/>
      <c r="R68" s="751"/>
      <c r="S68" s="773"/>
      <c r="T68" s="773"/>
      <c r="U68" s="950"/>
      <c r="V68" s="950"/>
      <c r="W68" s="950"/>
      <c r="X68" s="950"/>
      <c r="Y68" s="773"/>
      <c r="Z68" s="773"/>
      <c r="AA68" s="773"/>
      <c r="AB68" s="773"/>
      <c r="AC68" s="773"/>
      <c r="AD68" s="773"/>
      <c r="AE68" s="773"/>
      <c r="AF68" s="773"/>
      <c r="AG68" s="773"/>
      <c r="AH68" s="773"/>
      <c r="AI68" s="773"/>
      <c r="AJ68" s="773"/>
      <c r="AK68" s="773"/>
      <c r="AL68" s="773"/>
      <c r="AM68" s="773"/>
      <c r="AN68" s="773"/>
      <c r="AO68" s="773"/>
      <c r="AP68" s="773"/>
      <c r="AQ68" s="773"/>
      <c r="AR68" s="773"/>
      <c r="AS68" s="773"/>
      <c r="AT68" s="773"/>
      <c r="AU68" s="773"/>
      <c r="AV68" s="773"/>
      <c r="AW68" s="773"/>
      <c r="AX68" s="773"/>
      <c r="AY68" s="773"/>
      <c r="AZ68" s="773"/>
      <c r="BA68" s="773"/>
      <c r="BB68" s="773"/>
      <c r="BC68" s="773"/>
      <c r="BD68" s="773"/>
      <c r="BE68" s="773"/>
      <c r="BF68" s="773"/>
      <c r="BG68" s="773"/>
      <c r="BH68" s="773"/>
      <c r="BI68" s="773"/>
      <c r="BJ68" s="773"/>
      <c r="BK68" s="773"/>
      <c r="BL68" s="773"/>
      <c r="BM68" s="773"/>
      <c r="BN68" s="773"/>
      <c r="BO68" s="773"/>
      <c r="BP68" s="773"/>
      <c r="BQ68" s="773"/>
      <c r="BR68" s="773"/>
      <c r="BS68" s="773"/>
      <c r="BT68" s="773"/>
      <c r="BU68" s="773"/>
      <c r="BV68" s="773"/>
      <c r="BW68" s="773"/>
      <c r="BX68" s="773"/>
      <c r="BY68" s="773"/>
      <c r="BZ68" s="773"/>
      <c r="CA68" s="773"/>
      <c r="CB68" s="773"/>
      <c r="CC68" s="773"/>
      <c r="CD68" s="773"/>
      <c r="CE68" s="773"/>
      <c r="CF68" s="773"/>
      <c r="CG68" s="773"/>
      <c r="CH68" s="773"/>
      <c r="CI68" s="773"/>
      <c r="CJ68" s="773"/>
      <c r="CK68" s="773"/>
      <c r="CL68" s="773"/>
      <c r="CM68" s="773"/>
      <c r="CN68" s="773"/>
      <c r="CO68" s="773"/>
      <c r="CP68" s="773"/>
      <c r="CQ68" s="773"/>
      <c r="CR68" s="773"/>
      <c r="CS68" s="773"/>
      <c r="CT68" s="773"/>
      <c r="CU68" s="773"/>
      <c r="CV68" s="773"/>
      <c r="CW68" s="773"/>
      <c r="CX68" s="773"/>
      <c r="CY68" s="773"/>
      <c r="CZ68" s="773"/>
      <c r="DA68" s="773"/>
      <c r="DB68" s="773"/>
      <c r="DC68" s="773"/>
      <c r="DD68" s="773"/>
      <c r="DE68" s="773"/>
      <c r="DF68" s="773"/>
      <c r="DG68" s="773"/>
      <c r="DH68" s="773"/>
      <c r="DI68" s="773"/>
      <c r="DJ68" s="773"/>
      <c r="DK68" s="773"/>
      <c r="DL68" s="773"/>
      <c r="DM68" s="773"/>
      <c r="DN68" s="773"/>
      <c r="DO68" s="773"/>
      <c r="DP68" s="773"/>
      <c r="DQ68" s="773"/>
      <c r="DR68" s="773"/>
      <c r="DS68" s="773"/>
      <c r="DT68" s="773"/>
      <c r="DU68" s="773"/>
      <c r="DV68" s="773"/>
      <c r="DW68" s="773"/>
      <c r="DX68" s="773"/>
      <c r="DY68" s="773"/>
      <c r="DZ68" s="773"/>
      <c r="EA68" s="773"/>
      <c r="EB68" s="773"/>
      <c r="EC68" s="773"/>
      <c r="ED68" s="773"/>
      <c r="EE68" s="773"/>
      <c r="EF68" s="773"/>
      <c r="EG68" s="773"/>
      <c r="EH68" s="773"/>
      <c r="EI68" s="773"/>
      <c r="EJ68" s="773"/>
      <c r="EK68" s="773"/>
      <c r="EL68" s="773"/>
      <c r="EM68" s="773"/>
      <c r="EN68" s="773"/>
      <c r="EO68" s="773"/>
      <c r="EP68" s="773"/>
      <c r="EQ68" s="773"/>
      <c r="ER68" s="773"/>
      <c r="ES68" s="773"/>
      <c r="ET68" s="773"/>
      <c r="EU68" s="773"/>
      <c r="EV68" s="773"/>
      <c r="EW68" s="773"/>
      <c r="EX68" s="65"/>
      <c r="EY68" s="84" t="s">
        <v>1004</v>
      </c>
      <c r="EZ68" s="85"/>
      <c r="FA68" s="85"/>
      <c r="FB68" s="313"/>
      <c r="FC68" s="239" t="s">
        <v>854</v>
      </c>
    </row>
    <row r="69" spans="1:159" s="15" customFormat="1" ht="84" customHeight="1">
      <c r="A69" s="734">
        <v>9</v>
      </c>
      <c r="B69" s="1600"/>
      <c r="C69" s="754" t="s">
        <v>843</v>
      </c>
      <c r="D69" s="755" t="s">
        <v>1314</v>
      </c>
      <c r="E69" s="751">
        <f t="shared" si="9"/>
        <v>0</v>
      </c>
      <c r="F69" s="751">
        <v>0</v>
      </c>
      <c r="G69" s="751">
        <v>0</v>
      </c>
      <c r="H69" s="751">
        <v>0</v>
      </c>
      <c r="I69" s="77">
        <f t="shared" si="10"/>
        <v>0</v>
      </c>
      <c r="J69" s="751">
        <f t="shared" si="11"/>
        <v>0</v>
      </c>
      <c r="K69" s="751">
        <f t="shared" si="12"/>
        <v>0</v>
      </c>
      <c r="L69" s="751">
        <f t="shared" si="13"/>
        <v>0</v>
      </c>
      <c r="M69" s="751">
        <f t="shared" si="14"/>
        <v>0</v>
      </c>
      <c r="N69" s="751">
        <f t="shared" si="15"/>
        <v>0</v>
      </c>
      <c r="O69" s="751">
        <f t="shared" si="16"/>
        <v>0</v>
      </c>
      <c r="P69" s="751">
        <f t="shared" si="17"/>
        <v>0</v>
      </c>
      <c r="Q69" s="751"/>
      <c r="R69" s="751"/>
      <c r="S69" s="738"/>
      <c r="T69" s="738"/>
      <c r="U69" s="271"/>
      <c r="V69" s="271"/>
      <c r="W69" s="271"/>
      <c r="X69" s="271"/>
      <c r="Y69" s="738"/>
      <c r="Z69" s="738"/>
      <c r="AA69" s="738"/>
      <c r="AB69" s="738"/>
      <c r="AC69" s="738"/>
      <c r="AD69" s="738"/>
      <c r="AE69" s="738"/>
      <c r="AF69" s="738"/>
      <c r="AG69" s="738"/>
      <c r="AH69" s="738"/>
      <c r="AI69" s="738"/>
      <c r="AJ69" s="738"/>
      <c r="AK69" s="738"/>
      <c r="AL69" s="738"/>
      <c r="AM69" s="738"/>
      <c r="AN69" s="738"/>
      <c r="AO69" s="738"/>
      <c r="AP69" s="738"/>
      <c r="AQ69" s="738"/>
      <c r="AR69" s="738"/>
      <c r="AS69" s="738"/>
      <c r="AT69" s="738"/>
      <c r="AU69" s="738"/>
      <c r="AV69" s="738"/>
      <c r="AW69" s="738"/>
      <c r="AX69" s="738"/>
      <c r="AY69" s="738"/>
      <c r="AZ69" s="738"/>
      <c r="BA69" s="738"/>
      <c r="BB69" s="738"/>
      <c r="BC69" s="738"/>
      <c r="BD69" s="738"/>
      <c r="BE69" s="738"/>
      <c r="BF69" s="738"/>
      <c r="BG69" s="738"/>
      <c r="BH69" s="738"/>
      <c r="BI69" s="738"/>
      <c r="BJ69" s="738"/>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c r="CI69" s="738"/>
      <c r="CJ69" s="738"/>
      <c r="CK69" s="738"/>
      <c r="CL69" s="738"/>
      <c r="CM69" s="738"/>
      <c r="CN69" s="738"/>
      <c r="CO69" s="738"/>
      <c r="CP69" s="738"/>
      <c r="CQ69" s="738"/>
      <c r="CR69" s="738"/>
      <c r="CS69" s="738"/>
      <c r="CT69" s="738"/>
      <c r="CU69" s="738"/>
      <c r="CV69" s="738"/>
      <c r="CW69" s="738"/>
      <c r="CX69" s="738"/>
      <c r="CY69" s="738"/>
      <c r="CZ69" s="738"/>
      <c r="DA69" s="738"/>
      <c r="DB69" s="738"/>
      <c r="DC69" s="738"/>
      <c r="DD69" s="738"/>
      <c r="DE69" s="738"/>
      <c r="DF69" s="738"/>
      <c r="DG69" s="738"/>
      <c r="DH69" s="738"/>
      <c r="DI69" s="738"/>
      <c r="DJ69" s="738"/>
      <c r="DK69" s="738"/>
      <c r="DL69" s="738"/>
      <c r="DM69" s="738"/>
      <c r="DN69" s="738"/>
      <c r="DO69" s="738"/>
      <c r="DP69" s="738"/>
      <c r="DQ69" s="738"/>
      <c r="DR69" s="738"/>
      <c r="DS69" s="738"/>
      <c r="DT69" s="738"/>
      <c r="DU69" s="738"/>
      <c r="DV69" s="738"/>
      <c r="DW69" s="738"/>
      <c r="DX69" s="738"/>
      <c r="DY69" s="738"/>
      <c r="DZ69" s="738"/>
      <c r="EA69" s="738"/>
      <c r="EB69" s="738"/>
      <c r="EC69" s="738"/>
      <c r="ED69" s="738"/>
      <c r="EE69" s="738"/>
      <c r="EF69" s="738"/>
      <c r="EG69" s="738"/>
      <c r="EH69" s="738"/>
      <c r="EI69" s="738"/>
      <c r="EJ69" s="738"/>
      <c r="EK69" s="738"/>
      <c r="EL69" s="738"/>
      <c r="EM69" s="738"/>
      <c r="EN69" s="738"/>
      <c r="EO69" s="738"/>
      <c r="EP69" s="738"/>
      <c r="EQ69" s="738"/>
      <c r="ER69" s="738"/>
      <c r="ES69" s="738"/>
      <c r="ET69" s="738"/>
      <c r="EU69" s="738"/>
      <c r="EV69" s="738"/>
      <c r="EW69" s="738"/>
      <c r="EX69" s="738"/>
      <c r="EY69" s="85" t="s">
        <v>1167</v>
      </c>
      <c r="EZ69" s="85" t="s">
        <v>1005</v>
      </c>
      <c r="FA69" s="240"/>
      <c r="FB69" s="271" t="s">
        <v>1187</v>
      </c>
      <c r="FC69" s="239" t="s">
        <v>1006</v>
      </c>
    </row>
    <row r="70" spans="1:159" s="15" customFormat="1" ht="84" customHeight="1">
      <c r="A70" s="767"/>
      <c r="B70" s="768" t="s">
        <v>1165</v>
      </c>
      <c r="C70" s="754" t="s">
        <v>843</v>
      </c>
      <c r="D70" s="85" t="s">
        <v>1166</v>
      </c>
      <c r="E70" s="751">
        <f t="shared" si="9"/>
        <v>0</v>
      </c>
      <c r="F70" s="751">
        <v>0</v>
      </c>
      <c r="G70" s="751">
        <v>0</v>
      </c>
      <c r="H70" s="751">
        <v>0</v>
      </c>
      <c r="I70" s="77">
        <f t="shared" si="10"/>
        <v>0</v>
      </c>
      <c r="J70" s="751">
        <f t="shared" si="11"/>
        <v>0</v>
      </c>
      <c r="K70" s="751">
        <f t="shared" si="12"/>
        <v>0</v>
      </c>
      <c r="L70" s="751">
        <f t="shared" si="13"/>
        <v>0</v>
      </c>
      <c r="M70" s="751">
        <f t="shared" si="14"/>
        <v>0</v>
      </c>
      <c r="N70" s="751">
        <f t="shared" si="15"/>
        <v>0</v>
      </c>
      <c r="O70" s="751">
        <f t="shared" si="16"/>
        <v>0</v>
      </c>
      <c r="P70" s="751">
        <f t="shared" si="17"/>
        <v>0</v>
      </c>
      <c r="Q70" s="751"/>
      <c r="R70" s="751"/>
      <c r="S70" s="738"/>
      <c r="T70" s="738"/>
      <c r="U70" s="271"/>
      <c r="V70" s="271"/>
      <c r="W70" s="271"/>
      <c r="X70" s="271"/>
      <c r="Y70" s="738"/>
      <c r="Z70" s="738"/>
      <c r="AA70" s="738"/>
      <c r="AB70" s="738"/>
      <c r="AC70" s="738"/>
      <c r="AD70" s="738"/>
      <c r="AE70" s="738"/>
      <c r="AF70" s="738"/>
      <c r="AG70" s="738"/>
      <c r="AH70" s="738"/>
      <c r="AI70" s="738"/>
      <c r="AJ70" s="738"/>
      <c r="AK70" s="738"/>
      <c r="AL70" s="738"/>
      <c r="AM70" s="738"/>
      <c r="AN70" s="738"/>
      <c r="AO70" s="738"/>
      <c r="AP70" s="738"/>
      <c r="AQ70" s="738"/>
      <c r="AR70" s="738"/>
      <c r="AS70" s="738"/>
      <c r="AT70" s="738"/>
      <c r="AU70" s="738"/>
      <c r="AV70" s="738"/>
      <c r="AW70" s="738"/>
      <c r="AX70" s="738"/>
      <c r="AY70" s="738"/>
      <c r="AZ70" s="738"/>
      <c r="BA70" s="738"/>
      <c r="BB70" s="738"/>
      <c r="BC70" s="738"/>
      <c r="BD70" s="738"/>
      <c r="BE70" s="738"/>
      <c r="BF70" s="738"/>
      <c r="BG70" s="738"/>
      <c r="BH70" s="738"/>
      <c r="BI70" s="738"/>
      <c r="BJ70" s="738"/>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c r="CI70" s="738"/>
      <c r="CJ70" s="738"/>
      <c r="CK70" s="738"/>
      <c r="CL70" s="738"/>
      <c r="CM70" s="738"/>
      <c r="CN70" s="738"/>
      <c r="CO70" s="738"/>
      <c r="CP70" s="738"/>
      <c r="CQ70" s="738"/>
      <c r="CR70" s="738"/>
      <c r="CS70" s="738"/>
      <c r="CT70" s="738"/>
      <c r="CU70" s="738"/>
      <c r="CV70" s="738"/>
      <c r="CW70" s="738"/>
      <c r="CX70" s="738"/>
      <c r="CY70" s="738"/>
      <c r="CZ70" s="738"/>
      <c r="DA70" s="738"/>
      <c r="DB70" s="738"/>
      <c r="DC70" s="738"/>
      <c r="DD70" s="738"/>
      <c r="DE70" s="738"/>
      <c r="DF70" s="738"/>
      <c r="DG70" s="738"/>
      <c r="DH70" s="738"/>
      <c r="DI70" s="738"/>
      <c r="DJ70" s="738"/>
      <c r="DK70" s="738"/>
      <c r="DL70" s="738"/>
      <c r="DM70" s="738"/>
      <c r="DN70" s="738"/>
      <c r="DO70" s="738"/>
      <c r="DP70" s="738"/>
      <c r="DQ70" s="738"/>
      <c r="DR70" s="738"/>
      <c r="DS70" s="738"/>
      <c r="DT70" s="738"/>
      <c r="DU70" s="738"/>
      <c r="DV70" s="738"/>
      <c r="DW70" s="738"/>
      <c r="DX70" s="738"/>
      <c r="DY70" s="738"/>
      <c r="DZ70" s="738"/>
      <c r="EA70" s="738"/>
      <c r="EB70" s="738"/>
      <c r="EC70" s="738"/>
      <c r="ED70" s="738"/>
      <c r="EE70" s="738"/>
      <c r="EF70" s="738"/>
      <c r="EG70" s="738"/>
      <c r="EH70" s="738"/>
      <c r="EI70" s="738"/>
      <c r="EJ70" s="738"/>
      <c r="EK70" s="738"/>
      <c r="EL70" s="738"/>
      <c r="EM70" s="738"/>
      <c r="EN70" s="738"/>
      <c r="EO70" s="738"/>
      <c r="EP70" s="738"/>
      <c r="EQ70" s="738"/>
      <c r="ER70" s="738"/>
      <c r="ES70" s="738"/>
      <c r="ET70" s="738"/>
      <c r="EU70" s="738"/>
      <c r="EV70" s="738"/>
      <c r="EW70" s="738"/>
      <c r="EX70" s="271"/>
      <c r="EY70" s="85" t="s">
        <v>1168</v>
      </c>
      <c r="EZ70" s="85"/>
      <c r="FA70" s="240"/>
      <c r="FB70" s="271"/>
      <c r="FC70" s="241" t="s">
        <v>1169</v>
      </c>
    </row>
    <row r="71" spans="1:159" s="15" customFormat="1" ht="54" customHeight="1">
      <c r="A71" s="215">
        <v>10</v>
      </c>
      <c r="B71" s="1611" t="s">
        <v>1007</v>
      </c>
      <c r="C71" s="217" t="s">
        <v>843</v>
      </c>
      <c r="D71" s="218" t="s">
        <v>1008</v>
      </c>
      <c r="E71" s="751">
        <f t="shared" si="9"/>
        <v>0</v>
      </c>
      <c r="F71" s="751">
        <v>0</v>
      </c>
      <c r="G71" s="751">
        <v>0</v>
      </c>
      <c r="H71" s="751">
        <v>0</v>
      </c>
      <c r="I71" s="77">
        <f t="shared" si="10"/>
        <v>0</v>
      </c>
      <c r="J71" s="751">
        <f t="shared" si="11"/>
        <v>0</v>
      </c>
      <c r="K71" s="751">
        <f t="shared" si="12"/>
        <v>0</v>
      </c>
      <c r="L71" s="751">
        <f t="shared" si="13"/>
        <v>0</v>
      </c>
      <c r="M71" s="751">
        <f t="shared" si="14"/>
        <v>0</v>
      </c>
      <c r="N71" s="751">
        <f t="shared" si="15"/>
        <v>0</v>
      </c>
      <c r="O71" s="751">
        <f t="shared" si="16"/>
        <v>0</v>
      </c>
      <c r="P71" s="751">
        <f t="shared" si="17"/>
        <v>0</v>
      </c>
      <c r="Q71" s="751"/>
      <c r="R71" s="751"/>
      <c r="S71" s="769"/>
      <c r="T71" s="769"/>
      <c r="U71" s="331"/>
      <c r="V71" s="331"/>
      <c r="W71" s="331"/>
      <c r="X71" s="331"/>
      <c r="Y71" s="769"/>
      <c r="Z71" s="769"/>
      <c r="AA71" s="769"/>
      <c r="AB71" s="769"/>
      <c r="AC71" s="769"/>
      <c r="AD71" s="769"/>
      <c r="AE71" s="769"/>
      <c r="AF71" s="769"/>
      <c r="AG71" s="769"/>
      <c r="AH71" s="769"/>
      <c r="AI71" s="769"/>
      <c r="AJ71" s="769"/>
      <c r="AK71" s="769"/>
      <c r="AL71" s="769"/>
      <c r="AM71" s="769"/>
      <c r="AN71" s="769"/>
      <c r="AO71" s="769"/>
      <c r="AP71" s="769"/>
      <c r="AQ71" s="769"/>
      <c r="AR71" s="769"/>
      <c r="AS71" s="769"/>
      <c r="AT71" s="769"/>
      <c r="AU71" s="769"/>
      <c r="AV71" s="769"/>
      <c r="AW71" s="769"/>
      <c r="AX71" s="769"/>
      <c r="AY71" s="769"/>
      <c r="AZ71" s="769"/>
      <c r="BA71" s="769"/>
      <c r="BB71" s="769"/>
      <c r="BC71" s="769"/>
      <c r="BD71" s="769"/>
      <c r="BE71" s="769"/>
      <c r="BF71" s="769"/>
      <c r="BG71" s="769"/>
      <c r="BH71" s="769"/>
      <c r="BI71" s="769"/>
      <c r="BJ71" s="769"/>
      <c r="BK71" s="769"/>
      <c r="BL71" s="769"/>
      <c r="BM71" s="769"/>
      <c r="BN71" s="769"/>
      <c r="BO71" s="769"/>
      <c r="BP71" s="769"/>
      <c r="BQ71" s="769"/>
      <c r="BR71" s="769"/>
      <c r="BS71" s="769"/>
      <c r="BT71" s="769"/>
      <c r="BU71" s="769"/>
      <c r="BV71" s="769"/>
      <c r="BW71" s="769"/>
      <c r="BX71" s="769"/>
      <c r="BY71" s="769"/>
      <c r="BZ71" s="769"/>
      <c r="CA71" s="769"/>
      <c r="CB71" s="769"/>
      <c r="CC71" s="769"/>
      <c r="CD71" s="769"/>
      <c r="CE71" s="769"/>
      <c r="CF71" s="769"/>
      <c r="CG71" s="769"/>
      <c r="CH71" s="769"/>
      <c r="CI71" s="769"/>
      <c r="CJ71" s="769"/>
      <c r="CK71" s="769"/>
      <c r="CL71" s="769"/>
      <c r="CM71" s="769"/>
      <c r="CN71" s="769"/>
      <c r="CO71" s="769"/>
      <c r="CP71" s="769"/>
      <c r="CQ71" s="769"/>
      <c r="CR71" s="769"/>
      <c r="CS71" s="769"/>
      <c r="CT71" s="769"/>
      <c r="CU71" s="769"/>
      <c r="CV71" s="769"/>
      <c r="CW71" s="769"/>
      <c r="CX71" s="769"/>
      <c r="CY71" s="769"/>
      <c r="CZ71" s="769"/>
      <c r="DA71" s="769"/>
      <c r="DB71" s="769"/>
      <c r="DC71" s="769"/>
      <c r="DD71" s="769"/>
      <c r="DE71" s="769"/>
      <c r="DF71" s="769"/>
      <c r="DG71" s="769"/>
      <c r="DH71" s="769"/>
      <c r="DI71" s="769"/>
      <c r="DJ71" s="769"/>
      <c r="DK71" s="769"/>
      <c r="DL71" s="769"/>
      <c r="DM71" s="769"/>
      <c r="DN71" s="769"/>
      <c r="DO71" s="769"/>
      <c r="DP71" s="769"/>
      <c r="DQ71" s="769"/>
      <c r="DR71" s="769"/>
      <c r="DS71" s="769"/>
      <c r="DT71" s="769"/>
      <c r="DU71" s="769"/>
      <c r="DV71" s="769"/>
      <c r="DW71" s="769"/>
      <c r="DX71" s="769"/>
      <c r="DY71" s="769"/>
      <c r="DZ71" s="769"/>
      <c r="EA71" s="769"/>
      <c r="EB71" s="769"/>
      <c r="EC71" s="769"/>
      <c r="ED71" s="769"/>
      <c r="EE71" s="769"/>
      <c r="EF71" s="769"/>
      <c r="EG71" s="769"/>
      <c r="EH71" s="769"/>
      <c r="EI71" s="769"/>
      <c r="EJ71" s="769"/>
      <c r="EK71" s="769"/>
      <c r="EL71" s="769"/>
      <c r="EM71" s="769"/>
      <c r="EN71" s="769"/>
      <c r="EO71" s="769"/>
      <c r="EP71" s="769"/>
      <c r="EQ71" s="769"/>
      <c r="ER71" s="769"/>
      <c r="ES71" s="769"/>
      <c r="ET71" s="769"/>
      <c r="EU71" s="769"/>
      <c r="EV71" s="769"/>
      <c r="EW71" s="769"/>
      <c r="EX71" s="331"/>
      <c r="EY71" s="225" t="s">
        <v>1009</v>
      </c>
      <c r="EZ71" s="225"/>
      <c r="FA71" s="236"/>
      <c r="FB71" s="237"/>
      <c r="FC71" s="238" t="s">
        <v>854</v>
      </c>
    </row>
    <row r="72" spans="1:159" s="15" customFormat="1" ht="48.75" customHeight="1">
      <c r="A72" s="215"/>
      <c r="B72" s="1601"/>
      <c r="C72" s="217" t="s">
        <v>843</v>
      </c>
      <c r="D72" s="218" t="s">
        <v>1010</v>
      </c>
      <c r="E72" s="751">
        <f t="shared" si="9"/>
        <v>0</v>
      </c>
      <c r="F72" s="751">
        <v>0</v>
      </c>
      <c r="G72" s="751">
        <v>0</v>
      </c>
      <c r="H72" s="751">
        <v>0</v>
      </c>
      <c r="I72" s="77">
        <f t="shared" si="10"/>
        <v>0</v>
      </c>
      <c r="J72" s="751">
        <f t="shared" si="11"/>
        <v>0</v>
      </c>
      <c r="K72" s="751">
        <f t="shared" si="12"/>
        <v>0</v>
      </c>
      <c r="L72" s="751">
        <f t="shared" si="13"/>
        <v>0</v>
      </c>
      <c r="M72" s="751">
        <f t="shared" si="14"/>
        <v>0</v>
      </c>
      <c r="N72" s="751">
        <f t="shared" si="15"/>
        <v>0</v>
      </c>
      <c r="O72" s="751">
        <f t="shared" si="16"/>
        <v>0</v>
      </c>
      <c r="P72" s="751">
        <f t="shared" si="17"/>
        <v>0</v>
      </c>
      <c r="Q72" s="751"/>
      <c r="R72" s="751"/>
      <c r="S72" s="769"/>
      <c r="T72" s="769"/>
      <c r="U72" s="331"/>
      <c r="V72" s="331"/>
      <c r="W72" s="331"/>
      <c r="X72" s="331"/>
      <c r="Y72" s="769"/>
      <c r="Z72" s="769"/>
      <c r="AA72" s="769"/>
      <c r="AB72" s="769"/>
      <c r="AC72" s="769"/>
      <c r="AD72" s="769"/>
      <c r="AE72" s="769"/>
      <c r="AF72" s="769"/>
      <c r="AG72" s="769"/>
      <c r="AH72" s="769"/>
      <c r="AI72" s="769"/>
      <c r="AJ72" s="769"/>
      <c r="AK72" s="769"/>
      <c r="AL72" s="769"/>
      <c r="AM72" s="769"/>
      <c r="AN72" s="769"/>
      <c r="AO72" s="769"/>
      <c r="AP72" s="769"/>
      <c r="AQ72" s="769"/>
      <c r="AR72" s="769"/>
      <c r="AS72" s="769"/>
      <c r="AT72" s="769"/>
      <c r="AU72" s="769"/>
      <c r="AV72" s="769"/>
      <c r="AW72" s="769"/>
      <c r="AX72" s="769"/>
      <c r="AY72" s="769"/>
      <c r="AZ72" s="769"/>
      <c r="BA72" s="769"/>
      <c r="BB72" s="769"/>
      <c r="BC72" s="769"/>
      <c r="BD72" s="769"/>
      <c r="BE72" s="769"/>
      <c r="BF72" s="769"/>
      <c r="BG72" s="769"/>
      <c r="BH72" s="769"/>
      <c r="BI72" s="769"/>
      <c r="BJ72" s="769"/>
      <c r="BK72" s="769"/>
      <c r="BL72" s="769"/>
      <c r="BM72" s="769"/>
      <c r="BN72" s="769"/>
      <c r="BO72" s="769"/>
      <c r="BP72" s="769"/>
      <c r="BQ72" s="769"/>
      <c r="BR72" s="769"/>
      <c r="BS72" s="769"/>
      <c r="BT72" s="769"/>
      <c r="BU72" s="769"/>
      <c r="BV72" s="769"/>
      <c r="BW72" s="769"/>
      <c r="BX72" s="769"/>
      <c r="BY72" s="769"/>
      <c r="BZ72" s="769"/>
      <c r="CA72" s="769"/>
      <c r="CB72" s="769"/>
      <c r="CC72" s="769"/>
      <c r="CD72" s="769"/>
      <c r="CE72" s="769"/>
      <c r="CF72" s="769"/>
      <c r="CG72" s="769"/>
      <c r="CH72" s="769"/>
      <c r="CI72" s="769"/>
      <c r="CJ72" s="769"/>
      <c r="CK72" s="769"/>
      <c r="CL72" s="769"/>
      <c r="CM72" s="769"/>
      <c r="CN72" s="769"/>
      <c r="CO72" s="769"/>
      <c r="CP72" s="769"/>
      <c r="CQ72" s="769"/>
      <c r="CR72" s="769"/>
      <c r="CS72" s="769"/>
      <c r="CT72" s="769"/>
      <c r="CU72" s="769"/>
      <c r="CV72" s="769"/>
      <c r="CW72" s="769"/>
      <c r="CX72" s="769"/>
      <c r="CY72" s="769"/>
      <c r="CZ72" s="769"/>
      <c r="DA72" s="769"/>
      <c r="DB72" s="769"/>
      <c r="DC72" s="769"/>
      <c r="DD72" s="769"/>
      <c r="DE72" s="769"/>
      <c r="DF72" s="769"/>
      <c r="DG72" s="769"/>
      <c r="DH72" s="769"/>
      <c r="DI72" s="769"/>
      <c r="DJ72" s="769"/>
      <c r="DK72" s="769"/>
      <c r="DL72" s="769"/>
      <c r="DM72" s="769"/>
      <c r="DN72" s="769"/>
      <c r="DO72" s="769"/>
      <c r="DP72" s="769"/>
      <c r="DQ72" s="769"/>
      <c r="DR72" s="769"/>
      <c r="DS72" s="769"/>
      <c r="DT72" s="769"/>
      <c r="DU72" s="769"/>
      <c r="DV72" s="769"/>
      <c r="DW72" s="769"/>
      <c r="DX72" s="769"/>
      <c r="DY72" s="769"/>
      <c r="DZ72" s="769"/>
      <c r="EA72" s="769"/>
      <c r="EB72" s="769"/>
      <c r="EC72" s="769"/>
      <c r="ED72" s="769"/>
      <c r="EE72" s="769"/>
      <c r="EF72" s="769"/>
      <c r="EG72" s="769"/>
      <c r="EH72" s="769"/>
      <c r="EI72" s="769"/>
      <c r="EJ72" s="769"/>
      <c r="EK72" s="769"/>
      <c r="EL72" s="769"/>
      <c r="EM72" s="769"/>
      <c r="EN72" s="769"/>
      <c r="EO72" s="769"/>
      <c r="EP72" s="769"/>
      <c r="EQ72" s="769"/>
      <c r="ER72" s="769"/>
      <c r="ES72" s="769"/>
      <c r="ET72" s="769"/>
      <c r="EU72" s="769"/>
      <c r="EV72" s="769"/>
      <c r="EW72" s="769"/>
      <c r="EX72" s="331"/>
      <c r="EY72" s="225"/>
      <c r="EZ72" s="225"/>
      <c r="FA72" s="236"/>
      <c r="FB72" s="237"/>
      <c r="FC72" s="238"/>
    </row>
    <row r="73" spans="1:159" s="16" customFormat="1" ht="129" customHeight="1">
      <c r="A73" s="86">
        <v>11</v>
      </c>
      <c r="B73" s="1599"/>
      <c r="C73" s="217" t="s">
        <v>843</v>
      </c>
      <c r="D73" s="319" t="s">
        <v>1231</v>
      </c>
      <c r="E73" s="751">
        <f t="shared" si="9"/>
        <v>0</v>
      </c>
      <c r="F73" s="751">
        <v>0</v>
      </c>
      <c r="G73" s="751">
        <v>0</v>
      </c>
      <c r="H73" s="751">
        <v>2</v>
      </c>
      <c r="I73" s="77">
        <f t="shared" si="10"/>
        <v>0</v>
      </c>
      <c r="J73" s="751">
        <f t="shared" si="11"/>
        <v>0</v>
      </c>
      <c r="K73" s="751">
        <f t="shared" si="12"/>
        <v>0</v>
      </c>
      <c r="L73" s="751">
        <f t="shared" si="13"/>
        <v>0</v>
      </c>
      <c r="M73" s="751">
        <f t="shared" si="14"/>
        <v>0</v>
      </c>
      <c r="N73" s="751">
        <f t="shared" si="15"/>
        <v>0</v>
      </c>
      <c r="O73" s="751">
        <f t="shared" si="16"/>
        <v>0</v>
      </c>
      <c r="P73" s="751">
        <f t="shared" si="17"/>
        <v>0</v>
      </c>
      <c r="Q73" s="751"/>
      <c r="R73" s="751"/>
      <c r="S73" s="737"/>
      <c r="T73" s="737"/>
      <c r="U73" s="307"/>
      <c r="V73" s="307"/>
      <c r="W73" s="307"/>
      <c r="X73" s="307"/>
      <c r="Y73" s="737"/>
      <c r="Z73" s="737"/>
      <c r="AA73" s="737"/>
      <c r="AB73" s="737"/>
      <c r="AC73" s="737"/>
      <c r="AD73" s="737"/>
      <c r="AE73" s="737"/>
      <c r="AF73" s="737"/>
      <c r="AG73" s="737"/>
      <c r="AH73" s="737"/>
      <c r="AI73" s="737"/>
      <c r="AJ73" s="737"/>
      <c r="AK73" s="737"/>
      <c r="AL73" s="737"/>
      <c r="AM73" s="737"/>
      <c r="AN73" s="737"/>
      <c r="AO73" s="737"/>
      <c r="AP73" s="737"/>
      <c r="AQ73" s="737"/>
      <c r="AR73" s="737"/>
      <c r="AS73" s="737"/>
      <c r="AT73" s="737"/>
      <c r="AU73" s="737"/>
      <c r="AV73" s="737"/>
      <c r="AW73" s="737"/>
      <c r="AX73" s="737"/>
      <c r="AY73" s="737"/>
      <c r="AZ73" s="737"/>
      <c r="BA73" s="737"/>
      <c r="BB73" s="737"/>
      <c r="BC73" s="737"/>
      <c r="BD73" s="737"/>
      <c r="BE73" s="737"/>
      <c r="BF73" s="737"/>
      <c r="BG73" s="737"/>
      <c r="BH73" s="737"/>
      <c r="BI73" s="737"/>
      <c r="BJ73" s="737"/>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7"/>
      <c r="CJ73" s="737"/>
      <c r="CK73" s="737"/>
      <c r="CL73" s="737"/>
      <c r="CM73" s="737"/>
      <c r="CN73" s="737"/>
      <c r="CO73" s="737"/>
      <c r="CP73" s="737"/>
      <c r="CQ73" s="737"/>
      <c r="CR73" s="737"/>
      <c r="CS73" s="737"/>
      <c r="CT73" s="737"/>
      <c r="CU73" s="737"/>
      <c r="CV73" s="737"/>
      <c r="CW73" s="737"/>
      <c r="CX73" s="737"/>
      <c r="CY73" s="737"/>
      <c r="CZ73" s="737"/>
      <c r="DA73" s="737"/>
      <c r="DB73" s="737"/>
      <c r="DC73" s="737"/>
      <c r="DD73" s="737"/>
      <c r="DE73" s="737"/>
      <c r="DF73" s="737"/>
      <c r="DG73" s="737"/>
      <c r="DH73" s="737"/>
      <c r="DI73" s="737"/>
      <c r="DJ73" s="737"/>
      <c r="DK73" s="737"/>
      <c r="DL73" s="737"/>
      <c r="DM73" s="737"/>
      <c r="DN73" s="737"/>
      <c r="DO73" s="737"/>
      <c r="DP73" s="737"/>
      <c r="DQ73" s="737"/>
      <c r="DR73" s="737"/>
      <c r="DS73" s="737"/>
      <c r="DT73" s="737"/>
      <c r="DU73" s="737"/>
      <c r="DV73" s="737"/>
      <c r="DW73" s="737"/>
      <c r="DX73" s="737"/>
      <c r="DY73" s="737"/>
      <c r="DZ73" s="737"/>
      <c r="EA73" s="737"/>
      <c r="EB73" s="737"/>
      <c r="EC73" s="737"/>
      <c r="ED73" s="737"/>
      <c r="EE73" s="737"/>
      <c r="EF73" s="737"/>
      <c r="EG73" s="737"/>
      <c r="EH73" s="737"/>
      <c r="EI73" s="737"/>
      <c r="EJ73" s="737"/>
      <c r="EK73" s="737"/>
      <c r="EL73" s="737"/>
      <c r="EM73" s="737"/>
      <c r="EN73" s="737"/>
      <c r="EO73" s="737"/>
      <c r="EP73" s="737"/>
      <c r="EQ73" s="737"/>
      <c r="ER73" s="737"/>
      <c r="ES73" s="737"/>
      <c r="ET73" s="737"/>
      <c r="EU73" s="737"/>
      <c r="EV73" s="737"/>
      <c r="EW73" s="737"/>
      <c r="EX73" s="737"/>
      <c r="EY73" s="233" t="s">
        <v>1011</v>
      </c>
      <c r="EZ73" s="244"/>
      <c r="FA73" s="244"/>
      <c r="FB73" s="245"/>
      <c r="FC73" s="239" t="s">
        <v>861</v>
      </c>
    </row>
    <row r="74" spans="1:159" s="16" customFormat="1" ht="129" customHeight="1">
      <c r="A74" s="215">
        <v>12</v>
      </c>
      <c r="B74" s="220" t="s">
        <v>1012</v>
      </c>
      <c r="C74" s="217" t="s">
        <v>843</v>
      </c>
      <c r="D74" s="85" t="s">
        <v>1218</v>
      </c>
      <c r="E74" s="751">
        <f t="shared" si="9"/>
        <v>0</v>
      </c>
      <c r="F74" s="751">
        <v>0</v>
      </c>
      <c r="G74" s="751">
        <v>1</v>
      </c>
      <c r="H74" s="751">
        <v>0</v>
      </c>
      <c r="I74" s="77">
        <f t="shared" si="10"/>
        <v>0</v>
      </c>
      <c r="J74" s="751">
        <f t="shared" si="11"/>
        <v>0</v>
      </c>
      <c r="K74" s="751">
        <f t="shared" si="12"/>
        <v>0</v>
      </c>
      <c r="L74" s="751">
        <f t="shared" si="13"/>
        <v>0</v>
      </c>
      <c r="M74" s="751">
        <f t="shared" si="14"/>
        <v>0</v>
      </c>
      <c r="N74" s="751">
        <f t="shared" si="15"/>
        <v>0</v>
      </c>
      <c r="O74" s="751">
        <f t="shared" si="16"/>
        <v>0</v>
      </c>
      <c r="P74" s="751">
        <f t="shared" si="17"/>
        <v>0</v>
      </c>
      <c r="Q74" s="751"/>
      <c r="R74" s="751"/>
      <c r="S74" s="737"/>
      <c r="T74" s="737"/>
      <c r="U74" s="307"/>
      <c r="V74" s="307"/>
      <c r="W74" s="307"/>
      <c r="X74" s="307"/>
      <c r="Y74" s="737"/>
      <c r="Z74" s="737"/>
      <c r="AA74" s="737"/>
      <c r="AB74" s="737"/>
      <c r="AC74" s="737"/>
      <c r="AD74" s="737"/>
      <c r="AE74" s="737"/>
      <c r="AF74" s="737"/>
      <c r="AG74" s="737"/>
      <c r="AH74" s="737"/>
      <c r="AI74" s="737"/>
      <c r="AJ74" s="737"/>
      <c r="AK74" s="737"/>
      <c r="AL74" s="737"/>
      <c r="AM74" s="737"/>
      <c r="AN74" s="737"/>
      <c r="AO74" s="737"/>
      <c r="AP74" s="737"/>
      <c r="AQ74" s="737"/>
      <c r="AR74" s="737"/>
      <c r="AS74" s="737"/>
      <c r="AT74" s="737"/>
      <c r="AU74" s="737"/>
      <c r="AV74" s="737"/>
      <c r="AW74" s="737"/>
      <c r="AX74" s="737"/>
      <c r="AY74" s="737"/>
      <c r="AZ74" s="737"/>
      <c r="BA74" s="737"/>
      <c r="BB74" s="737"/>
      <c r="BC74" s="737"/>
      <c r="BD74" s="737"/>
      <c r="BE74" s="737"/>
      <c r="BF74" s="737"/>
      <c r="BG74" s="737"/>
      <c r="BH74" s="737"/>
      <c r="BI74" s="737"/>
      <c r="BJ74" s="737"/>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7"/>
      <c r="CJ74" s="737"/>
      <c r="CK74" s="737"/>
      <c r="CL74" s="737"/>
      <c r="CM74" s="737"/>
      <c r="CN74" s="737"/>
      <c r="CO74" s="737"/>
      <c r="CP74" s="737"/>
      <c r="CQ74" s="737"/>
      <c r="CR74" s="737"/>
      <c r="CS74" s="737"/>
      <c r="CT74" s="737"/>
      <c r="CU74" s="737"/>
      <c r="CV74" s="737"/>
      <c r="CW74" s="737"/>
      <c r="CX74" s="737"/>
      <c r="CY74" s="737"/>
      <c r="CZ74" s="737"/>
      <c r="DA74" s="737"/>
      <c r="DB74" s="737"/>
      <c r="DC74" s="737"/>
      <c r="DD74" s="737"/>
      <c r="DE74" s="737"/>
      <c r="DF74" s="737"/>
      <c r="DG74" s="737"/>
      <c r="DH74" s="737"/>
      <c r="DI74" s="737"/>
      <c r="DJ74" s="737"/>
      <c r="DK74" s="737"/>
      <c r="DL74" s="737"/>
      <c r="DM74" s="737"/>
      <c r="DN74" s="737"/>
      <c r="DO74" s="737"/>
      <c r="DP74" s="737"/>
      <c r="DQ74" s="737"/>
      <c r="DR74" s="737"/>
      <c r="DS74" s="737"/>
      <c r="DT74" s="737"/>
      <c r="DU74" s="737"/>
      <c r="DV74" s="737"/>
      <c r="DW74" s="737"/>
      <c r="DX74" s="737"/>
      <c r="DY74" s="737"/>
      <c r="DZ74" s="737"/>
      <c r="EA74" s="737"/>
      <c r="EB74" s="737"/>
      <c r="EC74" s="737"/>
      <c r="ED74" s="737"/>
      <c r="EE74" s="737"/>
      <c r="EF74" s="737"/>
      <c r="EG74" s="737"/>
      <c r="EH74" s="737"/>
      <c r="EI74" s="737"/>
      <c r="EJ74" s="737"/>
      <c r="EK74" s="737"/>
      <c r="EL74" s="737"/>
      <c r="EM74" s="737"/>
      <c r="EN74" s="737"/>
      <c r="EO74" s="737"/>
      <c r="EP74" s="737"/>
      <c r="EQ74" s="737"/>
      <c r="ER74" s="737"/>
      <c r="ES74" s="737"/>
      <c r="ET74" s="737"/>
      <c r="EU74" s="737"/>
      <c r="EV74" s="737"/>
      <c r="EW74" s="737"/>
      <c r="EX74" s="307"/>
      <c r="EY74" s="225" t="s">
        <v>1013</v>
      </c>
      <c r="EZ74" s="225" t="s">
        <v>1164</v>
      </c>
      <c r="FA74" s="225" t="s">
        <v>1223</v>
      </c>
      <c r="FB74" s="246"/>
      <c r="FC74" s="239" t="s">
        <v>847</v>
      </c>
    </row>
    <row r="75" spans="1:159" s="16" customFormat="1" ht="42" customHeight="1">
      <c r="A75" s="215">
        <v>13</v>
      </c>
      <c r="B75" s="1611" t="s">
        <v>889</v>
      </c>
      <c r="C75" s="217" t="s">
        <v>843</v>
      </c>
      <c r="D75" s="218" t="s">
        <v>1014</v>
      </c>
      <c r="E75" s="751">
        <f t="shared" si="9"/>
        <v>0</v>
      </c>
      <c r="F75" s="751">
        <v>0</v>
      </c>
      <c r="G75" s="751">
        <v>0</v>
      </c>
      <c r="H75" s="751">
        <v>0</v>
      </c>
      <c r="I75" s="77">
        <f t="shared" si="10"/>
        <v>0</v>
      </c>
      <c r="J75" s="751">
        <f t="shared" si="11"/>
        <v>0</v>
      </c>
      <c r="K75" s="751">
        <f t="shared" si="12"/>
        <v>0</v>
      </c>
      <c r="L75" s="751">
        <f t="shared" si="13"/>
        <v>0</v>
      </c>
      <c r="M75" s="751">
        <f t="shared" si="14"/>
        <v>0</v>
      </c>
      <c r="N75" s="751">
        <f t="shared" si="15"/>
        <v>0</v>
      </c>
      <c r="O75" s="751">
        <f t="shared" si="16"/>
        <v>0</v>
      </c>
      <c r="P75" s="751">
        <f t="shared" si="17"/>
        <v>0</v>
      </c>
      <c r="Q75" s="751"/>
      <c r="R75" s="751"/>
      <c r="S75" s="774"/>
      <c r="T75" s="774"/>
      <c r="U75" s="306"/>
      <c r="V75" s="306"/>
      <c r="W75" s="306"/>
      <c r="X75" s="306"/>
      <c r="Y75" s="774"/>
      <c r="Z75" s="774"/>
      <c r="AA75" s="774"/>
      <c r="AB75" s="774"/>
      <c r="AC75" s="774"/>
      <c r="AD75" s="774"/>
      <c r="AE75" s="774"/>
      <c r="AF75" s="774"/>
      <c r="AG75" s="774"/>
      <c r="AH75" s="774"/>
      <c r="AI75" s="774"/>
      <c r="AJ75" s="774"/>
      <c r="AK75" s="774"/>
      <c r="AL75" s="774"/>
      <c r="AM75" s="774"/>
      <c r="AN75" s="774"/>
      <c r="AO75" s="774"/>
      <c r="AP75" s="774"/>
      <c r="AQ75" s="774"/>
      <c r="AR75" s="774"/>
      <c r="AS75" s="774"/>
      <c r="AT75" s="774"/>
      <c r="AU75" s="774"/>
      <c r="AV75" s="774"/>
      <c r="AW75" s="774"/>
      <c r="AX75" s="774"/>
      <c r="AY75" s="774"/>
      <c r="AZ75" s="774"/>
      <c r="BA75" s="774"/>
      <c r="BB75" s="774"/>
      <c r="BC75" s="774"/>
      <c r="BD75" s="774"/>
      <c r="BE75" s="774"/>
      <c r="BF75" s="774"/>
      <c r="BG75" s="774"/>
      <c r="BH75" s="774"/>
      <c r="BI75" s="774"/>
      <c r="BJ75" s="774"/>
      <c r="BK75" s="774"/>
      <c r="BL75" s="774"/>
      <c r="BM75" s="774"/>
      <c r="BN75" s="774"/>
      <c r="BO75" s="774"/>
      <c r="BP75" s="774"/>
      <c r="BQ75" s="774"/>
      <c r="BR75" s="774"/>
      <c r="BS75" s="774"/>
      <c r="BT75" s="774"/>
      <c r="BU75" s="774"/>
      <c r="BV75" s="774"/>
      <c r="BW75" s="774"/>
      <c r="BX75" s="774"/>
      <c r="BY75" s="774"/>
      <c r="BZ75" s="774"/>
      <c r="CA75" s="774"/>
      <c r="CB75" s="774"/>
      <c r="CC75" s="774"/>
      <c r="CD75" s="774"/>
      <c r="CE75" s="774"/>
      <c r="CF75" s="774"/>
      <c r="CG75" s="774"/>
      <c r="CH75" s="774"/>
      <c r="CI75" s="774"/>
      <c r="CJ75" s="774"/>
      <c r="CK75" s="774"/>
      <c r="CL75" s="774"/>
      <c r="CM75" s="774"/>
      <c r="CN75" s="774"/>
      <c r="CO75" s="774"/>
      <c r="CP75" s="774"/>
      <c r="CQ75" s="774"/>
      <c r="CR75" s="774"/>
      <c r="CS75" s="774"/>
      <c r="CT75" s="774"/>
      <c r="CU75" s="774"/>
      <c r="CV75" s="774"/>
      <c r="CW75" s="774"/>
      <c r="CX75" s="774"/>
      <c r="CY75" s="774"/>
      <c r="CZ75" s="774"/>
      <c r="DA75" s="774"/>
      <c r="DB75" s="774"/>
      <c r="DC75" s="774"/>
      <c r="DD75" s="774"/>
      <c r="DE75" s="774"/>
      <c r="DF75" s="774"/>
      <c r="DG75" s="774"/>
      <c r="DH75" s="774"/>
      <c r="DI75" s="774"/>
      <c r="DJ75" s="774"/>
      <c r="DK75" s="774"/>
      <c r="DL75" s="774"/>
      <c r="DM75" s="774"/>
      <c r="DN75" s="774"/>
      <c r="DO75" s="774"/>
      <c r="DP75" s="774"/>
      <c r="DQ75" s="774"/>
      <c r="DR75" s="774"/>
      <c r="DS75" s="774"/>
      <c r="DT75" s="774"/>
      <c r="DU75" s="774"/>
      <c r="DV75" s="774"/>
      <c r="DW75" s="774"/>
      <c r="DX75" s="774"/>
      <c r="DY75" s="774"/>
      <c r="DZ75" s="774"/>
      <c r="EA75" s="774"/>
      <c r="EB75" s="774"/>
      <c r="EC75" s="774"/>
      <c r="ED75" s="774"/>
      <c r="EE75" s="774"/>
      <c r="EF75" s="774"/>
      <c r="EG75" s="774"/>
      <c r="EH75" s="774"/>
      <c r="EI75" s="774"/>
      <c r="EJ75" s="774"/>
      <c r="EK75" s="774"/>
      <c r="EL75" s="774"/>
      <c r="EM75" s="774"/>
      <c r="EN75" s="774"/>
      <c r="EO75" s="774"/>
      <c r="EP75" s="774"/>
      <c r="EQ75" s="774"/>
      <c r="ER75" s="774"/>
      <c r="ES75" s="774"/>
      <c r="ET75" s="774"/>
      <c r="EU75" s="774"/>
      <c r="EV75" s="774"/>
      <c r="EW75" s="774"/>
      <c r="EX75" s="306"/>
      <c r="EY75" s="225" t="s">
        <v>1015</v>
      </c>
      <c r="EZ75" s="225"/>
      <c r="FA75" s="225"/>
      <c r="FB75" s="246"/>
      <c r="FC75" s="239" t="s">
        <v>1016</v>
      </c>
    </row>
    <row r="76" spans="1:159" s="16" customFormat="1" ht="42.75">
      <c r="A76" s="215"/>
      <c r="B76" s="1601"/>
      <c r="C76" s="217" t="s">
        <v>843</v>
      </c>
      <c r="D76" s="225" t="s">
        <v>1017</v>
      </c>
      <c r="E76" s="751">
        <f t="shared" si="9"/>
        <v>0</v>
      </c>
      <c r="F76" s="751">
        <v>0</v>
      </c>
      <c r="G76" s="751">
        <v>0</v>
      </c>
      <c r="H76" s="751">
        <v>0</v>
      </c>
      <c r="I76" s="77">
        <f t="shared" si="10"/>
        <v>0</v>
      </c>
      <c r="J76" s="751">
        <f t="shared" si="11"/>
        <v>0</v>
      </c>
      <c r="K76" s="751">
        <f t="shared" si="12"/>
        <v>0</v>
      </c>
      <c r="L76" s="751">
        <f t="shared" si="13"/>
        <v>0</v>
      </c>
      <c r="M76" s="751">
        <f t="shared" si="14"/>
        <v>0</v>
      </c>
      <c r="N76" s="751">
        <f t="shared" si="15"/>
        <v>0</v>
      </c>
      <c r="O76" s="751">
        <f t="shared" si="16"/>
        <v>0</v>
      </c>
      <c r="P76" s="751">
        <f t="shared" si="17"/>
        <v>0</v>
      </c>
      <c r="Q76" s="751"/>
      <c r="R76" s="751"/>
      <c r="S76" s="774"/>
      <c r="T76" s="774"/>
      <c r="U76" s="306"/>
      <c r="V76" s="306"/>
      <c r="W76" s="306"/>
      <c r="X76" s="306"/>
      <c r="Y76" s="774"/>
      <c r="Z76" s="774"/>
      <c r="AA76" s="774"/>
      <c r="AB76" s="774"/>
      <c r="AC76" s="774"/>
      <c r="AD76" s="774"/>
      <c r="AE76" s="774"/>
      <c r="AF76" s="774"/>
      <c r="AG76" s="774"/>
      <c r="AH76" s="774"/>
      <c r="AI76" s="774"/>
      <c r="AJ76" s="774"/>
      <c r="AK76" s="774"/>
      <c r="AL76" s="774"/>
      <c r="AM76" s="774"/>
      <c r="AN76" s="774"/>
      <c r="AO76" s="774"/>
      <c r="AP76" s="774"/>
      <c r="AQ76" s="774"/>
      <c r="AR76" s="774"/>
      <c r="AS76" s="774"/>
      <c r="AT76" s="774"/>
      <c r="AU76" s="774"/>
      <c r="AV76" s="774"/>
      <c r="AW76" s="774"/>
      <c r="AX76" s="774"/>
      <c r="AY76" s="774"/>
      <c r="AZ76" s="774"/>
      <c r="BA76" s="774"/>
      <c r="BB76" s="774"/>
      <c r="BC76" s="774"/>
      <c r="BD76" s="774"/>
      <c r="BE76" s="774"/>
      <c r="BF76" s="774"/>
      <c r="BG76" s="774"/>
      <c r="BH76" s="774"/>
      <c r="BI76" s="774"/>
      <c r="BJ76" s="774"/>
      <c r="BK76" s="774"/>
      <c r="BL76" s="774"/>
      <c r="BM76" s="774"/>
      <c r="BN76" s="774"/>
      <c r="BO76" s="774"/>
      <c r="BP76" s="774"/>
      <c r="BQ76" s="774"/>
      <c r="BR76" s="774"/>
      <c r="BS76" s="774"/>
      <c r="BT76" s="774"/>
      <c r="BU76" s="774"/>
      <c r="BV76" s="774"/>
      <c r="BW76" s="774"/>
      <c r="BX76" s="774"/>
      <c r="BY76" s="774"/>
      <c r="BZ76" s="774"/>
      <c r="CA76" s="774"/>
      <c r="CB76" s="774"/>
      <c r="CC76" s="774"/>
      <c r="CD76" s="774"/>
      <c r="CE76" s="774"/>
      <c r="CF76" s="774"/>
      <c r="CG76" s="774"/>
      <c r="CH76" s="774"/>
      <c r="CI76" s="774"/>
      <c r="CJ76" s="774"/>
      <c r="CK76" s="774"/>
      <c r="CL76" s="774"/>
      <c r="CM76" s="774"/>
      <c r="CN76" s="774"/>
      <c r="CO76" s="774"/>
      <c r="CP76" s="774"/>
      <c r="CQ76" s="774"/>
      <c r="CR76" s="774"/>
      <c r="CS76" s="774"/>
      <c r="CT76" s="774"/>
      <c r="CU76" s="774"/>
      <c r="CV76" s="774"/>
      <c r="CW76" s="774"/>
      <c r="CX76" s="774"/>
      <c r="CY76" s="774"/>
      <c r="CZ76" s="774"/>
      <c r="DA76" s="774"/>
      <c r="DB76" s="774"/>
      <c r="DC76" s="774"/>
      <c r="DD76" s="774"/>
      <c r="DE76" s="774"/>
      <c r="DF76" s="774"/>
      <c r="DG76" s="774"/>
      <c r="DH76" s="774"/>
      <c r="DI76" s="774"/>
      <c r="DJ76" s="774"/>
      <c r="DK76" s="774"/>
      <c r="DL76" s="774"/>
      <c r="DM76" s="774"/>
      <c r="DN76" s="774"/>
      <c r="DO76" s="774"/>
      <c r="DP76" s="774"/>
      <c r="DQ76" s="774"/>
      <c r="DR76" s="774"/>
      <c r="DS76" s="774"/>
      <c r="DT76" s="774"/>
      <c r="DU76" s="774"/>
      <c r="DV76" s="774"/>
      <c r="DW76" s="774"/>
      <c r="DX76" s="774"/>
      <c r="DY76" s="774"/>
      <c r="DZ76" s="774"/>
      <c r="EA76" s="774"/>
      <c r="EB76" s="774"/>
      <c r="EC76" s="774"/>
      <c r="ED76" s="774"/>
      <c r="EE76" s="774"/>
      <c r="EF76" s="774"/>
      <c r="EG76" s="774"/>
      <c r="EH76" s="774"/>
      <c r="EI76" s="774"/>
      <c r="EJ76" s="774"/>
      <c r="EK76" s="774"/>
      <c r="EL76" s="774"/>
      <c r="EM76" s="774"/>
      <c r="EN76" s="774"/>
      <c r="EO76" s="774"/>
      <c r="EP76" s="774"/>
      <c r="EQ76" s="774"/>
      <c r="ER76" s="774"/>
      <c r="ES76" s="774"/>
      <c r="ET76" s="774"/>
      <c r="EU76" s="774"/>
      <c r="EV76" s="774"/>
      <c r="EW76" s="774"/>
      <c r="EX76" s="306"/>
      <c r="EY76" s="225"/>
      <c r="EZ76" s="225"/>
      <c r="FA76" s="225"/>
      <c r="FB76" s="246"/>
      <c r="FC76" s="239"/>
    </row>
    <row r="77" spans="1:159" s="178" customFormat="1" ht="57">
      <c r="A77" s="248">
        <v>14</v>
      </c>
      <c r="B77" s="1612"/>
      <c r="C77" s="217" t="s">
        <v>843</v>
      </c>
      <c r="D77" s="249" t="s">
        <v>1018</v>
      </c>
      <c r="E77" s="751">
        <f t="shared" si="9"/>
        <v>0</v>
      </c>
      <c r="F77" s="751">
        <v>0</v>
      </c>
      <c r="G77" s="751">
        <v>0</v>
      </c>
      <c r="H77" s="751">
        <v>0</v>
      </c>
      <c r="I77" s="77">
        <f t="shared" si="10"/>
        <v>0</v>
      </c>
      <c r="J77" s="751">
        <f t="shared" si="11"/>
        <v>0</v>
      </c>
      <c r="K77" s="751">
        <f t="shared" si="12"/>
        <v>0</v>
      </c>
      <c r="L77" s="751">
        <f t="shared" si="13"/>
        <v>0</v>
      </c>
      <c r="M77" s="751">
        <f t="shared" si="14"/>
        <v>0</v>
      </c>
      <c r="N77" s="751">
        <f t="shared" si="15"/>
        <v>0</v>
      </c>
      <c r="O77" s="751">
        <f t="shared" si="16"/>
        <v>0</v>
      </c>
      <c r="P77" s="751">
        <f t="shared" si="17"/>
        <v>0</v>
      </c>
      <c r="Q77" s="751"/>
      <c r="R77" s="751"/>
      <c r="S77" s="769"/>
      <c r="T77" s="769"/>
      <c r="U77" s="331"/>
      <c r="V77" s="331"/>
      <c r="W77" s="331"/>
      <c r="X77" s="331"/>
      <c r="Y77" s="769"/>
      <c r="Z77" s="769"/>
      <c r="AA77" s="769"/>
      <c r="AB77" s="769"/>
      <c r="AC77" s="769"/>
      <c r="AD77" s="769"/>
      <c r="AE77" s="769"/>
      <c r="AF77" s="769"/>
      <c r="AG77" s="769"/>
      <c r="AH77" s="769"/>
      <c r="AI77" s="769"/>
      <c r="AJ77" s="769"/>
      <c r="AK77" s="769"/>
      <c r="AL77" s="769"/>
      <c r="AM77" s="769"/>
      <c r="AN77" s="769"/>
      <c r="AO77" s="769"/>
      <c r="AP77" s="769"/>
      <c r="AQ77" s="769"/>
      <c r="AR77" s="769"/>
      <c r="AS77" s="769"/>
      <c r="AT77" s="769"/>
      <c r="AU77" s="769"/>
      <c r="AV77" s="769"/>
      <c r="AW77" s="769"/>
      <c r="AX77" s="769"/>
      <c r="AY77" s="769"/>
      <c r="AZ77" s="769"/>
      <c r="BA77" s="769"/>
      <c r="BB77" s="769"/>
      <c r="BC77" s="769"/>
      <c r="BD77" s="769"/>
      <c r="BE77" s="769"/>
      <c r="BF77" s="769"/>
      <c r="BG77" s="769"/>
      <c r="BH77" s="769"/>
      <c r="BI77" s="769"/>
      <c r="BJ77" s="769"/>
      <c r="BK77" s="769"/>
      <c r="BL77" s="769"/>
      <c r="BM77" s="769"/>
      <c r="BN77" s="769"/>
      <c r="BO77" s="769"/>
      <c r="BP77" s="769"/>
      <c r="BQ77" s="769"/>
      <c r="BR77" s="769"/>
      <c r="BS77" s="769"/>
      <c r="BT77" s="769"/>
      <c r="BU77" s="769"/>
      <c r="BV77" s="769"/>
      <c r="BW77" s="769"/>
      <c r="BX77" s="769"/>
      <c r="BY77" s="769"/>
      <c r="BZ77" s="769"/>
      <c r="CA77" s="769"/>
      <c r="CB77" s="769"/>
      <c r="CC77" s="769"/>
      <c r="CD77" s="769"/>
      <c r="CE77" s="769"/>
      <c r="CF77" s="769"/>
      <c r="CG77" s="769"/>
      <c r="CH77" s="769"/>
      <c r="CI77" s="769"/>
      <c r="CJ77" s="769"/>
      <c r="CK77" s="769"/>
      <c r="CL77" s="769"/>
      <c r="CM77" s="769"/>
      <c r="CN77" s="769"/>
      <c r="CO77" s="769"/>
      <c r="CP77" s="769"/>
      <c r="CQ77" s="769"/>
      <c r="CR77" s="769"/>
      <c r="CS77" s="769"/>
      <c r="CT77" s="769"/>
      <c r="CU77" s="769"/>
      <c r="CV77" s="769"/>
      <c r="CW77" s="769"/>
      <c r="CX77" s="769"/>
      <c r="CY77" s="769"/>
      <c r="CZ77" s="769"/>
      <c r="DA77" s="769"/>
      <c r="DB77" s="769"/>
      <c r="DC77" s="769"/>
      <c r="DD77" s="769"/>
      <c r="DE77" s="769"/>
      <c r="DF77" s="769"/>
      <c r="DG77" s="769"/>
      <c r="DH77" s="769"/>
      <c r="DI77" s="769"/>
      <c r="DJ77" s="769"/>
      <c r="DK77" s="769"/>
      <c r="DL77" s="769"/>
      <c r="DM77" s="769"/>
      <c r="DN77" s="769"/>
      <c r="DO77" s="769"/>
      <c r="DP77" s="769"/>
      <c r="DQ77" s="769"/>
      <c r="DR77" s="769"/>
      <c r="DS77" s="769"/>
      <c r="DT77" s="769"/>
      <c r="DU77" s="769"/>
      <c r="DV77" s="769"/>
      <c r="DW77" s="769"/>
      <c r="DX77" s="769"/>
      <c r="DY77" s="769"/>
      <c r="DZ77" s="769"/>
      <c r="EA77" s="769"/>
      <c r="EB77" s="769"/>
      <c r="EC77" s="769"/>
      <c r="ED77" s="769"/>
      <c r="EE77" s="769"/>
      <c r="EF77" s="769"/>
      <c r="EG77" s="769"/>
      <c r="EH77" s="769"/>
      <c r="EI77" s="769"/>
      <c r="EJ77" s="769"/>
      <c r="EK77" s="769"/>
      <c r="EL77" s="769"/>
      <c r="EM77" s="769"/>
      <c r="EN77" s="769"/>
      <c r="EO77" s="769"/>
      <c r="EP77" s="769"/>
      <c r="EQ77" s="769"/>
      <c r="ER77" s="769"/>
      <c r="ES77" s="769"/>
      <c r="ET77" s="769"/>
      <c r="EU77" s="769"/>
      <c r="EV77" s="769"/>
      <c r="EW77" s="769"/>
      <c r="EX77" s="331"/>
      <c r="EY77" s="85" t="s">
        <v>1019</v>
      </c>
      <c r="EZ77" s="85"/>
      <c r="FA77" s="269"/>
      <c r="FB77" s="270"/>
      <c r="FC77" s="238" t="s">
        <v>844</v>
      </c>
    </row>
    <row r="78" spans="1:159" s="178" customFormat="1" ht="28.5">
      <c r="A78" s="215">
        <v>15</v>
      </c>
      <c r="B78" s="1611" t="s">
        <v>1020</v>
      </c>
      <c r="C78" s="217" t="s">
        <v>843</v>
      </c>
      <c r="D78" s="218" t="s">
        <v>1021</v>
      </c>
      <c r="E78" s="751">
        <f t="shared" si="9"/>
        <v>0</v>
      </c>
      <c r="F78" s="751">
        <v>0</v>
      </c>
      <c r="G78" s="751">
        <v>0</v>
      </c>
      <c r="H78" s="751">
        <v>0</v>
      </c>
      <c r="I78" s="77">
        <f t="shared" si="10"/>
        <v>0</v>
      </c>
      <c r="J78" s="751">
        <f t="shared" si="11"/>
        <v>0</v>
      </c>
      <c r="K78" s="751">
        <f t="shared" si="12"/>
        <v>0</v>
      </c>
      <c r="L78" s="751">
        <f t="shared" si="13"/>
        <v>0</v>
      </c>
      <c r="M78" s="751">
        <f t="shared" si="14"/>
        <v>0</v>
      </c>
      <c r="N78" s="751">
        <f t="shared" si="15"/>
        <v>0</v>
      </c>
      <c r="O78" s="751">
        <f t="shared" si="16"/>
        <v>0</v>
      </c>
      <c r="P78" s="751">
        <f t="shared" si="17"/>
        <v>0</v>
      </c>
      <c r="Q78" s="751"/>
      <c r="R78" s="751"/>
      <c r="S78" s="769"/>
      <c r="T78" s="769"/>
      <c r="U78" s="331"/>
      <c r="V78" s="331"/>
      <c r="W78" s="331"/>
      <c r="X78" s="331"/>
      <c r="Y78" s="769"/>
      <c r="Z78" s="769"/>
      <c r="AA78" s="769"/>
      <c r="AB78" s="769"/>
      <c r="AC78" s="769"/>
      <c r="AD78" s="769"/>
      <c r="AE78" s="769"/>
      <c r="AF78" s="769"/>
      <c r="AG78" s="769"/>
      <c r="AH78" s="769"/>
      <c r="AI78" s="769"/>
      <c r="AJ78" s="769"/>
      <c r="AK78" s="769"/>
      <c r="AL78" s="769"/>
      <c r="AM78" s="769"/>
      <c r="AN78" s="769"/>
      <c r="AO78" s="769"/>
      <c r="AP78" s="769"/>
      <c r="AQ78" s="769"/>
      <c r="AR78" s="769"/>
      <c r="AS78" s="769"/>
      <c r="AT78" s="769"/>
      <c r="AU78" s="769"/>
      <c r="AV78" s="769"/>
      <c r="AW78" s="769"/>
      <c r="AX78" s="769"/>
      <c r="AY78" s="769"/>
      <c r="AZ78" s="769"/>
      <c r="BA78" s="769"/>
      <c r="BB78" s="769"/>
      <c r="BC78" s="769"/>
      <c r="BD78" s="769"/>
      <c r="BE78" s="769"/>
      <c r="BF78" s="769"/>
      <c r="BG78" s="769"/>
      <c r="BH78" s="769"/>
      <c r="BI78" s="769"/>
      <c r="BJ78" s="769"/>
      <c r="BK78" s="769"/>
      <c r="BL78" s="769"/>
      <c r="BM78" s="769"/>
      <c r="BN78" s="769"/>
      <c r="BO78" s="769"/>
      <c r="BP78" s="769"/>
      <c r="BQ78" s="769"/>
      <c r="BR78" s="769"/>
      <c r="BS78" s="769"/>
      <c r="BT78" s="769"/>
      <c r="BU78" s="769"/>
      <c r="BV78" s="769"/>
      <c r="BW78" s="769"/>
      <c r="BX78" s="769"/>
      <c r="BY78" s="769"/>
      <c r="BZ78" s="769"/>
      <c r="CA78" s="769"/>
      <c r="CB78" s="769"/>
      <c r="CC78" s="769"/>
      <c r="CD78" s="769"/>
      <c r="CE78" s="769"/>
      <c r="CF78" s="769"/>
      <c r="CG78" s="769"/>
      <c r="CH78" s="769"/>
      <c r="CI78" s="769"/>
      <c r="CJ78" s="769"/>
      <c r="CK78" s="769"/>
      <c r="CL78" s="769"/>
      <c r="CM78" s="769"/>
      <c r="CN78" s="769"/>
      <c r="CO78" s="769"/>
      <c r="CP78" s="769"/>
      <c r="CQ78" s="769"/>
      <c r="CR78" s="769"/>
      <c r="CS78" s="769"/>
      <c r="CT78" s="769"/>
      <c r="CU78" s="769"/>
      <c r="CV78" s="769"/>
      <c r="CW78" s="769"/>
      <c r="CX78" s="769"/>
      <c r="CY78" s="769"/>
      <c r="CZ78" s="769"/>
      <c r="DA78" s="769"/>
      <c r="DB78" s="769"/>
      <c r="DC78" s="769"/>
      <c r="DD78" s="769"/>
      <c r="DE78" s="769"/>
      <c r="DF78" s="769"/>
      <c r="DG78" s="769"/>
      <c r="DH78" s="769"/>
      <c r="DI78" s="769"/>
      <c r="DJ78" s="769"/>
      <c r="DK78" s="769"/>
      <c r="DL78" s="769"/>
      <c r="DM78" s="769"/>
      <c r="DN78" s="769"/>
      <c r="DO78" s="769"/>
      <c r="DP78" s="769"/>
      <c r="DQ78" s="769"/>
      <c r="DR78" s="769"/>
      <c r="DS78" s="769"/>
      <c r="DT78" s="769"/>
      <c r="DU78" s="769"/>
      <c r="DV78" s="769"/>
      <c r="DW78" s="769"/>
      <c r="DX78" s="769"/>
      <c r="DY78" s="769"/>
      <c r="DZ78" s="769"/>
      <c r="EA78" s="769"/>
      <c r="EB78" s="769"/>
      <c r="EC78" s="769"/>
      <c r="ED78" s="769"/>
      <c r="EE78" s="769"/>
      <c r="EF78" s="769"/>
      <c r="EG78" s="769"/>
      <c r="EH78" s="769"/>
      <c r="EI78" s="769"/>
      <c r="EJ78" s="769"/>
      <c r="EK78" s="769"/>
      <c r="EL78" s="769"/>
      <c r="EM78" s="769"/>
      <c r="EN78" s="769"/>
      <c r="EO78" s="769"/>
      <c r="EP78" s="769"/>
      <c r="EQ78" s="769"/>
      <c r="ER78" s="769"/>
      <c r="ES78" s="769"/>
      <c r="ET78" s="769"/>
      <c r="EU78" s="769"/>
      <c r="EV78" s="769"/>
      <c r="EW78" s="769"/>
      <c r="EX78" s="331"/>
      <c r="EY78" s="85" t="s">
        <v>1022</v>
      </c>
      <c r="EZ78" s="85"/>
      <c r="FA78" s="269"/>
      <c r="FB78" s="270"/>
      <c r="FC78" s="239" t="s">
        <v>1023</v>
      </c>
    </row>
    <row r="79" spans="1:159" s="178" customFormat="1" ht="28.5">
      <c r="A79" s="215">
        <v>16</v>
      </c>
      <c r="B79" s="1601"/>
      <c r="C79" s="217" t="s">
        <v>843</v>
      </c>
      <c r="D79" s="218" t="s">
        <v>1024</v>
      </c>
      <c r="E79" s="751">
        <f t="shared" si="9"/>
        <v>0</v>
      </c>
      <c r="F79" s="751">
        <v>0</v>
      </c>
      <c r="G79" s="751">
        <v>0</v>
      </c>
      <c r="H79" s="751">
        <v>0</v>
      </c>
      <c r="I79" s="77">
        <f t="shared" si="10"/>
        <v>0</v>
      </c>
      <c r="J79" s="751">
        <f t="shared" si="11"/>
        <v>0</v>
      </c>
      <c r="K79" s="751">
        <f t="shared" si="12"/>
        <v>0</v>
      </c>
      <c r="L79" s="751">
        <f t="shared" si="13"/>
        <v>0</v>
      </c>
      <c r="M79" s="751">
        <f t="shared" si="14"/>
        <v>0</v>
      </c>
      <c r="N79" s="751">
        <f t="shared" si="15"/>
        <v>0</v>
      </c>
      <c r="O79" s="751">
        <f t="shared" si="16"/>
        <v>0</v>
      </c>
      <c r="P79" s="751">
        <f t="shared" si="17"/>
        <v>0</v>
      </c>
      <c r="Q79" s="751"/>
      <c r="R79" s="751"/>
      <c r="S79" s="769"/>
      <c r="T79" s="769"/>
      <c r="U79" s="331"/>
      <c r="V79" s="331"/>
      <c r="W79" s="331"/>
      <c r="X79" s="331"/>
      <c r="Y79" s="769"/>
      <c r="Z79" s="769"/>
      <c r="AA79" s="769"/>
      <c r="AB79" s="769"/>
      <c r="AC79" s="769"/>
      <c r="AD79" s="769"/>
      <c r="AE79" s="769"/>
      <c r="AF79" s="769"/>
      <c r="AG79" s="769"/>
      <c r="AH79" s="769"/>
      <c r="AI79" s="769"/>
      <c r="AJ79" s="769"/>
      <c r="AK79" s="769"/>
      <c r="AL79" s="769"/>
      <c r="AM79" s="769"/>
      <c r="AN79" s="769"/>
      <c r="AO79" s="769"/>
      <c r="AP79" s="769"/>
      <c r="AQ79" s="769"/>
      <c r="AR79" s="769"/>
      <c r="AS79" s="769"/>
      <c r="AT79" s="769"/>
      <c r="AU79" s="769"/>
      <c r="AV79" s="769"/>
      <c r="AW79" s="769"/>
      <c r="AX79" s="769"/>
      <c r="AY79" s="769"/>
      <c r="AZ79" s="769"/>
      <c r="BA79" s="769"/>
      <c r="BB79" s="769"/>
      <c r="BC79" s="769"/>
      <c r="BD79" s="769"/>
      <c r="BE79" s="769"/>
      <c r="BF79" s="769"/>
      <c r="BG79" s="769"/>
      <c r="BH79" s="769"/>
      <c r="BI79" s="769"/>
      <c r="BJ79" s="769"/>
      <c r="BK79" s="769"/>
      <c r="BL79" s="769"/>
      <c r="BM79" s="769"/>
      <c r="BN79" s="769"/>
      <c r="BO79" s="769"/>
      <c r="BP79" s="769"/>
      <c r="BQ79" s="769"/>
      <c r="BR79" s="769"/>
      <c r="BS79" s="769"/>
      <c r="BT79" s="769"/>
      <c r="BU79" s="769"/>
      <c r="BV79" s="769"/>
      <c r="BW79" s="769"/>
      <c r="BX79" s="769"/>
      <c r="BY79" s="769"/>
      <c r="BZ79" s="769"/>
      <c r="CA79" s="769"/>
      <c r="CB79" s="769"/>
      <c r="CC79" s="769"/>
      <c r="CD79" s="769"/>
      <c r="CE79" s="769"/>
      <c r="CF79" s="769"/>
      <c r="CG79" s="769"/>
      <c r="CH79" s="769"/>
      <c r="CI79" s="769"/>
      <c r="CJ79" s="769"/>
      <c r="CK79" s="769"/>
      <c r="CL79" s="769"/>
      <c r="CM79" s="769"/>
      <c r="CN79" s="769"/>
      <c r="CO79" s="769"/>
      <c r="CP79" s="769"/>
      <c r="CQ79" s="769"/>
      <c r="CR79" s="769"/>
      <c r="CS79" s="769"/>
      <c r="CT79" s="769"/>
      <c r="CU79" s="769"/>
      <c r="CV79" s="769"/>
      <c r="CW79" s="769"/>
      <c r="CX79" s="769"/>
      <c r="CY79" s="769"/>
      <c r="CZ79" s="769"/>
      <c r="DA79" s="769"/>
      <c r="DB79" s="769"/>
      <c r="DC79" s="769"/>
      <c r="DD79" s="769"/>
      <c r="DE79" s="769"/>
      <c r="DF79" s="769"/>
      <c r="DG79" s="769"/>
      <c r="DH79" s="769"/>
      <c r="DI79" s="769"/>
      <c r="DJ79" s="769"/>
      <c r="DK79" s="769"/>
      <c r="DL79" s="769"/>
      <c r="DM79" s="769"/>
      <c r="DN79" s="769"/>
      <c r="DO79" s="769"/>
      <c r="DP79" s="769"/>
      <c r="DQ79" s="769"/>
      <c r="DR79" s="769"/>
      <c r="DS79" s="769"/>
      <c r="DT79" s="769"/>
      <c r="DU79" s="769"/>
      <c r="DV79" s="769"/>
      <c r="DW79" s="769"/>
      <c r="DX79" s="769"/>
      <c r="DY79" s="769"/>
      <c r="DZ79" s="769"/>
      <c r="EA79" s="769"/>
      <c r="EB79" s="769"/>
      <c r="EC79" s="769"/>
      <c r="ED79" s="769"/>
      <c r="EE79" s="769"/>
      <c r="EF79" s="769"/>
      <c r="EG79" s="769"/>
      <c r="EH79" s="769"/>
      <c r="EI79" s="769"/>
      <c r="EJ79" s="769"/>
      <c r="EK79" s="769"/>
      <c r="EL79" s="769"/>
      <c r="EM79" s="769"/>
      <c r="EN79" s="769"/>
      <c r="EO79" s="769"/>
      <c r="EP79" s="769"/>
      <c r="EQ79" s="769"/>
      <c r="ER79" s="769"/>
      <c r="ES79" s="769"/>
      <c r="ET79" s="769"/>
      <c r="EU79" s="769"/>
      <c r="EV79" s="769"/>
      <c r="EW79" s="769"/>
      <c r="EX79" s="331"/>
      <c r="EY79" s="85" t="s">
        <v>1025</v>
      </c>
      <c r="EZ79" s="85"/>
      <c r="FA79" s="269"/>
      <c r="FB79" s="270"/>
      <c r="FC79" s="239" t="s">
        <v>1023</v>
      </c>
    </row>
    <row r="80" spans="1:159" s="178" customFormat="1" ht="39" customHeight="1">
      <c r="A80" s="211">
        <v>17</v>
      </c>
      <c r="B80" s="1601"/>
      <c r="C80" s="217" t="s">
        <v>973</v>
      </c>
      <c r="D80" s="219" t="s">
        <v>1026</v>
      </c>
      <c r="E80" s="751">
        <f t="shared" si="9"/>
        <v>0</v>
      </c>
      <c r="F80" s="751">
        <v>0</v>
      </c>
      <c r="G80" s="751">
        <v>0</v>
      </c>
      <c r="H80" s="751">
        <v>0</v>
      </c>
      <c r="I80" s="77">
        <f t="shared" si="10"/>
        <v>0</v>
      </c>
      <c r="J80" s="751">
        <f t="shared" si="11"/>
        <v>0</v>
      </c>
      <c r="K80" s="751">
        <f t="shared" si="12"/>
        <v>0</v>
      </c>
      <c r="L80" s="751">
        <f t="shared" si="13"/>
        <v>0</v>
      </c>
      <c r="M80" s="751">
        <f t="shared" si="14"/>
        <v>0</v>
      </c>
      <c r="N80" s="751">
        <f t="shared" si="15"/>
        <v>0</v>
      </c>
      <c r="O80" s="751">
        <f t="shared" si="16"/>
        <v>0</v>
      </c>
      <c r="P80" s="751">
        <f t="shared" si="17"/>
        <v>0</v>
      </c>
      <c r="Q80" s="751"/>
      <c r="R80" s="751"/>
      <c r="S80" s="769"/>
      <c r="T80" s="769"/>
      <c r="U80" s="331"/>
      <c r="V80" s="331"/>
      <c r="W80" s="331"/>
      <c r="X80" s="331"/>
      <c r="Y80" s="769"/>
      <c r="Z80" s="769"/>
      <c r="AA80" s="769"/>
      <c r="AB80" s="769"/>
      <c r="AC80" s="769"/>
      <c r="AD80" s="769"/>
      <c r="AE80" s="769"/>
      <c r="AF80" s="769"/>
      <c r="AG80" s="769"/>
      <c r="AH80" s="769"/>
      <c r="AI80" s="769"/>
      <c r="AJ80" s="769"/>
      <c r="AK80" s="769"/>
      <c r="AL80" s="769"/>
      <c r="AM80" s="769"/>
      <c r="AN80" s="769"/>
      <c r="AO80" s="769"/>
      <c r="AP80" s="769"/>
      <c r="AQ80" s="769"/>
      <c r="AR80" s="769"/>
      <c r="AS80" s="769"/>
      <c r="AT80" s="769"/>
      <c r="AU80" s="769"/>
      <c r="AV80" s="769"/>
      <c r="AW80" s="769"/>
      <c r="AX80" s="769"/>
      <c r="AY80" s="769"/>
      <c r="AZ80" s="769"/>
      <c r="BA80" s="769"/>
      <c r="BB80" s="769"/>
      <c r="BC80" s="769"/>
      <c r="BD80" s="769"/>
      <c r="BE80" s="769"/>
      <c r="BF80" s="769"/>
      <c r="BG80" s="769"/>
      <c r="BH80" s="769"/>
      <c r="BI80" s="769"/>
      <c r="BJ80" s="769"/>
      <c r="BK80" s="769"/>
      <c r="BL80" s="769"/>
      <c r="BM80" s="769"/>
      <c r="BN80" s="769"/>
      <c r="BO80" s="769"/>
      <c r="BP80" s="769"/>
      <c r="BQ80" s="769"/>
      <c r="BR80" s="769"/>
      <c r="BS80" s="769"/>
      <c r="BT80" s="769"/>
      <c r="BU80" s="769"/>
      <c r="BV80" s="769"/>
      <c r="BW80" s="769"/>
      <c r="BX80" s="769"/>
      <c r="BY80" s="769"/>
      <c r="BZ80" s="769"/>
      <c r="CA80" s="769"/>
      <c r="CB80" s="769"/>
      <c r="CC80" s="769"/>
      <c r="CD80" s="769"/>
      <c r="CE80" s="769"/>
      <c r="CF80" s="769"/>
      <c r="CG80" s="769"/>
      <c r="CH80" s="769"/>
      <c r="CI80" s="769"/>
      <c r="CJ80" s="769"/>
      <c r="CK80" s="769"/>
      <c r="CL80" s="769"/>
      <c r="CM80" s="769"/>
      <c r="CN80" s="769"/>
      <c r="CO80" s="769"/>
      <c r="CP80" s="769"/>
      <c r="CQ80" s="769"/>
      <c r="CR80" s="769"/>
      <c r="CS80" s="769"/>
      <c r="CT80" s="769"/>
      <c r="CU80" s="769"/>
      <c r="CV80" s="769"/>
      <c r="CW80" s="769"/>
      <c r="CX80" s="769"/>
      <c r="CY80" s="769"/>
      <c r="CZ80" s="769"/>
      <c r="DA80" s="769"/>
      <c r="DB80" s="769"/>
      <c r="DC80" s="769"/>
      <c r="DD80" s="769"/>
      <c r="DE80" s="769"/>
      <c r="DF80" s="769"/>
      <c r="DG80" s="769"/>
      <c r="DH80" s="769"/>
      <c r="DI80" s="769"/>
      <c r="DJ80" s="769"/>
      <c r="DK80" s="769"/>
      <c r="DL80" s="769"/>
      <c r="DM80" s="769"/>
      <c r="DN80" s="769"/>
      <c r="DO80" s="769"/>
      <c r="DP80" s="769"/>
      <c r="DQ80" s="769"/>
      <c r="DR80" s="769"/>
      <c r="DS80" s="769"/>
      <c r="DT80" s="769"/>
      <c r="DU80" s="769"/>
      <c r="DV80" s="769"/>
      <c r="DW80" s="769"/>
      <c r="DX80" s="769"/>
      <c r="DY80" s="769"/>
      <c r="DZ80" s="769"/>
      <c r="EA80" s="769"/>
      <c r="EB80" s="769"/>
      <c r="EC80" s="769"/>
      <c r="ED80" s="769"/>
      <c r="EE80" s="769"/>
      <c r="EF80" s="769"/>
      <c r="EG80" s="769"/>
      <c r="EH80" s="769"/>
      <c r="EI80" s="769"/>
      <c r="EJ80" s="769"/>
      <c r="EK80" s="769"/>
      <c r="EL80" s="769"/>
      <c r="EM80" s="769"/>
      <c r="EN80" s="769"/>
      <c r="EO80" s="769"/>
      <c r="EP80" s="769"/>
      <c r="EQ80" s="769"/>
      <c r="ER80" s="769"/>
      <c r="ES80" s="769"/>
      <c r="ET80" s="769"/>
      <c r="EU80" s="769"/>
      <c r="EV80" s="769"/>
      <c r="EW80" s="769"/>
      <c r="EX80" s="331"/>
      <c r="EY80" s="84" t="s">
        <v>1027</v>
      </c>
      <c r="EZ80" s="84"/>
      <c r="FA80" s="272"/>
      <c r="FB80" s="273"/>
      <c r="FC80" s="239" t="s">
        <v>1028</v>
      </c>
    </row>
    <row r="81" spans="1:16111" s="179" customFormat="1" ht="46.5" customHeight="1">
      <c r="A81" s="158"/>
      <c r="B81" s="1634"/>
      <c r="C81" s="250" t="s">
        <v>843</v>
      </c>
      <c r="D81" s="320" t="s">
        <v>1029</v>
      </c>
      <c r="E81" s="751">
        <f t="shared" si="9"/>
        <v>0</v>
      </c>
      <c r="F81" s="751">
        <v>0</v>
      </c>
      <c r="G81" s="751">
        <v>0</v>
      </c>
      <c r="H81" s="751">
        <v>0</v>
      </c>
      <c r="I81" s="77">
        <f t="shared" si="10"/>
        <v>0</v>
      </c>
      <c r="J81" s="751">
        <f t="shared" si="11"/>
        <v>0</v>
      </c>
      <c r="K81" s="751">
        <f t="shared" si="12"/>
        <v>0</v>
      </c>
      <c r="L81" s="751">
        <f t="shared" si="13"/>
        <v>0</v>
      </c>
      <c r="M81" s="751">
        <f t="shared" si="14"/>
        <v>0</v>
      </c>
      <c r="N81" s="751">
        <f t="shared" si="15"/>
        <v>0</v>
      </c>
      <c r="O81" s="751">
        <f t="shared" si="16"/>
        <v>0</v>
      </c>
      <c r="P81" s="751">
        <f t="shared" si="17"/>
        <v>0</v>
      </c>
      <c r="Q81" s="751"/>
      <c r="R81" s="751"/>
      <c r="S81" s="769"/>
      <c r="T81" s="769"/>
      <c r="U81" s="331"/>
      <c r="V81" s="331"/>
      <c r="W81" s="331"/>
      <c r="X81" s="331"/>
      <c r="Y81" s="769"/>
      <c r="Z81" s="769"/>
      <c r="AA81" s="769"/>
      <c r="AB81" s="769"/>
      <c r="AC81" s="769"/>
      <c r="AD81" s="769"/>
      <c r="AE81" s="769"/>
      <c r="AF81" s="769"/>
      <c r="AG81" s="769"/>
      <c r="AH81" s="769"/>
      <c r="AI81" s="769"/>
      <c r="AJ81" s="769"/>
      <c r="AK81" s="769"/>
      <c r="AL81" s="769"/>
      <c r="AM81" s="769"/>
      <c r="AN81" s="769"/>
      <c r="AO81" s="769"/>
      <c r="AP81" s="769"/>
      <c r="AQ81" s="769"/>
      <c r="AR81" s="769"/>
      <c r="AS81" s="769"/>
      <c r="AT81" s="769"/>
      <c r="AU81" s="769"/>
      <c r="AV81" s="769"/>
      <c r="AW81" s="769"/>
      <c r="AX81" s="769"/>
      <c r="AY81" s="769"/>
      <c r="AZ81" s="769"/>
      <c r="BA81" s="769"/>
      <c r="BB81" s="769"/>
      <c r="BC81" s="769"/>
      <c r="BD81" s="769"/>
      <c r="BE81" s="769"/>
      <c r="BF81" s="769"/>
      <c r="BG81" s="769"/>
      <c r="BH81" s="769"/>
      <c r="BI81" s="769"/>
      <c r="BJ81" s="769"/>
      <c r="BK81" s="769"/>
      <c r="BL81" s="769"/>
      <c r="BM81" s="769"/>
      <c r="BN81" s="769"/>
      <c r="BO81" s="769"/>
      <c r="BP81" s="769"/>
      <c r="BQ81" s="769"/>
      <c r="BR81" s="769"/>
      <c r="BS81" s="769"/>
      <c r="BT81" s="769"/>
      <c r="BU81" s="769"/>
      <c r="BV81" s="769"/>
      <c r="BW81" s="769"/>
      <c r="BX81" s="769"/>
      <c r="BY81" s="769"/>
      <c r="BZ81" s="769"/>
      <c r="CA81" s="769"/>
      <c r="CB81" s="769"/>
      <c r="CC81" s="769"/>
      <c r="CD81" s="769"/>
      <c r="CE81" s="769"/>
      <c r="CF81" s="769"/>
      <c r="CG81" s="769"/>
      <c r="CH81" s="769"/>
      <c r="CI81" s="769"/>
      <c r="CJ81" s="769"/>
      <c r="CK81" s="769"/>
      <c r="CL81" s="769"/>
      <c r="CM81" s="769"/>
      <c r="CN81" s="769"/>
      <c r="CO81" s="769"/>
      <c r="CP81" s="769"/>
      <c r="CQ81" s="769"/>
      <c r="CR81" s="769"/>
      <c r="CS81" s="769"/>
      <c r="CT81" s="769"/>
      <c r="CU81" s="769"/>
      <c r="CV81" s="769"/>
      <c r="CW81" s="769"/>
      <c r="CX81" s="769"/>
      <c r="CY81" s="769"/>
      <c r="CZ81" s="769"/>
      <c r="DA81" s="769"/>
      <c r="DB81" s="769"/>
      <c r="DC81" s="769"/>
      <c r="DD81" s="769"/>
      <c r="DE81" s="769"/>
      <c r="DF81" s="769"/>
      <c r="DG81" s="769"/>
      <c r="DH81" s="769"/>
      <c r="DI81" s="769"/>
      <c r="DJ81" s="769"/>
      <c r="DK81" s="769"/>
      <c r="DL81" s="769"/>
      <c r="DM81" s="769"/>
      <c r="DN81" s="769"/>
      <c r="DO81" s="769"/>
      <c r="DP81" s="769"/>
      <c r="DQ81" s="769"/>
      <c r="DR81" s="769"/>
      <c r="DS81" s="769"/>
      <c r="DT81" s="769"/>
      <c r="DU81" s="769"/>
      <c r="DV81" s="769"/>
      <c r="DW81" s="769"/>
      <c r="DX81" s="769"/>
      <c r="DY81" s="769"/>
      <c r="DZ81" s="769"/>
      <c r="EA81" s="769"/>
      <c r="EB81" s="769"/>
      <c r="EC81" s="769"/>
      <c r="ED81" s="769"/>
      <c r="EE81" s="769"/>
      <c r="EF81" s="769"/>
      <c r="EG81" s="769"/>
      <c r="EH81" s="769"/>
      <c r="EI81" s="769"/>
      <c r="EJ81" s="769"/>
      <c r="EK81" s="769"/>
      <c r="EL81" s="769"/>
      <c r="EM81" s="769"/>
      <c r="EN81" s="769"/>
      <c r="EO81" s="769"/>
      <c r="EP81" s="769"/>
      <c r="EQ81" s="769"/>
      <c r="ER81" s="769"/>
      <c r="ES81" s="769"/>
      <c r="ET81" s="769"/>
      <c r="EU81" s="769"/>
      <c r="EV81" s="769"/>
      <c r="EW81" s="769"/>
      <c r="EX81" s="331"/>
      <c r="EY81" s="251" t="s">
        <v>1030</v>
      </c>
      <c r="EZ81" s="251"/>
      <c r="FA81" s="274"/>
      <c r="FB81" s="340"/>
      <c r="FC81" s="241" t="s">
        <v>1031</v>
      </c>
    </row>
    <row r="82" spans="1:16111" s="178" customFormat="1" ht="57">
      <c r="A82" s="252">
        <v>18</v>
      </c>
      <c r="B82" s="1634"/>
      <c r="C82" s="250" t="s">
        <v>843</v>
      </c>
      <c r="D82" s="321" t="s">
        <v>1032</v>
      </c>
      <c r="E82" s="751">
        <f t="shared" ref="E82:E101" si="18">SUM(S82:EX82)</f>
        <v>0</v>
      </c>
      <c r="F82" s="751">
        <v>0</v>
      </c>
      <c r="G82" s="751">
        <v>0</v>
      </c>
      <c r="H82" s="751">
        <v>0</v>
      </c>
      <c r="I82" s="77">
        <f t="shared" si="10"/>
        <v>0</v>
      </c>
      <c r="J82" s="751">
        <f t="shared" si="11"/>
        <v>0</v>
      </c>
      <c r="K82" s="751">
        <f t="shared" si="12"/>
        <v>0</v>
      </c>
      <c r="L82" s="751">
        <f t="shared" si="13"/>
        <v>0</v>
      </c>
      <c r="M82" s="751">
        <f t="shared" si="14"/>
        <v>0</v>
      </c>
      <c r="N82" s="751">
        <f t="shared" si="15"/>
        <v>0</v>
      </c>
      <c r="O82" s="751">
        <f t="shared" si="16"/>
        <v>0</v>
      </c>
      <c r="P82" s="751">
        <f t="shared" si="17"/>
        <v>0</v>
      </c>
      <c r="Q82" s="751"/>
      <c r="R82" s="751"/>
      <c r="S82" s="738"/>
      <c r="T82" s="738"/>
      <c r="U82" s="271"/>
      <c r="V82" s="271"/>
      <c r="W82" s="271"/>
      <c r="X82" s="271"/>
      <c r="Y82" s="738"/>
      <c r="Z82" s="738"/>
      <c r="AA82" s="738"/>
      <c r="AB82" s="738"/>
      <c r="AC82" s="738"/>
      <c r="AD82" s="738"/>
      <c r="AE82" s="738"/>
      <c r="AF82" s="738"/>
      <c r="AG82" s="738"/>
      <c r="AH82" s="738"/>
      <c r="AI82" s="738"/>
      <c r="AJ82" s="738"/>
      <c r="AK82" s="738"/>
      <c r="AL82" s="738"/>
      <c r="AM82" s="738"/>
      <c r="AN82" s="738"/>
      <c r="AO82" s="738"/>
      <c r="AP82" s="738"/>
      <c r="AQ82" s="738"/>
      <c r="AR82" s="738"/>
      <c r="AS82" s="738"/>
      <c r="AT82" s="738"/>
      <c r="AU82" s="738"/>
      <c r="AV82" s="738"/>
      <c r="AW82" s="738"/>
      <c r="AX82" s="738"/>
      <c r="AY82" s="738"/>
      <c r="AZ82" s="738"/>
      <c r="BA82" s="738"/>
      <c r="BB82" s="738"/>
      <c r="BC82" s="738"/>
      <c r="BD82" s="738"/>
      <c r="BE82" s="738"/>
      <c r="BF82" s="738"/>
      <c r="BG82" s="738"/>
      <c r="BH82" s="738"/>
      <c r="BI82" s="738"/>
      <c r="BJ82" s="738"/>
      <c r="BK82" s="738"/>
      <c r="BL82" s="738"/>
      <c r="BM82" s="738"/>
      <c r="BN82" s="738"/>
      <c r="BO82" s="738"/>
      <c r="BP82" s="738"/>
      <c r="BQ82" s="738"/>
      <c r="BR82" s="738"/>
      <c r="BS82" s="738"/>
      <c r="BT82" s="738"/>
      <c r="BU82" s="738"/>
      <c r="BV82" s="738"/>
      <c r="BW82" s="738"/>
      <c r="BX82" s="738"/>
      <c r="BY82" s="738"/>
      <c r="BZ82" s="738"/>
      <c r="CA82" s="738"/>
      <c r="CB82" s="738"/>
      <c r="CC82" s="738"/>
      <c r="CD82" s="738"/>
      <c r="CE82" s="738"/>
      <c r="CF82" s="738"/>
      <c r="CG82" s="738"/>
      <c r="CH82" s="738"/>
      <c r="CI82" s="738"/>
      <c r="CJ82" s="738"/>
      <c r="CK82" s="738"/>
      <c r="CL82" s="738"/>
      <c r="CM82" s="738"/>
      <c r="CN82" s="738"/>
      <c r="CO82" s="738"/>
      <c r="CP82" s="738"/>
      <c r="CQ82" s="738"/>
      <c r="CR82" s="738"/>
      <c r="CS82" s="738"/>
      <c r="CT82" s="738"/>
      <c r="CU82" s="738"/>
      <c r="CV82" s="738"/>
      <c r="CW82" s="738"/>
      <c r="CX82" s="738"/>
      <c r="CY82" s="738"/>
      <c r="CZ82" s="738"/>
      <c r="DA82" s="738"/>
      <c r="DB82" s="738"/>
      <c r="DC82" s="738"/>
      <c r="DD82" s="738"/>
      <c r="DE82" s="738"/>
      <c r="DF82" s="738"/>
      <c r="DG82" s="738"/>
      <c r="DH82" s="738"/>
      <c r="DI82" s="738"/>
      <c r="DJ82" s="738"/>
      <c r="DK82" s="738"/>
      <c r="DL82" s="738"/>
      <c r="DM82" s="738"/>
      <c r="DN82" s="738"/>
      <c r="DO82" s="738"/>
      <c r="DP82" s="738"/>
      <c r="DQ82" s="738"/>
      <c r="DR82" s="738"/>
      <c r="DS82" s="738"/>
      <c r="DT82" s="738"/>
      <c r="DU82" s="738"/>
      <c r="DV82" s="738"/>
      <c r="DW82" s="738"/>
      <c r="DX82" s="738"/>
      <c r="DY82" s="738"/>
      <c r="DZ82" s="738"/>
      <c r="EA82" s="738"/>
      <c r="EB82" s="738"/>
      <c r="EC82" s="738"/>
      <c r="ED82" s="738"/>
      <c r="EE82" s="738"/>
      <c r="EF82" s="738"/>
      <c r="EG82" s="738"/>
      <c r="EH82" s="738"/>
      <c r="EI82" s="738"/>
      <c r="EJ82" s="738"/>
      <c r="EK82" s="738"/>
      <c r="EL82" s="738"/>
      <c r="EM82" s="738"/>
      <c r="EN82" s="738"/>
      <c r="EO82" s="738"/>
      <c r="EP82" s="738"/>
      <c r="EQ82" s="738"/>
      <c r="ER82" s="738"/>
      <c r="ES82" s="738"/>
      <c r="ET82" s="738"/>
      <c r="EU82" s="738"/>
      <c r="EV82" s="738"/>
      <c r="EW82" s="738"/>
      <c r="EX82" s="271"/>
      <c r="EY82" s="276" t="s">
        <v>1033</v>
      </c>
      <c r="EZ82" s="276"/>
      <c r="FA82" s="277" t="s">
        <v>1034</v>
      </c>
      <c r="FB82" s="278"/>
      <c r="FC82" s="279" t="s">
        <v>844</v>
      </c>
    </row>
    <row r="83" spans="1:16111" s="178" customFormat="1" ht="31.5" customHeight="1">
      <c r="A83" s="253">
        <v>20</v>
      </c>
      <c r="B83" s="1632" t="s">
        <v>886</v>
      </c>
      <c r="C83" s="322" t="s">
        <v>843</v>
      </c>
      <c r="D83" s="323" t="s">
        <v>1035</v>
      </c>
      <c r="E83" s="751">
        <f t="shared" si="18"/>
        <v>0</v>
      </c>
      <c r="F83" s="751">
        <v>0</v>
      </c>
      <c r="G83" s="751">
        <v>0</v>
      </c>
      <c r="H83" s="751">
        <v>0</v>
      </c>
      <c r="I83" s="77">
        <f t="shared" si="10"/>
        <v>0</v>
      </c>
      <c r="J83" s="751">
        <f t="shared" si="11"/>
        <v>0</v>
      </c>
      <c r="K83" s="751">
        <f t="shared" si="12"/>
        <v>0</v>
      </c>
      <c r="L83" s="751">
        <f t="shared" si="13"/>
        <v>0</v>
      </c>
      <c r="M83" s="751">
        <f t="shared" si="14"/>
        <v>0</v>
      </c>
      <c r="N83" s="751">
        <f t="shared" si="15"/>
        <v>0</v>
      </c>
      <c r="O83" s="751">
        <f t="shared" si="16"/>
        <v>0</v>
      </c>
      <c r="P83" s="751">
        <f t="shared" si="17"/>
        <v>0</v>
      </c>
      <c r="Q83" s="751"/>
      <c r="R83" s="751"/>
      <c r="S83" s="769"/>
      <c r="T83" s="769"/>
      <c r="U83" s="331"/>
      <c r="V83" s="331"/>
      <c r="W83" s="331"/>
      <c r="X83" s="331"/>
      <c r="Y83" s="769"/>
      <c r="Z83" s="769"/>
      <c r="AA83" s="769"/>
      <c r="AB83" s="769"/>
      <c r="AC83" s="769"/>
      <c r="AD83" s="769"/>
      <c r="AE83" s="769"/>
      <c r="AF83" s="769"/>
      <c r="AG83" s="769"/>
      <c r="AH83" s="769"/>
      <c r="AI83" s="769"/>
      <c r="AJ83" s="769"/>
      <c r="AK83" s="769"/>
      <c r="AL83" s="769"/>
      <c r="AM83" s="769"/>
      <c r="AN83" s="769"/>
      <c r="AO83" s="769"/>
      <c r="AP83" s="769"/>
      <c r="AQ83" s="769"/>
      <c r="AR83" s="769"/>
      <c r="AS83" s="769"/>
      <c r="AT83" s="769"/>
      <c r="AU83" s="769"/>
      <c r="AV83" s="769"/>
      <c r="AW83" s="769"/>
      <c r="AX83" s="769"/>
      <c r="AY83" s="769"/>
      <c r="AZ83" s="769"/>
      <c r="BA83" s="769"/>
      <c r="BB83" s="769"/>
      <c r="BC83" s="769"/>
      <c r="BD83" s="769"/>
      <c r="BE83" s="769"/>
      <c r="BF83" s="769"/>
      <c r="BG83" s="769"/>
      <c r="BH83" s="769"/>
      <c r="BI83" s="769"/>
      <c r="BJ83" s="769"/>
      <c r="BK83" s="769"/>
      <c r="BL83" s="769"/>
      <c r="BM83" s="769"/>
      <c r="BN83" s="769"/>
      <c r="BO83" s="769"/>
      <c r="BP83" s="769"/>
      <c r="BQ83" s="769"/>
      <c r="BR83" s="769"/>
      <c r="BS83" s="769"/>
      <c r="BT83" s="769"/>
      <c r="BU83" s="769"/>
      <c r="BV83" s="769"/>
      <c r="BW83" s="769"/>
      <c r="BX83" s="769"/>
      <c r="BY83" s="769"/>
      <c r="BZ83" s="769"/>
      <c r="CA83" s="769"/>
      <c r="CB83" s="769"/>
      <c r="CC83" s="769"/>
      <c r="CD83" s="769"/>
      <c r="CE83" s="769"/>
      <c r="CF83" s="769"/>
      <c r="CG83" s="769"/>
      <c r="CH83" s="769"/>
      <c r="CI83" s="769"/>
      <c r="CJ83" s="769"/>
      <c r="CK83" s="769"/>
      <c r="CL83" s="769"/>
      <c r="CM83" s="769"/>
      <c r="CN83" s="769"/>
      <c r="CO83" s="769"/>
      <c r="CP83" s="769"/>
      <c r="CQ83" s="769"/>
      <c r="CR83" s="769"/>
      <c r="CS83" s="769"/>
      <c r="CT83" s="769"/>
      <c r="CU83" s="769"/>
      <c r="CV83" s="769"/>
      <c r="CW83" s="769"/>
      <c r="CX83" s="769"/>
      <c r="CY83" s="769"/>
      <c r="CZ83" s="769"/>
      <c r="DA83" s="769"/>
      <c r="DB83" s="769"/>
      <c r="DC83" s="769"/>
      <c r="DD83" s="769"/>
      <c r="DE83" s="769"/>
      <c r="DF83" s="769"/>
      <c r="DG83" s="769"/>
      <c r="DH83" s="769"/>
      <c r="DI83" s="769"/>
      <c r="DJ83" s="769"/>
      <c r="DK83" s="769"/>
      <c r="DL83" s="769"/>
      <c r="DM83" s="769"/>
      <c r="DN83" s="769"/>
      <c r="DO83" s="769"/>
      <c r="DP83" s="769"/>
      <c r="DQ83" s="769"/>
      <c r="DR83" s="769"/>
      <c r="DS83" s="769"/>
      <c r="DT83" s="769"/>
      <c r="DU83" s="769"/>
      <c r="DV83" s="769"/>
      <c r="DW83" s="769"/>
      <c r="DX83" s="769"/>
      <c r="DY83" s="769"/>
      <c r="DZ83" s="769"/>
      <c r="EA83" s="769"/>
      <c r="EB83" s="769"/>
      <c r="EC83" s="769"/>
      <c r="ED83" s="769"/>
      <c r="EE83" s="769"/>
      <c r="EF83" s="769"/>
      <c r="EG83" s="769"/>
      <c r="EH83" s="769"/>
      <c r="EI83" s="769"/>
      <c r="EJ83" s="769"/>
      <c r="EK83" s="769"/>
      <c r="EL83" s="769"/>
      <c r="EM83" s="769"/>
      <c r="EN83" s="769"/>
      <c r="EO83" s="769"/>
      <c r="EP83" s="769"/>
      <c r="EQ83" s="769"/>
      <c r="ER83" s="769"/>
      <c r="ES83" s="769"/>
      <c r="ET83" s="769"/>
      <c r="EU83" s="769"/>
      <c r="EV83" s="769"/>
      <c r="EW83" s="769"/>
      <c r="EX83" s="331"/>
      <c r="EY83" s="251" t="s">
        <v>1036</v>
      </c>
      <c r="EZ83" s="251"/>
      <c r="FA83" s="280"/>
      <c r="FB83" s="281"/>
      <c r="FC83" s="341" t="s">
        <v>847</v>
      </c>
    </row>
    <row r="84" spans="1:16111" s="180" customFormat="1" ht="28.5">
      <c r="A84" s="215">
        <v>21</v>
      </c>
      <c r="B84" s="1635"/>
      <c r="C84" s="255" t="s">
        <v>843</v>
      </c>
      <c r="D84" s="256" t="s">
        <v>1037</v>
      </c>
      <c r="E84" s="751">
        <f t="shared" si="18"/>
        <v>0</v>
      </c>
      <c r="F84" s="751">
        <v>0</v>
      </c>
      <c r="G84" s="751">
        <v>0</v>
      </c>
      <c r="H84" s="751">
        <v>0</v>
      </c>
      <c r="I84" s="77">
        <f t="shared" si="10"/>
        <v>0</v>
      </c>
      <c r="J84" s="751">
        <f t="shared" si="11"/>
        <v>0</v>
      </c>
      <c r="K84" s="751">
        <f t="shared" si="12"/>
        <v>0</v>
      </c>
      <c r="L84" s="751">
        <f t="shared" si="13"/>
        <v>0</v>
      </c>
      <c r="M84" s="751">
        <f t="shared" si="14"/>
        <v>0</v>
      </c>
      <c r="N84" s="751">
        <f t="shared" si="15"/>
        <v>0</v>
      </c>
      <c r="O84" s="751">
        <f t="shared" si="16"/>
        <v>0</v>
      </c>
      <c r="P84" s="751">
        <f t="shared" si="17"/>
        <v>0</v>
      </c>
      <c r="Q84" s="751"/>
      <c r="R84" s="751"/>
      <c r="S84" s="775"/>
      <c r="T84" s="775"/>
      <c r="U84" s="332"/>
      <c r="V84" s="332"/>
      <c r="W84" s="332"/>
      <c r="X84" s="332"/>
      <c r="Y84" s="775"/>
      <c r="Z84" s="775"/>
      <c r="AA84" s="775"/>
      <c r="AB84" s="775"/>
      <c r="AC84" s="775"/>
      <c r="AD84" s="775"/>
      <c r="AE84" s="775"/>
      <c r="AF84" s="775"/>
      <c r="AG84" s="775"/>
      <c r="AH84" s="775"/>
      <c r="AI84" s="775"/>
      <c r="AJ84" s="775"/>
      <c r="AK84" s="775"/>
      <c r="AL84" s="775"/>
      <c r="AM84" s="775"/>
      <c r="AN84" s="775"/>
      <c r="AO84" s="775"/>
      <c r="AP84" s="775"/>
      <c r="AQ84" s="775"/>
      <c r="AR84" s="775"/>
      <c r="AS84" s="775"/>
      <c r="AT84" s="775"/>
      <c r="AU84" s="775"/>
      <c r="AV84" s="775"/>
      <c r="AW84" s="775"/>
      <c r="AX84" s="775"/>
      <c r="AY84" s="775"/>
      <c r="AZ84" s="775"/>
      <c r="BA84" s="775"/>
      <c r="BB84" s="775"/>
      <c r="BC84" s="775"/>
      <c r="BD84" s="775"/>
      <c r="BE84" s="775"/>
      <c r="BF84" s="775"/>
      <c r="BG84" s="775"/>
      <c r="BH84" s="775"/>
      <c r="BI84" s="775"/>
      <c r="BJ84" s="775"/>
      <c r="BK84" s="775"/>
      <c r="BL84" s="775"/>
      <c r="BM84" s="775"/>
      <c r="BN84" s="775"/>
      <c r="BO84" s="775"/>
      <c r="BP84" s="775"/>
      <c r="BQ84" s="775"/>
      <c r="BR84" s="775"/>
      <c r="BS84" s="775"/>
      <c r="BT84" s="775"/>
      <c r="BU84" s="775"/>
      <c r="BV84" s="775"/>
      <c r="BW84" s="775"/>
      <c r="BX84" s="775"/>
      <c r="BY84" s="775"/>
      <c r="BZ84" s="775"/>
      <c r="CA84" s="775"/>
      <c r="CB84" s="775"/>
      <c r="CC84" s="775"/>
      <c r="CD84" s="775"/>
      <c r="CE84" s="775"/>
      <c r="CF84" s="775"/>
      <c r="CG84" s="775"/>
      <c r="CH84" s="775"/>
      <c r="CI84" s="775"/>
      <c r="CJ84" s="775"/>
      <c r="CK84" s="775"/>
      <c r="CL84" s="775"/>
      <c r="CM84" s="775"/>
      <c r="CN84" s="775"/>
      <c r="CO84" s="775"/>
      <c r="CP84" s="775"/>
      <c r="CQ84" s="775"/>
      <c r="CR84" s="775"/>
      <c r="CS84" s="775"/>
      <c r="CT84" s="775"/>
      <c r="CU84" s="775"/>
      <c r="CV84" s="775"/>
      <c r="CW84" s="775"/>
      <c r="CX84" s="775"/>
      <c r="CY84" s="775"/>
      <c r="CZ84" s="775"/>
      <c r="DA84" s="775"/>
      <c r="DB84" s="775"/>
      <c r="DC84" s="775"/>
      <c r="DD84" s="775"/>
      <c r="DE84" s="775"/>
      <c r="DF84" s="775"/>
      <c r="DG84" s="775"/>
      <c r="DH84" s="775"/>
      <c r="DI84" s="775"/>
      <c r="DJ84" s="775"/>
      <c r="DK84" s="775"/>
      <c r="DL84" s="775"/>
      <c r="DM84" s="775"/>
      <c r="DN84" s="775"/>
      <c r="DO84" s="775"/>
      <c r="DP84" s="775"/>
      <c r="DQ84" s="775"/>
      <c r="DR84" s="775"/>
      <c r="DS84" s="775"/>
      <c r="DT84" s="775"/>
      <c r="DU84" s="775"/>
      <c r="DV84" s="775"/>
      <c r="DW84" s="775"/>
      <c r="DX84" s="775"/>
      <c r="DY84" s="775"/>
      <c r="DZ84" s="775"/>
      <c r="EA84" s="775"/>
      <c r="EB84" s="775"/>
      <c r="EC84" s="775"/>
      <c r="ED84" s="775"/>
      <c r="EE84" s="775"/>
      <c r="EF84" s="775"/>
      <c r="EG84" s="775"/>
      <c r="EH84" s="775"/>
      <c r="EI84" s="775"/>
      <c r="EJ84" s="775"/>
      <c r="EK84" s="775"/>
      <c r="EL84" s="775"/>
      <c r="EM84" s="775"/>
      <c r="EN84" s="775"/>
      <c r="EO84" s="775"/>
      <c r="EP84" s="775"/>
      <c r="EQ84" s="775"/>
      <c r="ER84" s="775"/>
      <c r="ES84" s="775"/>
      <c r="ET84" s="775"/>
      <c r="EU84" s="775"/>
      <c r="EV84" s="775"/>
      <c r="EW84" s="775"/>
      <c r="EX84" s="332"/>
      <c r="EY84" s="255" t="s">
        <v>1038</v>
      </c>
      <c r="EZ84" s="255"/>
      <c r="FA84" s="282"/>
      <c r="FB84" s="283"/>
      <c r="FC84" s="342" t="s">
        <v>1023</v>
      </c>
    </row>
    <row r="85" spans="1:16111" s="180" customFormat="1" ht="28.5">
      <c r="A85" s="215">
        <v>22</v>
      </c>
      <c r="B85" s="1635"/>
      <c r="C85" s="257" t="s">
        <v>843</v>
      </c>
      <c r="D85" s="324" t="s">
        <v>1039</v>
      </c>
      <c r="E85" s="751">
        <f t="shared" si="18"/>
        <v>0</v>
      </c>
      <c r="F85" s="751">
        <v>0</v>
      </c>
      <c r="G85" s="751">
        <v>0</v>
      </c>
      <c r="H85" s="751">
        <v>0</v>
      </c>
      <c r="I85" s="77">
        <f t="shared" si="10"/>
        <v>0</v>
      </c>
      <c r="J85" s="751">
        <f t="shared" si="11"/>
        <v>0</v>
      </c>
      <c r="K85" s="751">
        <f t="shared" si="12"/>
        <v>0</v>
      </c>
      <c r="L85" s="751">
        <f t="shared" si="13"/>
        <v>0</v>
      </c>
      <c r="M85" s="751">
        <f t="shared" si="14"/>
        <v>0</v>
      </c>
      <c r="N85" s="751">
        <f t="shared" si="15"/>
        <v>0</v>
      </c>
      <c r="O85" s="751">
        <f t="shared" si="16"/>
        <v>0</v>
      </c>
      <c r="P85" s="751">
        <f t="shared" si="17"/>
        <v>0</v>
      </c>
      <c r="Q85" s="751"/>
      <c r="R85" s="751"/>
      <c r="S85" s="775"/>
      <c r="T85" s="775"/>
      <c r="U85" s="332"/>
      <c r="V85" s="332"/>
      <c r="W85" s="332"/>
      <c r="X85" s="332"/>
      <c r="Y85" s="775"/>
      <c r="Z85" s="775"/>
      <c r="AA85" s="775"/>
      <c r="AB85" s="775"/>
      <c r="AC85" s="775"/>
      <c r="AD85" s="775"/>
      <c r="AE85" s="775"/>
      <c r="AF85" s="775"/>
      <c r="AG85" s="775"/>
      <c r="AH85" s="775"/>
      <c r="AI85" s="775"/>
      <c r="AJ85" s="775"/>
      <c r="AK85" s="775"/>
      <c r="AL85" s="775"/>
      <c r="AM85" s="775"/>
      <c r="AN85" s="775"/>
      <c r="AO85" s="775"/>
      <c r="AP85" s="775"/>
      <c r="AQ85" s="775"/>
      <c r="AR85" s="775"/>
      <c r="AS85" s="775"/>
      <c r="AT85" s="775"/>
      <c r="AU85" s="775"/>
      <c r="AV85" s="775"/>
      <c r="AW85" s="775"/>
      <c r="AX85" s="775"/>
      <c r="AY85" s="775"/>
      <c r="AZ85" s="775"/>
      <c r="BA85" s="775"/>
      <c r="BB85" s="775"/>
      <c r="BC85" s="775"/>
      <c r="BD85" s="775"/>
      <c r="BE85" s="775"/>
      <c r="BF85" s="775"/>
      <c r="BG85" s="775"/>
      <c r="BH85" s="775"/>
      <c r="BI85" s="775"/>
      <c r="BJ85" s="775"/>
      <c r="BK85" s="775"/>
      <c r="BL85" s="775"/>
      <c r="BM85" s="775"/>
      <c r="BN85" s="775"/>
      <c r="BO85" s="775"/>
      <c r="BP85" s="775"/>
      <c r="BQ85" s="775"/>
      <c r="BR85" s="775"/>
      <c r="BS85" s="775"/>
      <c r="BT85" s="775"/>
      <c r="BU85" s="775"/>
      <c r="BV85" s="775"/>
      <c r="BW85" s="775"/>
      <c r="BX85" s="775"/>
      <c r="BY85" s="775"/>
      <c r="BZ85" s="775"/>
      <c r="CA85" s="775"/>
      <c r="CB85" s="775"/>
      <c r="CC85" s="775"/>
      <c r="CD85" s="775"/>
      <c r="CE85" s="775"/>
      <c r="CF85" s="775"/>
      <c r="CG85" s="775"/>
      <c r="CH85" s="775"/>
      <c r="CI85" s="775"/>
      <c r="CJ85" s="775"/>
      <c r="CK85" s="775"/>
      <c r="CL85" s="775"/>
      <c r="CM85" s="775"/>
      <c r="CN85" s="775"/>
      <c r="CO85" s="775"/>
      <c r="CP85" s="775"/>
      <c r="CQ85" s="775"/>
      <c r="CR85" s="775"/>
      <c r="CS85" s="775"/>
      <c r="CT85" s="775"/>
      <c r="CU85" s="775"/>
      <c r="CV85" s="775"/>
      <c r="CW85" s="775"/>
      <c r="CX85" s="775"/>
      <c r="CY85" s="775"/>
      <c r="CZ85" s="775"/>
      <c r="DA85" s="775"/>
      <c r="DB85" s="775"/>
      <c r="DC85" s="775"/>
      <c r="DD85" s="775"/>
      <c r="DE85" s="775"/>
      <c r="DF85" s="775"/>
      <c r="DG85" s="775"/>
      <c r="DH85" s="775"/>
      <c r="DI85" s="775"/>
      <c r="DJ85" s="775"/>
      <c r="DK85" s="775"/>
      <c r="DL85" s="775"/>
      <c r="DM85" s="775"/>
      <c r="DN85" s="775"/>
      <c r="DO85" s="775"/>
      <c r="DP85" s="775"/>
      <c r="DQ85" s="775"/>
      <c r="DR85" s="775"/>
      <c r="DS85" s="775"/>
      <c r="DT85" s="775"/>
      <c r="DU85" s="775"/>
      <c r="DV85" s="775"/>
      <c r="DW85" s="775"/>
      <c r="DX85" s="775"/>
      <c r="DY85" s="775"/>
      <c r="DZ85" s="775"/>
      <c r="EA85" s="775"/>
      <c r="EB85" s="775"/>
      <c r="EC85" s="775"/>
      <c r="ED85" s="775"/>
      <c r="EE85" s="775"/>
      <c r="EF85" s="775"/>
      <c r="EG85" s="775"/>
      <c r="EH85" s="775"/>
      <c r="EI85" s="775"/>
      <c r="EJ85" s="775"/>
      <c r="EK85" s="775"/>
      <c r="EL85" s="775"/>
      <c r="EM85" s="775"/>
      <c r="EN85" s="775"/>
      <c r="EO85" s="775"/>
      <c r="EP85" s="775"/>
      <c r="EQ85" s="775"/>
      <c r="ER85" s="775"/>
      <c r="ES85" s="775"/>
      <c r="ET85" s="775"/>
      <c r="EU85" s="775"/>
      <c r="EV85" s="775"/>
      <c r="EW85" s="775"/>
      <c r="EX85" s="332"/>
      <c r="EY85" s="336" t="s">
        <v>1040</v>
      </c>
      <c r="EZ85" s="343"/>
      <c r="FA85" s="344"/>
      <c r="FB85" s="345"/>
      <c r="FC85" s="342" t="s">
        <v>1041</v>
      </c>
    </row>
    <row r="86" spans="1:16111" s="180" customFormat="1" ht="42.75">
      <c r="A86" s="211">
        <v>25</v>
      </c>
      <c r="B86" s="1636" t="s">
        <v>1042</v>
      </c>
      <c r="C86" s="776" t="s">
        <v>848</v>
      </c>
      <c r="D86" s="262" t="s">
        <v>1043</v>
      </c>
      <c r="E86" s="751">
        <f t="shared" si="18"/>
        <v>0</v>
      </c>
      <c r="F86" s="751">
        <v>0</v>
      </c>
      <c r="G86" s="751">
        <v>0</v>
      </c>
      <c r="H86" s="751">
        <v>0</v>
      </c>
      <c r="I86" s="77">
        <f t="shared" si="10"/>
        <v>0</v>
      </c>
      <c r="J86" s="751">
        <f t="shared" si="11"/>
        <v>0</v>
      </c>
      <c r="K86" s="751">
        <f t="shared" si="12"/>
        <v>0</v>
      </c>
      <c r="L86" s="751">
        <f t="shared" si="13"/>
        <v>0</v>
      </c>
      <c r="M86" s="751">
        <f t="shared" si="14"/>
        <v>0</v>
      </c>
      <c r="N86" s="751">
        <f t="shared" si="15"/>
        <v>0</v>
      </c>
      <c r="O86" s="751">
        <f t="shared" si="16"/>
        <v>0</v>
      </c>
      <c r="P86" s="751">
        <f t="shared" si="17"/>
        <v>0</v>
      </c>
      <c r="Q86" s="751"/>
      <c r="R86" s="751"/>
      <c r="S86" s="775"/>
      <c r="T86" s="775"/>
      <c r="U86" s="332"/>
      <c r="V86" s="332"/>
      <c r="W86" s="332"/>
      <c r="X86" s="332"/>
      <c r="Y86" s="775"/>
      <c r="Z86" s="775"/>
      <c r="AA86" s="775"/>
      <c r="AB86" s="775"/>
      <c r="AC86" s="775"/>
      <c r="AD86" s="775"/>
      <c r="AE86" s="775"/>
      <c r="AF86" s="775"/>
      <c r="AG86" s="775"/>
      <c r="AH86" s="775"/>
      <c r="AI86" s="775"/>
      <c r="AJ86" s="775"/>
      <c r="AK86" s="775"/>
      <c r="AL86" s="775"/>
      <c r="AM86" s="775"/>
      <c r="AN86" s="775"/>
      <c r="AO86" s="775"/>
      <c r="AP86" s="775"/>
      <c r="AQ86" s="775"/>
      <c r="AR86" s="775"/>
      <c r="AS86" s="775"/>
      <c r="AT86" s="775"/>
      <c r="AU86" s="775"/>
      <c r="AV86" s="775"/>
      <c r="AW86" s="775"/>
      <c r="AX86" s="775"/>
      <c r="AY86" s="775"/>
      <c r="AZ86" s="775"/>
      <c r="BA86" s="775"/>
      <c r="BB86" s="775"/>
      <c r="BC86" s="775"/>
      <c r="BD86" s="775"/>
      <c r="BE86" s="775"/>
      <c r="BF86" s="775"/>
      <c r="BG86" s="775"/>
      <c r="BH86" s="775"/>
      <c r="BI86" s="775"/>
      <c r="BJ86" s="775"/>
      <c r="BK86" s="775"/>
      <c r="BL86" s="775"/>
      <c r="BM86" s="775"/>
      <c r="BN86" s="775"/>
      <c r="BO86" s="775"/>
      <c r="BP86" s="775"/>
      <c r="BQ86" s="775"/>
      <c r="BR86" s="775"/>
      <c r="BS86" s="775"/>
      <c r="BT86" s="775"/>
      <c r="BU86" s="775"/>
      <c r="BV86" s="775"/>
      <c r="BW86" s="775"/>
      <c r="BX86" s="775"/>
      <c r="BY86" s="775"/>
      <c r="BZ86" s="775"/>
      <c r="CA86" s="775"/>
      <c r="CB86" s="775"/>
      <c r="CC86" s="775"/>
      <c r="CD86" s="775"/>
      <c r="CE86" s="775"/>
      <c r="CF86" s="775"/>
      <c r="CG86" s="775"/>
      <c r="CH86" s="775"/>
      <c r="CI86" s="775"/>
      <c r="CJ86" s="775"/>
      <c r="CK86" s="775"/>
      <c r="CL86" s="775"/>
      <c r="CM86" s="775"/>
      <c r="CN86" s="775"/>
      <c r="CO86" s="775"/>
      <c r="CP86" s="775"/>
      <c r="CQ86" s="775"/>
      <c r="CR86" s="775"/>
      <c r="CS86" s="775"/>
      <c r="CT86" s="775"/>
      <c r="CU86" s="775"/>
      <c r="CV86" s="775"/>
      <c r="CW86" s="775"/>
      <c r="CX86" s="775"/>
      <c r="CY86" s="775"/>
      <c r="CZ86" s="775"/>
      <c r="DA86" s="775"/>
      <c r="DB86" s="775"/>
      <c r="DC86" s="775"/>
      <c r="DD86" s="775"/>
      <c r="DE86" s="775"/>
      <c r="DF86" s="775"/>
      <c r="DG86" s="775"/>
      <c r="DH86" s="775"/>
      <c r="DI86" s="775"/>
      <c r="DJ86" s="775"/>
      <c r="DK86" s="775"/>
      <c r="DL86" s="775"/>
      <c r="DM86" s="775"/>
      <c r="DN86" s="775"/>
      <c r="DO86" s="775"/>
      <c r="DP86" s="775"/>
      <c r="DQ86" s="775"/>
      <c r="DR86" s="775"/>
      <c r="DS86" s="775"/>
      <c r="DT86" s="775"/>
      <c r="DU86" s="775"/>
      <c r="DV86" s="775"/>
      <c r="DW86" s="775"/>
      <c r="DX86" s="775"/>
      <c r="DY86" s="775"/>
      <c r="DZ86" s="775"/>
      <c r="EA86" s="775"/>
      <c r="EB86" s="775"/>
      <c r="EC86" s="775"/>
      <c r="ED86" s="775"/>
      <c r="EE86" s="775"/>
      <c r="EF86" s="775"/>
      <c r="EG86" s="775"/>
      <c r="EH86" s="775"/>
      <c r="EI86" s="775"/>
      <c r="EJ86" s="775"/>
      <c r="EK86" s="775"/>
      <c r="EL86" s="775"/>
      <c r="EM86" s="775"/>
      <c r="EN86" s="775"/>
      <c r="EO86" s="775"/>
      <c r="EP86" s="775"/>
      <c r="EQ86" s="775"/>
      <c r="ER86" s="775"/>
      <c r="ES86" s="775"/>
      <c r="ET86" s="775"/>
      <c r="EU86" s="775"/>
      <c r="EV86" s="775"/>
      <c r="EW86" s="775"/>
      <c r="EX86" s="775"/>
      <c r="EY86" s="776" t="s">
        <v>1044</v>
      </c>
      <c r="EZ86" s="285"/>
      <c r="FA86" s="286"/>
      <c r="FB86" s="783"/>
      <c r="FC86" s="784" t="s">
        <v>852</v>
      </c>
    </row>
    <row r="87" spans="1:16111" s="180" customFormat="1" ht="32.25" customHeight="1">
      <c r="A87" s="734"/>
      <c r="B87" s="1631"/>
      <c r="C87" s="740" t="s">
        <v>843</v>
      </c>
      <c r="D87" s="740" t="s">
        <v>898</v>
      </c>
      <c r="E87" s="751">
        <f t="shared" si="18"/>
        <v>0</v>
      </c>
      <c r="F87" s="751">
        <v>0</v>
      </c>
      <c r="G87" s="751">
        <v>0</v>
      </c>
      <c r="H87" s="751">
        <v>0</v>
      </c>
      <c r="I87" s="77">
        <f t="shared" si="10"/>
        <v>0</v>
      </c>
      <c r="J87" s="751">
        <f t="shared" si="11"/>
        <v>0</v>
      </c>
      <c r="K87" s="751">
        <f t="shared" si="12"/>
        <v>0</v>
      </c>
      <c r="L87" s="751">
        <f t="shared" si="13"/>
        <v>0</v>
      </c>
      <c r="M87" s="751">
        <f t="shared" si="14"/>
        <v>0</v>
      </c>
      <c r="N87" s="751">
        <f t="shared" si="15"/>
        <v>0</v>
      </c>
      <c r="O87" s="751">
        <f t="shared" si="16"/>
        <v>0</v>
      </c>
      <c r="P87" s="751">
        <f t="shared" si="17"/>
        <v>0</v>
      </c>
      <c r="Q87" s="751"/>
      <c r="R87" s="751"/>
      <c r="S87" s="739"/>
      <c r="T87" s="739"/>
      <c r="U87" s="334"/>
      <c r="V87" s="334"/>
      <c r="W87" s="334"/>
      <c r="X87" s="334"/>
      <c r="Y87" s="739"/>
      <c r="Z87" s="739"/>
      <c r="AA87" s="739"/>
      <c r="AB87" s="739"/>
      <c r="AC87" s="739"/>
      <c r="AD87" s="739"/>
      <c r="AE87" s="739"/>
      <c r="AF87" s="739"/>
      <c r="AG87" s="739"/>
      <c r="AH87" s="739"/>
      <c r="AI87" s="739"/>
      <c r="AJ87" s="739"/>
      <c r="AK87" s="739"/>
      <c r="AL87" s="739"/>
      <c r="AM87" s="739"/>
      <c r="AN87" s="739"/>
      <c r="AO87" s="739"/>
      <c r="AP87" s="739"/>
      <c r="AQ87" s="739"/>
      <c r="AR87" s="739"/>
      <c r="AS87" s="739"/>
      <c r="AT87" s="739"/>
      <c r="AU87" s="739"/>
      <c r="AV87" s="739"/>
      <c r="AW87" s="739"/>
      <c r="AX87" s="739"/>
      <c r="AY87" s="739"/>
      <c r="AZ87" s="739"/>
      <c r="BA87" s="739"/>
      <c r="BB87" s="739"/>
      <c r="BC87" s="739"/>
      <c r="BD87" s="739"/>
      <c r="BE87" s="739"/>
      <c r="BF87" s="739"/>
      <c r="BG87" s="739"/>
      <c r="BH87" s="739"/>
      <c r="BI87" s="739"/>
      <c r="BJ87" s="739"/>
      <c r="BK87" s="739"/>
      <c r="BL87" s="739"/>
      <c r="BM87" s="739"/>
      <c r="BN87" s="739"/>
      <c r="BO87" s="739"/>
      <c r="BP87" s="739"/>
      <c r="BQ87" s="739"/>
      <c r="BR87" s="739"/>
      <c r="BS87" s="739"/>
      <c r="BT87" s="739"/>
      <c r="BU87" s="739"/>
      <c r="BV87" s="739"/>
      <c r="BW87" s="739"/>
      <c r="BX87" s="739"/>
      <c r="BY87" s="739"/>
      <c r="BZ87" s="739"/>
      <c r="CA87" s="739"/>
      <c r="CB87" s="739"/>
      <c r="CC87" s="739"/>
      <c r="CD87" s="739"/>
      <c r="CE87" s="739"/>
      <c r="CF87" s="739"/>
      <c r="CG87" s="739"/>
      <c r="CH87" s="739"/>
      <c r="CI87" s="739"/>
      <c r="CJ87" s="739"/>
      <c r="CK87" s="739"/>
      <c r="CL87" s="739"/>
      <c r="CM87" s="739"/>
      <c r="CN87" s="739"/>
      <c r="CO87" s="739"/>
      <c r="CP87" s="739"/>
      <c r="CQ87" s="739"/>
      <c r="CR87" s="739"/>
      <c r="CS87" s="739"/>
      <c r="CT87" s="739"/>
      <c r="CU87" s="739"/>
      <c r="CV87" s="739"/>
      <c r="CW87" s="739"/>
      <c r="CX87" s="739"/>
      <c r="CY87" s="739"/>
      <c r="CZ87" s="739"/>
      <c r="DA87" s="739"/>
      <c r="DB87" s="739"/>
      <c r="DC87" s="739"/>
      <c r="DD87" s="739"/>
      <c r="DE87" s="739"/>
      <c r="DF87" s="739"/>
      <c r="DG87" s="739"/>
      <c r="DH87" s="739"/>
      <c r="DI87" s="739"/>
      <c r="DJ87" s="739"/>
      <c r="DK87" s="739"/>
      <c r="DL87" s="739"/>
      <c r="DM87" s="739"/>
      <c r="DN87" s="739"/>
      <c r="DO87" s="739"/>
      <c r="DP87" s="739"/>
      <c r="DQ87" s="739"/>
      <c r="DR87" s="739"/>
      <c r="DS87" s="739"/>
      <c r="DT87" s="739"/>
      <c r="DU87" s="739"/>
      <c r="DV87" s="739"/>
      <c r="DW87" s="739"/>
      <c r="DX87" s="739"/>
      <c r="DY87" s="739"/>
      <c r="DZ87" s="739"/>
      <c r="EA87" s="739"/>
      <c r="EB87" s="739"/>
      <c r="EC87" s="739"/>
      <c r="ED87" s="739"/>
      <c r="EE87" s="739"/>
      <c r="EF87" s="739"/>
      <c r="EG87" s="739"/>
      <c r="EH87" s="739"/>
      <c r="EI87" s="739"/>
      <c r="EJ87" s="739"/>
      <c r="EK87" s="739"/>
      <c r="EL87" s="739"/>
      <c r="EM87" s="739"/>
      <c r="EN87" s="739"/>
      <c r="EO87" s="739"/>
      <c r="EP87" s="739"/>
      <c r="EQ87" s="739"/>
      <c r="ER87" s="739"/>
      <c r="ES87" s="739"/>
      <c r="ET87" s="739"/>
      <c r="EU87" s="739"/>
      <c r="EV87" s="739"/>
      <c r="EW87" s="739"/>
      <c r="EX87" s="739"/>
      <c r="EY87" s="740" t="s">
        <v>1045</v>
      </c>
      <c r="EZ87" s="740"/>
      <c r="FA87" s="761"/>
      <c r="FB87" s="791"/>
      <c r="FC87" s="792" t="s">
        <v>1046</v>
      </c>
    </row>
    <row r="88" spans="1:16111" s="296" customFormat="1" ht="42.75">
      <c r="A88" s="781"/>
      <c r="B88" s="1617"/>
      <c r="C88" s="782" t="s">
        <v>843</v>
      </c>
      <c r="D88" s="785" t="s">
        <v>1047</v>
      </c>
      <c r="E88" s="751">
        <f t="shared" si="18"/>
        <v>0</v>
      </c>
      <c r="F88" s="751">
        <v>0</v>
      </c>
      <c r="G88" s="751">
        <v>0</v>
      </c>
      <c r="H88" s="751">
        <v>0</v>
      </c>
      <c r="I88" s="77">
        <f t="shared" si="10"/>
        <v>0</v>
      </c>
      <c r="J88" s="751">
        <f t="shared" si="11"/>
        <v>0</v>
      </c>
      <c r="K88" s="751">
        <f t="shared" si="12"/>
        <v>0</v>
      </c>
      <c r="L88" s="751">
        <f t="shared" si="13"/>
        <v>0</v>
      </c>
      <c r="M88" s="751">
        <f t="shared" si="14"/>
        <v>0</v>
      </c>
      <c r="N88" s="751">
        <f t="shared" si="15"/>
        <v>0</v>
      </c>
      <c r="O88" s="751">
        <f t="shared" si="16"/>
        <v>0</v>
      </c>
      <c r="P88" s="751">
        <f t="shared" si="17"/>
        <v>0</v>
      </c>
      <c r="Q88" s="751"/>
      <c r="R88" s="751"/>
      <c r="S88" s="786"/>
      <c r="T88" s="786"/>
      <c r="U88" s="786"/>
      <c r="V88" s="786"/>
      <c r="W88" s="786"/>
      <c r="X88" s="786"/>
      <c r="Y88" s="786"/>
      <c r="Z88" s="786"/>
      <c r="AA88" s="786"/>
      <c r="AB88" s="786"/>
      <c r="AC88" s="786"/>
      <c r="AD88" s="786"/>
      <c r="AE88" s="786"/>
      <c r="AF88" s="786"/>
      <c r="AG88" s="786"/>
      <c r="AH88" s="786"/>
      <c r="AI88" s="786"/>
      <c r="AJ88" s="786"/>
      <c r="AK88" s="786"/>
      <c r="AL88" s="786"/>
      <c r="AM88" s="786"/>
      <c r="AN88" s="786"/>
      <c r="AO88" s="786"/>
      <c r="AP88" s="786"/>
      <c r="AQ88" s="786"/>
      <c r="AR88" s="786"/>
      <c r="AS88" s="786"/>
      <c r="AT88" s="786"/>
      <c r="AU88" s="786"/>
      <c r="AV88" s="786"/>
      <c r="AW88" s="786"/>
      <c r="AX88" s="786"/>
      <c r="AY88" s="786"/>
      <c r="AZ88" s="786"/>
      <c r="BA88" s="786"/>
      <c r="BB88" s="786"/>
      <c r="BC88" s="786"/>
      <c r="BD88" s="786"/>
      <c r="BE88" s="786"/>
      <c r="BF88" s="786"/>
      <c r="BG88" s="786"/>
      <c r="BH88" s="786"/>
      <c r="BI88" s="786"/>
      <c r="BJ88" s="786"/>
      <c r="BK88" s="786"/>
      <c r="BL88" s="786"/>
      <c r="BM88" s="786"/>
      <c r="BN88" s="786"/>
      <c r="BO88" s="786"/>
      <c r="BP88" s="786"/>
      <c r="BQ88" s="786"/>
      <c r="BR88" s="786"/>
      <c r="BS88" s="786"/>
      <c r="BT88" s="786"/>
      <c r="BU88" s="786"/>
      <c r="BV88" s="786"/>
      <c r="BW88" s="786"/>
      <c r="BX88" s="786"/>
      <c r="BY88" s="786"/>
      <c r="BZ88" s="786"/>
      <c r="CA88" s="786"/>
      <c r="CB88" s="786"/>
      <c r="CC88" s="786"/>
      <c r="CD88" s="786"/>
      <c r="CE88" s="786"/>
      <c r="CF88" s="786"/>
      <c r="CG88" s="786"/>
      <c r="CH88" s="786"/>
      <c r="CI88" s="786"/>
      <c r="CJ88" s="786"/>
      <c r="CK88" s="786"/>
      <c r="CL88" s="786"/>
      <c r="CM88" s="786"/>
      <c r="CN88" s="786"/>
      <c r="CO88" s="786"/>
      <c r="CP88" s="786"/>
      <c r="CQ88" s="786"/>
      <c r="CR88" s="786"/>
      <c r="CS88" s="786"/>
      <c r="CT88" s="786"/>
      <c r="CU88" s="786"/>
      <c r="CV88" s="786"/>
      <c r="CW88" s="786"/>
      <c r="CX88" s="786"/>
      <c r="CY88" s="786"/>
      <c r="CZ88" s="786"/>
      <c r="DA88" s="786"/>
      <c r="DB88" s="786"/>
      <c r="DC88" s="786"/>
      <c r="DD88" s="786"/>
      <c r="DE88" s="786"/>
      <c r="DF88" s="786"/>
      <c r="DG88" s="786"/>
      <c r="DH88" s="786"/>
      <c r="DI88" s="786"/>
      <c r="DJ88" s="786"/>
      <c r="DK88" s="786"/>
      <c r="DL88" s="786"/>
      <c r="DM88" s="786"/>
      <c r="DN88" s="786"/>
      <c r="DO88" s="786"/>
      <c r="DP88" s="786"/>
      <c r="DQ88" s="786"/>
      <c r="DR88" s="786"/>
      <c r="DS88" s="786"/>
      <c r="DT88" s="786"/>
      <c r="DU88" s="786"/>
      <c r="DV88" s="786"/>
      <c r="DW88" s="786"/>
      <c r="DX88" s="786"/>
      <c r="DY88" s="786"/>
      <c r="DZ88" s="786"/>
      <c r="EA88" s="786"/>
      <c r="EB88" s="786"/>
      <c r="EC88" s="786"/>
      <c r="ED88" s="786"/>
      <c r="EE88" s="786"/>
      <c r="EF88" s="786"/>
      <c r="EG88" s="786"/>
      <c r="EH88" s="786"/>
      <c r="EI88" s="786"/>
      <c r="EJ88" s="786"/>
      <c r="EK88" s="786"/>
      <c r="EL88" s="786"/>
      <c r="EM88" s="786"/>
      <c r="EN88" s="786"/>
      <c r="EO88" s="786"/>
      <c r="EP88" s="786"/>
      <c r="EQ88" s="786"/>
      <c r="ER88" s="786"/>
      <c r="ES88" s="786"/>
      <c r="ET88" s="786"/>
      <c r="EU88" s="786"/>
      <c r="EV88" s="786"/>
      <c r="EW88" s="786"/>
      <c r="EX88" s="786"/>
      <c r="EY88" s="782" t="s">
        <v>1048</v>
      </c>
      <c r="EZ88" s="782"/>
      <c r="FA88" s="787"/>
      <c r="FB88" s="788"/>
      <c r="FC88" s="789" t="s">
        <v>847</v>
      </c>
      <c r="FD88" s="790"/>
      <c r="FE88" s="790"/>
      <c r="FF88" s="790"/>
      <c r="FG88" s="790"/>
      <c r="FH88" s="790"/>
      <c r="FI88" s="790"/>
      <c r="FJ88" s="790"/>
      <c r="FK88" s="790"/>
      <c r="FL88" s="790"/>
      <c r="FM88" s="790"/>
      <c r="FN88" s="790"/>
      <c r="FO88" s="790"/>
      <c r="FP88" s="790"/>
      <c r="FQ88" s="790"/>
      <c r="FR88" s="790"/>
      <c r="FS88" s="790"/>
      <c r="FT88" s="790"/>
      <c r="FU88" s="790"/>
      <c r="FV88" s="790"/>
      <c r="FW88" s="790"/>
      <c r="FX88" s="790"/>
      <c r="FY88" s="790"/>
      <c r="FZ88" s="790"/>
      <c r="GA88" s="790"/>
      <c r="GB88" s="790"/>
      <c r="GC88" s="790"/>
      <c r="GD88" s="790"/>
      <c r="GE88" s="790"/>
      <c r="GF88" s="790"/>
      <c r="GG88" s="790"/>
      <c r="GH88" s="790"/>
      <c r="GI88" s="790"/>
      <c r="GJ88" s="790"/>
      <c r="GK88" s="790"/>
      <c r="GL88" s="790"/>
      <c r="GM88" s="790"/>
      <c r="GN88" s="790"/>
      <c r="GO88" s="790"/>
      <c r="GP88" s="790"/>
      <c r="GQ88" s="790"/>
      <c r="GR88" s="790"/>
      <c r="GS88" s="790"/>
      <c r="GT88" s="790"/>
      <c r="GU88" s="790"/>
      <c r="GV88" s="790"/>
      <c r="GW88" s="790"/>
      <c r="GX88" s="790"/>
      <c r="GY88" s="790"/>
      <c r="GZ88" s="790"/>
      <c r="HA88" s="790"/>
      <c r="HB88" s="790"/>
      <c r="HC88" s="790"/>
      <c r="HD88" s="790"/>
      <c r="HE88" s="790"/>
      <c r="HF88" s="790"/>
      <c r="HG88" s="790"/>
      <c r="HH88" s="790"/>
      <c r="HI88" s="790"/>
      <c r="HJ88" s="790"/>
      <c r="HK88" s="790"/>
      <c r="HL88" s="790"/>
      <c r="HM88" s="790"/>
      <c r="HN88" s="790"/>
      <c r="HO88" s="790"/>
      <c r="HP88" s="790"/>
      <c r="HQ88" s="790"/>
      <c r="HR88" s="790"/>
      <c r="HS88" s="790"/>
      <c r="HT88" s="790"/>
      <c r="HU88" s="790"/>
      <c r="HV88" s="790"/>
      <c r="HW88" s="790"/>
      <c r="HX88" s="790"/>
      <c r="HY88" s="790"/>
      <c r="HZ88" s="790"/>
      <c r="IA88" s="790"/>
      <c r="IB88" s="790"/>
      <c r="IC88" s="790"/>
      <c r="ID88" s="790"/>
      <c r="IE88" s="790"/>
      <c r="IF88" s="790"/>
      <c r="IG88" s="790"/>
      <c r="IH88" s="790"/>
      <c r="II88" s="790"/>
      <c r="IJ88" s="790"/>
      <c r="IK88" s="790"/>
      <c r="IL88" s="790"/>
      <c r="IM88" s="790"/>
      <c r="IN88" s="790"/>
      <c r="IO88" s="790"/>
      <c r="IP88" s="790"/>
      <c r="IQ88" s="790"/>
      <c r="IR88" s="790"/>
      <c r="IS88" s="790"/>
      <c r="IT88" s="790"/>
      <c r="IU88" s="790"/>
      <c r="IV88" s="790"/>
      <c r="IW88" s="790"/>
      <c r="IX88" s="790"/>
      <c r="IY88" s="790"/>
      <c r="IZ88" s="790"/>
      <c r="JA88" s="790"/>
      <c r="JB88" s="790"/>
      <c r="JC88" s="790"/>
      <c r="JD88" s="790"/>
      <c r="JE88" s="790"/>
      <c r="JF88" s="790"/>
      <c r="JG88" s="790"/>
      <c r="JH88" s="790"/>
      <c r="JI88" s="790"/>
      <c r="JJ88" s="790"/>
      <c r="JK88" s="790"/>
      <c r="JL88" s="790"/>
      <c r="JM88" s="790"/>
      <c r="JN88" s="790"/>
      <c r="JO88" s="790"/>
      <c r="JP88" s="790"/>
      <c r="JQ88" s="790"/>
      <c r="JR88" s="790"/>
      <c r="JS88" s="790"/>
      <c r="JT88" s="790"/>
      <c r="JU88" s="790"/>
      <c r="JV88" s="790"/>
      <c r="JW88" s="790"/>
      <c r="JX88" s="790"/>
      <c r="JY88" s="790"/>
      <c r="JZ88" s="790"/>
      <c r="KA88" s="790"/>
      <c r="KB88" s="790"/>
      <c r="KC88" s="790"/>
      <c r="KD88" s="790"/>
      <c r="KE88" s="790"/>
      <c r="KF88" s="790"/>
      <c r="KG88" s="790"/>
      <c r="KH88" s="790"/>
      <c r="KI88" s="790"/>
      <c r="KJ88" s="790"/>
      <c r="KK88" s="790"/>
      <c r="KL88" s="790"/>
      <c r="KM88" s="790"/>
      <c r="KN88" s="790"/>
      <c r="KO88" s="790"/>
      <c r="KP88" s="790"/>
      <c r="KQ88" s="790"/>
      <c r="KR88" s="790"/>
      <c r="KS88" s="790"/>
      <c r="KT88" s="790"/>
      <c r="KU88" s="790"/>
      <c r="KV88" s="790"/>
      <c r="KW88" s="790"/>
      <c r="KX88" s="790"/>
      <c r="KY88" s="790"/>
      <c r="KZ88" s="790"/>
      <c r="LA88" s="790"/>
      <c r="LB88" s="790"/>
      <c r="LC88" s="790"/>
      <c r="LD88" s="790"/>
      <c r="LE88" s="790"/>
      <c r="LF88" s="790"/>
      <c r="LG88" s="790"/>
      <c r="LH88" s="790"/>
      <c r="LI88" s="790"/>
      <c r="LJ88" s="790"/>
      <c r="LK88" s="790"/>
      <c r="LL88" s="790"/>
      <c r="LM88" s="790"/>
      <c r="LN88" s="790"/>
      <c r="LO88" s="790"/>
      <c r="LP88" s="790"/>
      <c r="LQ88" s="790"/>
      <c r="LR88" s="790"/>
      <c r="LS88" s="790"/>
      <c r="LT88" s="790"/>
      <c r="LU88" s="790"/>
      <c r="LV88" s="790"/>
      <c r="LW88" s="790"/>
      <c r="LX88" s="790"/>
      <c r="LY88" s="790"/>
      <c r="LZ88" s="790"/>
      <c r="MA88" s="790"/>
      <c r="MB88" s="790"/>
      <c r="MC88" s="790"/>
      <c r="MD88" s="790"/>
      <c r="ME88" s="790"/>
      <c r="MF88" s="790"/>
      <c r="MG88" s="790"/>
      <c r="MH88" s="790"/>
      <c r="MI88" s="790"/>
      <c r="MJ88" s="790"/>
      <c r="MK88" s="790"/>
      <c r="ML88" s="790"/>
      <c r="MM88" s="790"/>
      <c r="MN88" s="790"/>
      <c r="MO88" s="790"/>
      <c r="MP88" s="790"/>
      <c r="MQ88" s="790"/>
      <c r="MR88" s="790"/>
      <c r="MS88" s="790"/>
      <c r="MT88" s="790"/>
      <c r="MU88" s="790"/>
      <c r="MV88" s="790"/>
      <c r="MW88" s="790"/>
      <c r="MX88" s="790"/>
      <c r="MY88" s="790"/>
      <c r="MZ88" s="790"/>
      <c r="NA88" s="790"/>
      <c r="NB88" s="790"/>
      <c r="NC88" s="790"/>
      <c r="ND88" s="790"/>
      <c r="NE88" s="790"/>
      <c r="NF88" s="790"/>
      <c r="NG88" s="790"/>
      <c r="NH88" s="790"/>
      <c r="NI88" s="790"/>
      <c r="NJ88" s="790"/>
      <c r="NK88" s="790"/>
      <c r="NL88" s="790"/>
      <c r="NM88" s="790"/>
      <c r="NN88" s="790"/>
      <c r="NO88" s="790"/>
      <c r="NP88" s="790"/>
      <c r="NQ88" s="790"/>
      <c r="NR88" s="790"/>
      <c r="NS88" s="790"/>
      <c r="NT88" s="790"/>
      <c r="NU88" s="790"/>
      <c r="NV88" s="790"/>
      <c r="NW88" s="790"/>
      <c r="NX88" s="790"/>
      <c r="NY88" s="790"/>
      <c r="NZ88" s="790"/>
      <c r="OA88" s="790"/>
      <c r="OB88" s="790"/>
      <c r="OC88" s="790"/>
      <c r="OD88" s="790"/>
      <c r="OE88" s="790"/>
      <c r="OF88" s="790"/>
      <c r="OG88" s="790"/>
      <c r="OH88" s="790"/>
      <c r="OI88" s="790"/>
      <c r="OJ88" s="790"/>
      <c r="OK88" s="790"/>
      <c r="OL88" s="790"/>
      <c r="OM88" s="790"/>
      <c r="ON88" s="790"/>
      <c r="OO88" s="790"/>
      <c r="OP88" s="790"/>
      <c r="OQ88" s="790"/>
      <c r="OR88" s="790"/>
      <c r="OS88" s="790"/>
      <c r="OT88" s="790"/>
      <c r="OU88" s="790"/>
      <c r="OV88" s="790"/>
      <c r="OW88" s="790"/>
      <c r="OX88" s="790"/>
      <c r="OY88" s="790"/>
      <c r="OZ88" s="790"/>
      <c r="PA88" s="790"/>
      <c r="PB88" s="790"/>
      <c r="PC88" s="790"/>
      <c r="PD88" s="790"/>
      <c r="PE88" s="790"/>
      <c r="PF88" s="790"/>
      <c r="PG88" s="790"/>
      <c r="PH88" s="790"/>
      <c r="PI88" s="790"/>
      <c r="PJ88" s="790"/>
      <c r="PK88" s="790"/>
      <c r="PL88" s="790"/>
      <c r="PM88" s="790"/>
      <c r="PN88" s="790"/>
      <c r="PO88" s="790"/>
      <c r="PP88" s="790"/>
      <c r="PQ88" s="790"/>
      <c r="PR88" s="790"/>
      <c r="PS88" s="790"/>
      <c r="PT88" s="790"/>
      <c r="PU88" s="790"/>
      <c r="PV88" s="790"/>
      <c r="PW88" s="790"/>
      <c r="PX88" s="790"/>
      <c r="PY88" s="790"/>
      <c r="PZ88" s="790"/>
      <c r="QA88" s="790"/>
      <c r="QB88" s="790"/>
      <c r="QC88" s="790"/>
      <c r="QD88" s="790"/>
      <c r="QE88" s="790"/>
      <c r="QF88" s="790"/>
      <c r="QG88" s="790"/>
      <c r="QH88" s="790"/>
      <c r="QI88" s="790"/>
      <c r="QJ88" s="790"/>
      <c r="QK88" s="790"/>
      <c r="QL88" s="790"/>
      <c r="QM88" s="790"/>
      <c r="QN88" s="790"/>
      <c r="QO88" s="790"/>
      <c r="QP88" s="790"/>
      <c r="QQ88" s="790"/>
      <c r="QR88" s="790"/>
      <c r="QS88" s="790"/>
      <c r="QT88" s="790"/>
      <c r="QU88" s="790"/>
      <c r="QV88" s="790"/>
      <c r="QW88" s="790"/>
      <c r="QX88" s="790"/>
      <c r="QY88" s="790"/>
      <c r="QZ88" s="790"/>
      <c r="RA88" s="790"/>
      <c r="RB88" s="790"/>
      <c r="RC88" s="790"/>
      <c r="RD88" s="790"/>
      <c r="RE88" s="790"/>
      <c r="RF88" s="790"/>
      <c r="RG88" s="790"/>
      <c r="RH88" s="790"/>
      <c r="RI88" s="790"/>
      <c r="RJ88" s="790"/>
      <c r="RK88" s="790"/>
      <c r="RL88" s="790"/>
      <c r="RM88" s="790"/>
      <c r="RN88" s="790"/>
      <c r="RO88" s="790"/>
      <c r="RP88" s="790"/>
      <c r="RQ88" s="790"/>
      <c r="RR88" s="790"/>
      <c r="RS88" s="790"/>
      <c r="RT88" s="790"/>
      <c r="RU88" s="790"/>
      <c r="RV88" s="790"/>
      <c r="RW88" s="790"/>
      <c r="RX88" s="790"/>
      <c r="RY88" s="790"/>
      <c r="RZ88" s="790"/>
      <c r="SA88" s="790"/>
      <c r="SB88" s="790"/>
      <c r="SC88" s="790"/>
      <c r="SD88" s="790"/>
      <c r="SE88" s="790"/>
      <c r="SF88" s="790"/>
      <c r="SG88" s="790"/>
      <c r="SH88" s="790"/>
      <c r="SI88" s="790"/>
      <c r="SJ88" s="790"/>
      <c r="SK88" s="790"/>
      <c r="SL88" s="790"/>
      <c r="SM88" s="790"/>
      <c r="SN88" s="790"/>
      <c r="SO88" s="790"/>
      <c r="SP88" s="790"/>
      <c r="SQ88" s="790"/>
      <c r="SR88" s="790"/>
      <c r="SS88" s="790"/>
      <c r="ST88" s="790"/>
      <c r="SU88" s="790"/>
      <c r="SV88" s="790"/>
      <c r="SW88" s="790"/>
      <c r="SX88" s="790"/>
      <c r="SY88" s="790"/>
      <c r="SZ88" s="790"/>
      <c r="TA88" s="790"/>
      <c r="TB88" s="790"/>
      <c r="TC88" s="790"/>
      <c r="TD88" s="790"/>
      <c r="TE88" s="790"/>
      <c r="TF88" s="790"/>
      <c r="TG88" s="790"/>
      <c r="TH88" s="790"/>
      <c r="TI88" s="790"/>
      <c r="TJ88" s="790"/>
      <c r="TK88" s="790"/>
      <c r="TL88" s="790"/>
      <c r="TM88" s="790"/>
      <c r="TN88" s="790"/>
      <c r="TO88" s="790"/>
      <c r="TP88" s="790"/>
      <c r="TQ88" s="790"/>
      <c r="TR88" s="790"/>
      <c r="TS88" s="790"/>
      <c r="TT88" s="790"/>
      <c r="TU88" s="790"/>
      <c r="TV88" s="790"/>
      <c r="TW88" s="790"/>
      <c r="TX88" s="790"/>
      <c r="TY88" s="790"/>
      <c r="TZ88" s="790"/>
      <c r="UA88" s="790"/>
      <c r="UB88" s="790"/>
      <c r="UC88" s="790"/>
      <c r="UD88" s="790"/>
      <c r="UE88" s="790"/>
      <c r="UF88" s="790"/>
      <c r="UG88" s="790"/>
      <c r="UH88" s="790"/>
      <c r="UI88" s="790"/>
      <c r="UJ88" s="790"/>
      <c r="UK88" s="790"/>
      <c r="UL88" s="790"/>
      <c r="UM88" s="790"/>
      <c r="UN88" s="790"/>
      <c r="UO88" s="790"/>
      <c r="UP88" s="790"/>
      <c r="UQ88" s="790"/>
      <c r="UR88" s="790"/>
      <c r="US88" s="790"/>
      <c r="UT88" s="790"/>
      <c r="UU88" s="790"/>
      <c r="UV88" s="790"/>
      <c r="UW88" s="790"/>
      <c r="UX88" s="790"/>
      <c r="UY88" s="790"/>
      <c r="UZ88" s="790"/>
      <c r="VA88" s="790"/>
      <c r="VB88" s="790"/>
      <c r="VC88" s="790"/>
      <c r="VD88" s="790"/>
      <c r="VE88" s="790"/>
      <c r="VF88" s="790"/>
      <c r="VG88" s="790"/>
      <c r="VH88" s="790"/>
      <c r="VI88" s="790"/>
      <c r="VJ88" s="790"/>
      <c r="VK88" s="790"/>
      <c r="VL88" s="790"/>
      <c r="VM88" s="790"/>
      <c r="VN88" s="790"/>
      <c r="VO88" s="790"/>
      <c r="VP88" s="790"/>
      <c r="VQ88" s="790"/>
      <c r="VR88" s="790"/>
      <c r="VS88" s="790"/>
      <c r="VT88" s="790"/>
      <c r="VU88" s="790"/>
      <c r="VV88" s="790"/>
      <c r="VW88" s="790"/>
      <c r="VX88" s="790"/>
      <c r="VY88" s="790"/>
      <c r="VZ88" s="790"/>
      <c r="WA88" s="790"/>
      <c r="WB88" s="790"/>
      <c r="WC88" s="790"/>
      <c r="WD88" s="790"/>
      <c r="WE88" s="790"/>
      <c r="WF88" s="790"/>
      <c r="WG88" s="790"/>
      <c r="WH88" s="790"/>
      <c r="WI88" s="790"/>
      <c r="WJ88" s="790"/>
      <c r="WK88" s="790"/>
      <c r="WL88" s="790"/>
      <c r="WM88" s="790"/>
      <c r="WN88" s="790"/>
      <c r="WO88" s="790"/>
      <c r="WP88" s="790"/>
      <c r="WQ88" s="790"/>
      <c r="WR88" s="790"/>
      <c r="WS88" s="790"/>
      <c r="WT88" s="790"/>
      <c r="WU88" s="790"/>
      <c r="WV88" s="790"/>
      <c r="WW88" s="790"/>
      <c r="WX88" s="790"/>
      <c r="WY88" s="790"/>
      <c r="WZ88" s="790"/>
      <c r="XA88" s="790"/>
      <c r="XB88" s="790"/>
      <c r="XC88" s="790"/>
      <c r="XD88" s="790"/>
      <c r="XE88" s="790"/>
      <c r="XF88" s="790"/>
      <c r="XG88" s="790"/>
      <c r="XH88" s="790"/>
      <c r="XI88" s="790"/>
      <c r="XJ88" s="790"/>
      <c r="XK88" s="790"/>
      <c r="XL88" s="790"/>
      <c r="XM88" s="790"/>
      <c r="XN88" s="790"/>
      <c r="XO88" s="790"/>
      <c r="XP88" s="790"/>
      <c r="XQ88" s="790"/>
      <c r="XR88" s="790"/>
      <c r="XS88" s="790"/>
      <c r="XT88" s="790"/>
      <c r="XU88" s="790"/>
      <c r="XV88" s="790"/>
      <c r="XW88" s="790"/>
      <c r="XX88" s="790"/>
      <c r="XY88" s="790"/>
      <c r="XZ88" s="790"/>
      <c r="YA88" s="790"/>
      <c r="YB88" s="790"/>
      <c r="YC88" s="790"/>
      <c r="YD88" s="790"/>
      <c r="YE88" s="790"/>
      <c r="YF88" s="790"/>
      <c r="YG88" s="790"/>
      <c r="YH88" s="790"/>
      <c r="YI88" s="790"/>
      <c r="YJ88" s="790"/>
      <c r="YK88" s="790"/>
      <c r="YL88" s="790"/>
      <c r="YM88" s="790"/>
      <c r="YN88" s="790"/>
      <c r="YO88" s="790"/>
      <c r="YP88" s="790"/>
      <c r="YQ88" s="790"/>
      <c r="YR88" s="790"/>
      <c r="YS88" s="790"/>
      <c r="YT88" s="790"/>
      <c r="YU88" s="790"/>
      <c r="YV88" s="790"/>
      <c r="YW88" s="790"/>
      <c r="YX88" s="790"/>
      <c r="YY88" s="790"/>
      <c r="YZ88" s="790"/>
      <c r="ZA88" s="790"/>
      <c r="ZB88" s="790"/>
      <c r="ZC88" s="790"/>
      <c r="ZD88" s="790"/>
      <c r="ZE88" s="790"/>
      <c r="ZF88" s="790"/>
      <c r="ZG88" s="790"/>
      <c r="ZH88" s="790"/>
      <c r="ZI88" s="790"/>
      <c r="ZJ88" s="790"/>
      <c r="ZK88" s="790"/>
      <c r="ZL88" s="790"/>
      <c r="ZM88" s="790"/>
      <c r="ZN88" s="790"/>
      <c r="ZO88" s="790"/>
      <c r="ZP88" s="790"/>
      <c r="ZQ88" s="790"/>
      <c r="ZR88" s="790"/>
      <c r="ZS88" s="790"/>
      <c r="ZT88" s="790"/>
      <c r="ZU88" s="790"/>
      <c r="ZV88" s="790"/>
      <c r="ZW88" s="790"/>
      <c r="ZX88" s="790"/>
      <c r="ZY88" s="790"/>
      <c r="ZZ88" s="790"/>
      <c r="AAA88" s="790"/>
      <c r="AAB88" s="790"/>
      <c r="AAC88" s="790"/>
      <c r="AAD88" s="790"/>
      <c r="AAE88" s="790"/>
      <c r="AAF88" s="790"/>
      <c r="AAG88" s="790"/>
      <c r="AAH88" s="790"/>
      <c r="AAI88" s="790"/>
      <c r="AAJ88" s="790"/>
      <c r="AAK88" s="790"/>
      <c r="AAL88" s="790"/>
      <c r="AAM88" s="790"/>
      <c r="AAN88" s="790"/>
      <c r="AAO88" s="790"/>
      <c r="AAP88" s="790"/>
      <c r="AAQ88" s="790"/>
      <c r="AAR88" s="790"/>
      <c r="AAS88" s="790"/>
      <c r="AAT88" s="790"/>
      <c r="AAU88" s="790"/>
      <c r="AAV88" s="790"/>
      <c r="AAW88" s="790"/>
      <c r="AAX88" s="790"/>
      <c r="AAY88" s="790"/>
      <c r="AAZ88" s="790"/>
      <c r="ABA88" s="790"/>
      <c r="ABB88" s="790"/>
      <c r="ABC88" s="790"/>
      <c r="ABD88" s="790"/>
      <c r="ABE88" s="790"/>
      <c r="ABF88" s="790"/>
      <c r="ABG88" s="790"/>
      <c r="ABH88" s="790"/>
      <c r="ABI88" s="790"/>
      <c r="ABJ88" s="790"/>
      <c r="ABK88" s="790"/>
      <c r="ABL88" s="790"/>
      <c r="ABM88" s="790"/>
      <c r="ABN88" s="790"/>
      <c r="ABO88" s="790"/>
      <c r="ABP88" s="790"/>
      <c r="ABQ88" s="790"/>
      <c r="ABR88" s="790"/>
      <c r="ABS88" s="790"/>
      <c r="ABT88" s="790"/>
      <c r="ABU88" s="790"/>
      <c r="ABV88" s="790"/>
      <c r="ABW88" s="790"/>
      <c r="ABX88" s="790"/>
      <c r="ABY88" s="790"/>
      <c r="ABZ88" s="790"/>
      <c r="ACA88" s="790"/>
      <c r="ACB88" s="790"/>
      <c r="ACC88" s="790"/>
      <c r="ACD88" s="790"/>
      <c r="ACE88" s="790"/>
      <c r="ACF88" s="790"/>
      <c r="ACG88" s="790"/>
      <c r="ACH88" s="790"/>
      <c r="ACI88" s="790"/>
      <c r="ACJ88" s="790"/>
      <c r="ACK88" s="790"/>
      <c r="ACL88" s="790"/>
      <c r="ACM88" s="790"/>
      <c r="ACN88" s="790"/>
      <c r="ACO88" s="790"/>
      <c r="ACP88" s="790"/>
      <c r="ACQ88" s="790"/>
      <c r="ACR88" s="790"/>
      <c r="ACS88" s="790"/>
      <c r="ACT88" s="790"/>
      <c r="ACU88" s="790"/>
      <c r="ACV88" s="790"/>
      <c r="ACW88" s="790"/>
      <c r="ACX88" s="790"/>
      <c r="ACY88" s="790"/>
      <c r="ACZ88" s="790"/>
      <c r="ADA88" s="790"/>
      <c r="ADB88" s="790"/>
      <c r="ADC88" s="790"/>
      <c r="ADD88" s="790"/>
      <c r="ADE88" s="790"/>
      <c r="ADF88" s="790"/>
      <c r="ADG88" s="790"/>
      <c r="ADH88" s="790"/>
      <c r="ADI88" s="790"/>
      <c r="ADJ88" s="790"/>
      <c r="ADK88" s="790"/>
      <c r="ADL88" s="790"/>
      <c r="ADM88" s="790"/>
      <c r="ADN88" s="790"/>
      <c r="ADO88" s="790"/>
      <c r="ADP88" s="790"/>
      <c r="ADQ88" s="790"/>
      <c r="ADR88" s="790"/>
      <c r="ADS88" s="790"/>
      <c r="ADT88" s="790"/>
      <c r="ADU88" s="790"/>
      <c r="ADV88" s="790"/>
      <c r="ADW88" s="790"/>
      <c r="ADX88" s="790"/>
      <c r="ADY88" s="790"/>
      <c r="ADZ88" s="790"/>
      <c r="AEA88" s="790"/>
      <c r="AEB88" s="790"/>
      <c r="AEC88" s="790"/>
      <c r="AED88" s="790"/>
      <c r="AEE88" s="790"/>
      <c r="AEF88" s="790"/>
      <c r="AEG88" s="790"/>
      <c r="AEH88" s="790"/>
      <c r="AEI88" s="790"/>
      <c r="AEJ88" s="790"/>
      <c r="AEK88" s="790"/>
      <c r="AEL88" s="790"/>
      <c r="AEM88" s="790"/>
      <c r="AEN88" s="790"/>
      <c r="AEO88" s="790"/>
      <c r="AEP88" s="790"/>
      <c r="AEQ88" s="790"/>
      <c r="AER88" s="790"/>
      <c r="AES88" s="790"/>
      <c r="AET88" s="790"/>
      <c r="AEU88" s="790"/>
      <c r="AEV88" s="790"/>
      <c r="AEW88" s="790"/>
      <c r="AEX88" s="790"/>
      <c r="AEY88" s="790"/>
      <c r="AEZ88" s="790"/>
      <c r="AFA88" s="790"/>
      <c r="AFB88" s="790"/>
      <c r="AFC88" s="790"/>
      <c r="AFD88" s="790"/>
      <c r="AFE88" s="790"/>
      <c r="AFF88" s="790"/>
      <c r="AFG88" s="790"/>
      <c r="AFH88" s="790"/>
      <c r="AFI88" s="790"/>
      <c r="AFJ88" s="790"/>
      <c r="AFK88" s="790"/>
      <c r="AFL88" s="790"/>
      <c r="AFM88" s="790"/>
      <c r="AFN88" s="790"/>
      <c r="AFO88" s="790"/>
      <c r="AFP88" s="790"/>
      <c r="AFQ88" s="790"/>
      <c r="AFR88" s="790"/>
      <c r="AFS88" s="790"/>
      <c r="AFT88" s="790"/>
      <c r="AFU88" s="790"/>
      <c r="AFV88" s="790"/>
      <c r="AFW88" s="790"/>
      <c r="AFX88" s="790"/>
      <c r="AFY88" s="790"/>
      <c r="AFZ88" s="790"/>
      <c r="AGA88" s="790"/>
      <c r="AGB88" s="790"/>
      <c r="AGC88" s="790"/>
      <c r="AGD88" s="790"/>
      <c r="AGE88" s="790"/>
      <c r="AGF88" s="790"/>
      <c r="AGG88" s="790"/>
      <c r="AGH88" s="790"/>
      <c r="AGI88" s="790"/>
      <c r="AGJ88" s="790"/>
      <c r="AGK88" s="790"/>
      <c r="AGL88" s="790"/>
      <c r="AGM88" s="790"/>
      <c r="AGN88" s="790"/>
      <c r="AGO88" s="790"/>
      <c r="AGP88" s="790"/>
      <c r="AGQ88" s="790"/>
      <c r="AGR88" s="790"/>
      <c r="AGS88" s="790"/>
      <c r="AGT88" s="790"/>
      <c r="AGU88" s="790"/>
      <c r="AGV88" s="790"/>
      <c r="AGW88" s="790"/>
      <c r="AGX88" s="790"/>
      <c r="AGY88" s="790"/>
      <c r="AGZ88" s="790"/>
      <c r="AHA88" s="790"/>
      <c r="AHB88" s="790"/>
      <c r="AHC88" s="790"/>
      <c r="AHD88" s="790"/>
      <c r="AHE88" s="790"/>
      <c r="AHF88" s="790"/>
      <c r="AHG88" s="790"/>
      <c r="AHH88" s="790"/>
      <c r="AHI88" s="790"/>
      <c r="AHJ88" s="790"/>
      <c r="AHK88" s="790"/>
      <c r="AHL88" s="790"/>
      <c r="AHM88" s="790"/>
      <c r="AHN88" s="790"/>
      <c r="AHO88" s="790"/>
      <c r="AHP88" s="790"/>
      <c r="AHQ88" s="790"/>
      <c r="AHR88" s="790"/>
      <c r="AHS88" s="790"/>
      <c r="AHT88" s="790"/>
      <c r="AHU88" s="790"/>
      <c r="AHV88" s="790"/>
      <c r="AHW88" s="790"/>
      <c r="AHX88" s="790"/>
      <c r="AHY88" s="790"/>
      <c r="AHZ88" s="790"/>
      <c r="AIA88" s="790"/>
      <c r="AIB88" s="790"/>
      <c r="AIC88" s="790"/>
      <c r="AID88" s="790"/>
      <c r="AIE88" s="790"/>
      <c r="AIF88" s="790"/>
      <c r="AIG88" s="790"/>
      <c r="AIH88" s="790"/>
      <c r="AII88" s="790"/>
      <c r="AIJ88" s="790"/>
      <c r="AIK88" s="790"/>
      <c r="AIL88" s="790"/>
      <c r="AIM88" s="790"/>
      <c r="AIN88" s="790"/>
      <c r="AIO88" s="790"/>
      <c r="AIP88" s="790"/>
      <c r="AIQ88" s="790"/>
      <c r="AIR88" s="790"/>
      <c r="AIS88" s="790"/>
      <c r="AIT88" s="790"/>
      <c r="AIU88" s="790"/>
      <c r="AIV88" s="790"/>
      <c r="AIW88" s="790"/>
      <c r="AIX88" s="790"/>
      <c r="AIY88" s="790"/>
      <c r="AIZ88" s="790"/>
      <c r="AJA88" s="790"/>
      <c r="AJB88" s="790"/>
      <c r="AJC88" s="790"/>
      <c r="AJD88" s="790"/>
      <c r="AJE88" s="790"/>
      <c r="AJF88" s="790"/>
      <c r="AJG88" s="790"/>
      <c r="AJH88" s="790"/>
      <c r="AJI88" s="790"/>
      <c r="AJJ88" s="790"/>
      <c r="AJK88" s="790"/>
      <c r="AJL88" s="790"/>
      <c r="AJM88" s="790"/>
      <c r="AJN88" s="790"/>
      <c r="AJO88" s="790"/>
      <c r="AJP88" s="790"/>
      <c r="AJQ88" s="790"/>
      <c r="AJR88" s="790"/>
      <c r="AJS88" s="790"/>
      <c r="AJT88" s="790"/>
      <c r="AJU88" s="790"/>
      <c r="AJV88" s="790"/>
      <c r="AJW88" s="790"/>
      <c r="AJX88" s="790"/>
      <c r="AJY88" s="790"/>
      <c r="AJZ88" s="790"/>
      <c r="AKA88" s="790"/>
      <c r="AKB88" s="790"/>
      <c r="AKC88" s="790"/>
      <c r="AKD88" s="790"/>
      <c r="AKE88" s="790"/>
      <c r="AKF88" s="790"/>
      <c r="AKG88" s="790"/>
      <c r="AKH88" s="790"/>
      <c r="AKI88" s="790"/>
      <c r="AKJ88" s="790"/>
      <c r="AKK88" s="790"/>
      <c r="AKL88" s="790"/>
      <c r="AKM88" s="790"/>
      <c r="AKN88" s="790"/>
      <c r="AKO88" s="790"/>
      <c r="AKP88" s="790"/>
      <c r="AKQ88" s="790"/>
      <c r="AKR88" s="790"/>
      <c r="AKS88" s="790"/>
      <c r="AKT88" s="790"/>
      <c r="AKU88" s="790"/>
      <c r="AKV88" s="790"/>
      <c r="AKW88" s="790"/>
      <c r="AKX88" s="790"/>
      <c r="AKY88" s="790"/>
      <c r="AKZ88" s="790"/>
      <c r="ALA88" s="790"/>
      <c r="ALB88" s="790"/>
      <c r="ALC88" s="790"/>
      <c r="ALD88" s="790"/>
      <c r="ALE88" s="790"/>
      <c r="ALF88" s="790"/>
      <c r="ALG88" s="790"/>
      <c r="ALH88" s="790"/>
      <c r="ALI88" s="790"/>
      <c r="ALJ88" s="790"/>
      <c r="ALK88" s="790"/>
      <c r="ALL88" s="790"/>
      <c r="ALM88" s="790"/>
      <c r="ALN88" s="790"/>
      <c r="ALO88" s="790"/>
      <c r="ALP88" s="790"/>
      <c r="ALQ88" s="790"/>
      <c r="ALR88" s="790"/>
      <c r="ALS88" s="790"/>
      <c r="ALT88" s="790"/>
      <c r="ALU88" s="790"/>
      <c r="ALV88" s="790"/>
      <c r="ALW88" s="790"/>
      <c r="ALX88" s="790"/>
      <c r="ALY88" s="790"/>
      <c r="ALZ88" s="790"/>
      <c r="AMA88" s="790"/>
      <c r="AMB88" s="790"/>
      <c r="AMC88" s="790"/>
      <c r="AMD88" s="790"/>
      <c r="AME88" s="790"/>
      <c r="AMF88" s="790"/>
      <c r="AMG88" s="790"/>
      <c r="AMH88" s="790"/>
      <c r="AMI88" s="790"/>
      <c r="AMJ88" s="790"/>
      <c r="AMK88" s="790"/>
      <c r="AML88" s="790"/>
      <c r="AMM88" s="790"/>
      <c r="AMN88" s="790"/>
      <c r="AMO88" s="790"/>
      <c r="AMP88" s="790"/>
      <c r="AMQ88" s="790"/>
      <c r="AMR88" s="790"/>
      <c r="AMS88" s="790"/>
      <c r="AMT88" s="790"/>
      <c r="AMU88" s="790"/>
      <c r="AMV88" s="790"/>
      <c r="AMW88" s="790"/>
      <c r="AMX88" s="790"/>
      <c r="AMY88" s="790"/>
      <c r="AMZ88" s="790"/>
      <c r="ANA88" s="790"/>
      <c r="ANB88" s="790"/>
      <c r="ANC88" s="790"/>
      <c r="AND88" s="790"/>
      <c r="ANE88" s="790"/>
      <c r="ANF88" s="790"/>
      <c r="ANG88" s="790"/>
      <c r="ANH88" s="790"/>
      <c r="ANI88" s="790"/>
      <c r="ANJ88" s="790"/>
      <c r="ANK88" s="790"/>
      <c r="ANL88" s="790"/>
      <c r="ANM88" s="790"/>
      <c r="ANN88" s="790"/>
      <c r="ANO88" s="790"/>
      <c r="ANP88" s="790"/>
      <c r="ANQ88" s="790"/>
      <c r="ANR88" s="790"/>
      <c r="ANS88" s="790"/>
      <c r="ANT88" s="790"/>
      <c r="ANU88" s="790"/>
      <c r="ANV88" s="790"/>
      <c r="ANW88" s="790"/>
      <c r="ANX88" s="790"/>
      <c r="ANY88" s="790"/>
      <c r="ANZ88" s="790"/>
      <c r="AOA88" s="790"/>
      <c r="AOB88" s="790"/>
      <c r="AOC88" s="790"/>
      <c r="AOD88" s="790"/>
      <c r="AOE88" s="790"/>
      <c r="AOF88" s="790"/>
      <c r="AOG88" s="790"/>
      <c r="AOH88" s="790"/>
      <c r="AOI88" s="790"/>
      <c r="AOJ88" s="790"/>
      <c r="AOK88" s="790"/>
      <c r="AOL88" s="790"/>
      <c r="AOM88" s="790"/>
      <c r="AON88" s="790"/>
      <c r="AOO88" s="790"/>
      <c r="AOP88" s="790"/>
      <c r="AOQ88" s="790"/>
      <c r="AOR88" s="790"/>
      <c r="AOS88" s="790"/>
      <c r="AOT88" s="790"/>
      <c r="AOU88" s="790"/>
      <c r="AOV88" s="790"/>
      <c r="AOW88" s="790"/>
      <c r="AOX88" s="790"/>
      <c r="AOY88" s="790"/>
      <c r="AOZ88" s="790"/>
      <c r="APA88" s="790"/>
      <c r="APB88" s="790"/>
      <c r="APC88" s="790"/>
      <c r="APD88" s="790"/>
      <c r="APE88" s="790"/>
      <c r="APF88" s="790"/>
      <c r="APG88" s="790"/>
      <c r="APH88" s="790"/>
      <c r="API88" s="790"/>
      <c r="APJ88" s="790"/>
      <c r="APK88" s="790"/>
      <c r="APL88" s="790"/>
      <c r="APM88" s="790"/>
      <c r="APN88" s="790"/>
      <c r="APO88" s="790"/>
      <c r="APP88" s="790"/>
      <c r="APQ88" s="790"/>
      <c r="APR88" s="790"/>
      <c r="APS88" s="790"/>
      <c r="APT88" s="790"/>
      <c r="APU88" s="790"/>
      <c r="APV88" s="790"/>
      <c r="APW88" s="790"/>
      <c r="APX88" s="790"/>
      <c r="APY88" s="790"/>
      <c r="APZ88" s="790"/>
      <c r="AQA88" s="790"/>
      <c r="AQB88" s="790"/>
      <c r="AQC88" s="790"/>
      <c r="AQD88" s="790"/>
      <c r="AQE88" s="790"/>
      <c r="AQF88" s="790"/>
      <c r="AQG88" s="790"/>
      <c r="AQH88" s="790"/>
      <c r="AQI88" s="790"/>
      <c r="AQJ88" s="790"/>
      <c r="AQK88" s="790"/>
      <c r="AQL88" s="790"/>
      <c r="AQM88" s="790"/>
      <c r="AQN88" s="790"/>
      <c r="AQO88" s="790"/>
      <c r="AQP88" s="790"/>
      <c r="AQQ88" s="790"/>
      <c r="AQR88" s="790"/>
      <c r="AQS88" s="790"/>
      <c r="AQT88" s="790"/>
      <c r="AQU88" s="790"/>
      <c r="AQV88" s="790"/>
      <c r="AQW88" s="790"/>
      <c r="AQX88" s="790"/>
      <c r="AQY88" s="790"/>
      <c r="AQZ88" s="790"/>
      <c r="ARA88" s="790"/>
      <c r="ARB88" s="790"/>
      <c r="ARC88" s="790"/>
      <c r="ARD88" s="790"/>
      <c r="ARE88" s="790"/>
      <c r="ARF88" s="790"/>
      <c r="ARG88" s="790"/>
      <c r="ARH88" s="790"/>
      <c r="ARI88" s="790"/>
      <c r="ARJ88" s="790"/>
      <c r="ARK88" s="790"/>
      <c r="ARL88" s="790"/>
      <c r="ARM88" s="790"/>
      <c r="ARN88" s="790"/>
      <c r="ARO88" s="790"/>
      <c r="ARP88" s="790"/>
      <c r="ARQ88" s="790"/>
      <c r="ARR88" s="790"/>
      <c r="ARS88" s="790"/>
      <c r="ART88" s="790"/>
      <c r="ARU88" s="790"/>
      <c r="ARV88" s="790"/>
      <c r="ARW88" s="790"/>
      <c r="ARX88" s="790"/>
      <c r="ARY88" s="790"/>
      <c r="ARZ88" s="790"/>
      <c r="ASA88" s="790"/>
      <c r="ASB88" s="790"/>
      <c r="ASC88" s="790"/>
      <c r="ASD88" s="790"/>
      <c r="ASE88" s="790"/>
      <c r="ASF88" s="790"/>
      <c r="ASG88" s="790"/>
      <c r="ASH88" s="790"/>
      <c r="ASI88" s="790"/>
      <c r="ASJ88" s="790"/>
      <c r="ASK88" s="790"/>
      <c r="ASL88" s="790"/>
      <c r="ASM88" s="790"/>
      <c r="ASN88" s="790"/>
      <c r="ASO88" s="790"/>
      <c r="ASP88" s="790"/>
      <c r="ASQ88" s="790"/>
      <c r="ASR88" s="790"/>
      <c r="ASS88" s="790"/>
      <c r="AST88" s="790"/>
      <c r="ASU88" s="790"/>
      <c r="ASV88" s="790"/>
      <c r="ASW88" s="790"/>
      <c r="ASX88" s="790"/>
      <c r="ASY88" s="790"/>
      <c r="ASZ88" s="790"/>
      <c r="ATA88" s="790"/>
      <c r="ATB88" s="790"/>
      <c r="ATC88" s="790"/>
      <c r="ATD88" s="790"/>
      <c r="ATE88" s="790"/>
      <c r="ATF88" s="790"/>
      <c r="ATG88" s="790"/>
      <c r="ATH88" s="790"/>
      <c r="ATI88" s="790"/>
      <c r="ATJ88" s="790"/>
      <c r="ATK88" s="790"/>
      <c r="ATL88" s="790"/>
      <c r="ATM88" s="790"/>
      <c r="ATN88" s="790"/>
      <c r="ATO88" s="790"/>
      <c r="ATP88" s="790"/>
      <c r="ATQ88" s="790"/>
      <c r="ATR88" s="790"/>
      <c r="ATS88" s="790"/>
      <c r="ATT88" s="790"/>
      <c r="ATU88" s="790"/>
      <c r="ATV88" s="790"/>
      <c r="ATW88" s="790"/>
      <c r="ATX88" s="790"/>
      <c r="ATY88" s="790"/>
      <c r="ATZ88" s="790"/>
      <c r="AUA88" s="790"/>
      <c r="AUB88" s="790"/>
      <c r="AUC88" s="790"/>
      <c r="AUD88" s="790"/>
      <c r="AUE88" s="790"/>
      <c r="AUF88" s="790"/>
      <c r="AUG88" s="790"/>
      <c r="AUH88" s="790"/>
      <c r="AUI88" s="790"/>
      <c r="AUJ88" s="790"/>
      <c r="AUK88" s="790"/>
      <c r="AUL88" s="790"/>
      <c r="AUM88" s="790"/>
      <c r="AUN88" s="790"/>
      <c r="AUO88" s="790"/>
      <c r="AUP88" s="790"/>
      <c r="AUQ88" s="790"/>
      <c r="AUR88" s="790"/>
      <c r="AUS88" s="790"/>
      <c r="AUT88" s="790"/>
      <c r="AUU88" s="790"/>
      <c r="AUV88" s="790"/>
      <c r="AUW88" s="790"/>
      <c r="AUX88" s="790"/>
      <c r="AUY88" s="790"/>
      <c r="AUZ88" s="790"/>
      <c r="AVA88" s="790"/>
      <c r="AVB88" s="790"/>
      <c r="AVC88" s="790"/>
      <c r="AVD88" s="790"/>
      <c r="AVE88" s="790"/>
      <c r="AVF88" s="790"/>
      <c r="AVG88" s="790"/>
      <c r="AVH88" s="790"/>
      <c r="AVI88" s="790"/>
      <c r="AVJ88" s="790"/>
      <c r="AVK88" s="790"/>
      <c r="AVL88" s="790"/>
      <c r="AVM88" s="790"/>
      <c r="AVN88" s="790"/>
      <c r="AVO88" s="790"/>
      <c r="AVP88" s="790"/>
      <c r="AVQ88" s="790"/>
      <c r="AVR88" s="790"/>
      <c r="AVS88" s="790"/>
      <c r="AVT88" s="790"/>
      <c r="AVU88" s="790"/>
      <c r="AVV88" s="790"/>
      <c r="AVW88" s="790"/>
      <c r="AVX88" s="790"/>
      <c r="AVY88" s="790"/>
      <c r="AVZ88" s="790"/>
      <c r="AWA88" s="790"/>
      <c r="AWB88" s="790"/>
      <c r="AWC88" s="790"/>
      <c r="AWD88" s="790"/>
      <c r="AWE88" s="790"/>
      <c r="AWF88" s="790"/>
      <c r="AWG88" s="790"/>
      <c r="AWH88" s="790"/>
      <c r="AWI88" s="790"/>
      <c r="AWJ88" s="790"/>
      <c r="AWK88" s="790"/>
      <c r="AWL88" s="790"/>
      <c r="AWM88" s="790"/>
      <c r="AWN88" s="790"/>
      <c r="AWO88" s="790"/>
      <c r="AWP88" s="790"/>
      <c r="AWQ88" s="790"/>
      <c r="AWR88" s="790"/>
      <c r="AWS88" s="790"/>
      <c r="AWT88" s="790"/>
      <c r="AWU88" s="790"/>
      <c r="AWV88" s="790"/>
      <c r="AWW88" s="790"/>
      <c r="AWX88" s="790"/>
      <c r="AWY88" s="790"/>
      <c r="AWZ88" s="790"/>
      <c r="AXA88" s="790"/>
      <c r="AXB88" s="790"/>
      <c r="AXC88" s="790"/>
      <c r="AXD88" s="790"/>
      <c r="AXE88" s="790"/>
      <c r="AXF88" s="790"/>
      <c r="AXG88" s="790"/>
      <c r="AXH88" s="790"/>
      <c r="AXI88" s="790"/>
      <c r="AXJ88" s="790"/>
      <c r="AXK88" s="790"/>
      <c r="AXL88" s="790"/>
      <c r="AXM88" s="790"/>
      <c r="AXN88" s="790"/>
      <c r="AXO88" s="790"/>
      <c r="AXP88" s="790"/>
      <c r="AXQ88" s="790"/>
      <c r="AXR88" s="790"/>
      <c r="AXS88" s="790"/>
      <c r="AXT88" s="790"/>
      <c r="AXU88" s="790"/>
      <c r="AXV88" s="790"/>
      <c r="AXW88" s="790"/>
      <c r="AXX88" s="790"/>
      <c r="AXY88" s="790"/>
      <c r="AXZ88" s="790"/>
      <c r="AYA88" s="790"/>
      <c r="AYB88" s="790"/>
      <c r="AYC88" s="790"/>
      <c r="AYD88" s="790"/>
      <c r="AYE88" s="790"/>
      <c r="AYF88" s="790"/>
      <c r="AYG88" s="790"/>
      <c r="AYH88" s="790"/>
      <c r="AYI88" s="790"/>
      <c r="AYJ88" s="790"/>
      <c r="AYK88" s="790"/>
      <c r="AYL88" s="790"/>
      <c r="AYM88" s="790"/>
      <c r="AYN88" s="790"/>
      <c r="AYO88" s="790"/>
      <c r="AYP88" s="790"/>
      <c r="AYQ88" s="790"/>
      <c r="AYR88" s="790"/>
      <c r="AYS88" s="790"/>
      <c r="AYT88" s="790"/>
      <c r="AYU88" s="790"/>
      <c r="AYV88" s="790"/>
      <c r="AYW88" s="790"/>
      <c r="AYX88" s="790"/>
      <c r="AYY88" s="790"/>
      <c r="AYZ88" s="790"/>
      <c r="AZA88" s="790"/>
      <c r="AZB88" s="790"/>
      <c r="AZC88" s="790"/>
      <c r="AZD88" s="790"/>
      <c r="AZE88" s="790"/>
      <c r="AZF88" s="790"/>
      <c r="AZG88" s="790"/>
      <c r="AZH88" s="790"/>
      <c r="AZI88" s="790"/>
      <c r="AZJ88" s="790"/>
      <c r="AZK88" s="790"/>
      <c r="AZL88" s="790"/>
      <c r="AZM88" s="790"/>
      <c r="AZN88" s="790"/>
      <c r="AZO88" s="790"/>
      <c r="AZP88" s="790"/>
      <c r="AZQ88" s="790"/>
      <c r="AZR88" s="790"/>
      <c r="AZS88" s="790"/>
      <c r="AZT88" s="790"/>
      <c r="AZU88" s="790"/>
      <c r="AZV88" s="790"/>
      <c r="AZW88" s="790"/>
      <c r="AZX88" s="790"/>
      <c r="AZY88" s="790"/>
      <c r="AZZ88" s="790"/>
      <c r="BAA88" s="790"/>
      <c r="BAB88" s="790"/>
      <c r="BAC88" s="790"/>
      <c r="BAD88" s="790"/>
      <c r="BAE88" s="790"/>
      <c r="BAF88" s="790"/>
      <c r="BAG88" s="790"/>
      <c r="BAH88" s="790"/>
      <c r="BAI88" s="790"/>
      <c r="BAJ88" s="790"/>
      <c r="BAK88" s="790"/>
      <c r="BAL88" s="790"/>
      <c r="BAM88" s="790"/>
      <c r="BAN88" s="790"/>
      <c r="BAO88" s="790"/>
      <c r="BAP88" s="790"/>
      <c r="BAQ88" s="790"/>
      <c r="BAR88" s="790"/>
      <c r="BAS88" s="790"/>
      <c r="BAT88" s="790"/>
      <c r="BAU88" s="790"/>
      <c r="BAV88" s="790"/>
      <c r="BAW88" s="790"/>
      <c r="BAX88" s="790"/>
      <c r="BAY88" s="790"/>
      <c r="BAZ88" s="790"/>
      <c r="BBA88" s="790"/>
      <c r="BBB88" s="790"/>
      <c r="BBC88" s="790"/>
      <c r="BBD88" s="790"/>
      <c r="BBE88" s="790"/>
      <c r="BBF88" s="790"/>
      <c r="BBG88" s="790"/>
      <c r="BBH88" s="790"/>
      <c r="BBI88" s="790"/>
      <c r="BBJ88" s="790"/>
      <c r="BBK88" s="790"/>
      <c r="BBL88" s="790"/>
      <c r="BBM88" s="790"/>
      <c r="BBN88" s="790"/>
      <c r="BBO88" s="790"/>
      <c r="BBP88" s="790"/>
      <c r="BBQ88" s="790"/>
      <c r="BBR88" s="790"/>
      <c r="BBS88" s="790"/>
      <c r="BBT88" s="790"/>
      <c r="BBU88" s="790"/>
      <c r="BBV88" s="790"/>
      <c r="BBW88" s="790"/>
      <c r="BBX88" s="790"/>
      <c r="BBY88" s="790"/>
      <c r="BBZ88" s="790"/>
      <c r="BCA88" s="790"/>
      <c r="BCB88" s="790"/>
      <c r="BCC88" s="790"/>
      <c r="BCD88" s="790"/>
      <c r="BCE88" s="790"/>
      <c r="BCF88" s="790"/>
      <c r="BCG88" s="790"/>
      <c r="BCH88" s="790"/>
      <c r="BCI88" s="790"/>
      <c r="BCJ88" s="790"/>
      <c r="BCK88" s="790"/>
      <c r="BCL88" s="790"/>
      <c r="BCM88" s="790"/>
      <c r="BCN88" s="790"/>
      <c r="BCO88" s="790"/>
      <c r="BCP88" s="790"/>
      <c r="BCQ88" s="790"/>
      <c r="BCR88" s="790"/>
      <c r="BCS88" s="790"/>
      <c r="BCT88" s="790"/>
      <c r="BCU88" s="790"/>
      <c r="BCV88" s="790"/>
      <c r="BCW88" s="790"/>
      <c r="BCX88" s="790"/>
      <c r="BCY88" s="790"/>
      <c r="BCZ88" s="790"/>
      <c r="BDA88" s="790"/>
      <c r="BDB88" s="790"/>
      <c r="BDC88" s="790"/>
      <c r="BDD88" s="790"/>
      <c r="BDE88" s="790"/>
      <c r="BDF88" s="790"/>
      <c r="BDG88" s="790"/>
      <c r="BDH88" s="790"/>
      <c r="BDI88" s="790"/>
      <c r="BDJ88" s="790"/>
      <c r="BDK88" s="790"/>
      <c r="BDL88" s="790"/>
      <c r="BDM88" s="790"/>
      <c r="BDN88" s="790"/>
      <c r="BDO88" s="790"/>
      <c r="BDP88" s="790"/>
      <c r="BDQ88" s="790"/>
      <c r="BDR88" s="790"/>
      <c r="BDS88" s="790"/>
      <c r="BDT88" s="790"/>
      <c r="BDU88" s="790"/>
      <c r="BDV88" s="790"/>
      <c r="BDW88" s="790"/>
      <c r="BDX88" s="790"/>
      <c r="BDY88" s="790"/>
      <c r="BDZ88" s="790"/>
      <c r="BEA88" s="790"/>
      <c r="BEB88" s="790"/>
      <c r="BEC88" s="790"/>
      <c r="BED88" s="790"/>
      <c r="BEE88" s="790"/>
      <c r="BEF88" s="790"/>
      <c r="BEG88" s="790"/>
      <c r="BEH88" s="790"/>
      <c r="BEI88" s="790"/>
      <c r="BEJ88" s="790"/>
      <c r="BEK88" s="790"/>
      <c r="BEL88" s="790"/>
      <c r="BEM88" s="790"/>
      <c r="BEN88" s="790"/>
      <c r="BEO88" s="790"/>
      <c r="BEP88" s="790"/>
      <c r="BEQ88" s="790"/>
      <c r="BER88" s="790"/>
      <c r="BES88" s="790"/>
      <c r="BET88" s="790"/>
      <c r="BEU88" s="790"/>
      <c r="BEV88" s="790"/>
      <c r="BEW88" s="790"/>
      <c r="BEX88" s="790"/>
      <c r="BEY88" s="790"/>
      <c r="BEZ88" s="790"/>
      <c r="BFA88" s="790"/>
      <c r="BFB88" s="790"/>
      <c r="BFC88" s="790"/>
      <c r="BFD88" s="790"/>
      <c r="BFE88" s="790"/>
      <c r="BFF88" s="790"/>
      <c r="BFG88" s="790"/>
      <c r="BFH88" s="790"/>
      <c r="BFI88" s="790"/>
      <c r="BFJ88" s="790"/>
      <c r="BFK88" s="790"/>
      <c r="BFL88" s="790"/>
      <c r="BFM88" s="790"/>
      <c r="BFN88" s="790"/>
      <c r="BFO88" s="790"/>
      <c r="BFP88" s="790"/>
      <c r="BFQ88" s="790"/>
      <c r="BFR88" s="790"/>
      <c r="BFS88" s="790"/>
      <c r="BFT88" s="790"/>
      <c r="BFU88" s="790"/>
      <c r="BFV88" s="790"/>
      <c r="BFW88" s="790"/>
      <c r="BFX88" s="790"/>
      <c r="BFY88" s="790"/>
      <c r="BFZ88" s="790"/>
      <c r="BGA88" s="790"/>
      <c r="BGB88" s="790"/>
      <c r="BGC88" s="790"/>
      <c r="BGD88" s="790"/>
      <c r="BGE88" s="790"/>
      <c r="BGF88" s="790"/>
      <c r="BGG88" s="790"/>
      <c r="BGH88" s="790"/>
      <c r="BGI88" s="790"/>
      <c r="BGJ88" s="790"/>
      <c r="BGK88" s="790"/>
      <c r="BGL88" s="790"/>
      <c r="BGM88" s="790"/>
      <c r="BGN88" s="790"/>
      <c r="BGO88" s="790"/>
      <c r="BGP88" s="790"/>
      <c r="BGQ88" s="790"/>
      <c r="BGR88" s="790"/>
      <c r="BGS88" s="790"/>
      <c r="BGT88" s="790"/>
      <c r="BGU88" s="790"/>
      <c r="BGV88" s="790"/>
      <c r="BGW88" s="790"/>
      <c r="BGX88" s="790"/>
      <c r="BGY88" s="790"/>
      <c r="BGZ88" s="790"/>
      <c r="BHA88" s="790"/>
      <c r="BHB88" s="790"/>
      <c r="BHC88" s="790"/>
      <c r="BHD88" s="790"/>
      <c r="BHE88" s="790"/>
      <c r="BHF88" s="790"/>
      <c r="BHG88" s="790"/>
      <c r="BHH88" s="790"/>
      <c r="BHI88" s="790"/>
      <c r="BHJ88" s="790"/>
      <c r="BHK88" s="790"/>
      <c r="BHL88" s="790"/>
      <c r="BHM88" s="790"/>
      <c r="BHN88" s="790"/>
      <c r="BHO88" s="790"/>
      <c r="BHP88" s="790"/>
      <c r="BHQ88" s="790"/>
      <c r="BHR88" s="790"/>
      <c r="BHS88" s="790"/>
      <c r="BHT88" s="790"/>
      <c r="BHU88" s="790"/>
      <c r="BHV88" s="790"/>
      <c r="BHW88" s="790"/>
      <c r="BHX88" s="790"/>
      <c r="BHY88" s="790"/>
      <c r="BHZ88" s="790"/>
      <c r="BIA88" s="790"/>
      <c r="BIB88" s="790"/>
      <c r="BIC88" s="790"/>
      <c r="BID88" s="790"/>
      <c r="BIE88" s="790"/>
      <c r="BIF88" s="790"/>
      <c r="BIG88" s="790"/>
      <c r="BIH88" s="790"/>
      <c r="BII88" s="790"/>
      <c r="BIJ88" s="790"/>
      <c r="BIK88" s="790"/>
      <c r="BIL88" s="790"/>
      <c r="BIM88" s="790"/>
      <c r="BIN88" s="790"/>
      <c r="BIO88" s="790"/>
      <c r="BIP88" s="790"/>
      <c r="BIQ88" s="790"/>
      <c r="BIR88" s="790"/>
      <c r="BIS88" s="790"/>
      <c r="BIT88" s="790"/>
      <c r="BIU88" s="790"/>
      <c r="BIV88" s="790"/>
      <c r="BIW88" s="790"/>
      <c r="BIX88" s="790"/>
      <c r="BIY88" s="790"/>
      <c r="BIZ88" s="790"/>
      <c r="BJA88" s="790"/>
      <c r="BJB88" s="790"/>
      <c r="BJC88" s="790"/>
      <c r="BJD88" s="790"/>
      <c r="BJE88" s="790"/>
      <c r="BJF88" s="790"/>
      <c r="BJG88" s="790"/>
      <c r="BJH88" s="790"/>
      <c r="BJI88" s="790"/>
      <c r="BJJ88" s="790"/>
      <c r="BJK88" s="790"/>
      <c r="BJL88" s="790"/>
      <c r="BJM88" s="790"/>
      <c r="BJN88" s="790"/>
      <c r="BJO88" s="790"/>
      <c r="BJP88" s="790"/>
      <c r="BJQ88" s="790"/>
      <c r="BJR88" s="790"/>
      <c r="BJS88" s="790"/>
      <c r="BJT88" s="790"/>
      <c r="BJU88" s="790"/>
      <c r="BJV88" s="790"/>
      <c r="BJW88" s="790"/>
      <c r="BJX88" s="790"/>
      <c r="BJY88" s="790"/>
      <c r="BJZ88" s="790"/>
      <c r="BKA88" s="790"/>
      <c r="BKB88" s="790"/>
      <c r="BKC88" s="790"/>
      <c r="BKD88" s="790"/>
      <c r="BKE88" s="790"/>
      <c r="BKF88" s="790"/>
      <c r="BKG88" s="790"/>
      <c r="BKH88" s="790"/>
      <c r="BKI88" s="790"/>
      <c r="BKJ88" s="790"/>
      <c r="BKK88" s="790"/>
      <c r="BKL88" s="790"/>
      <c r="BKM88" s="790"/>
      <c r="BKN88" s="790"/>
      <c r="BKO88" s="790"/>
      <c r="BKP88" s="790"/>
      <c r="BKQ88" s="790"/>
      <c r="BKR88" s="790"/>
      <c r="BKS88" s="790"/>
      <c r="BKT88" s="790"/>
      <c r="BKU88" s="790"/>
      <c r="BKV88" s="790"/>
      <c r="BKW88" s="790"/>
      <c r="BKX88" s="790"/>
      <c r="BKY88" s="790"/>
      <c r="BKZ88" s="790"/>
      <c r="BLA88" s="790"/>
      <c r="BLB88" s="790"/>
      <c r="BLC88" s="790"/>
      <c r="BLD88" s="790"/>
      <c r="BLE88" s="790"/>
      <c r="BLF88" s="790"/>
      <c r="BLG88" s="790"/>
      <c r="BLH88" s="790"/>
      <c r="BLI88" s="790"/>
      <c r="BLJ88" s="790"/>
      <c r="BLK88" s="790"/>
      <c r="BLL88" s="790"/>
      <c r="BLM88" s="790"/>
      <c r="BLN88" s="790"/>
      <c r="BLO88" s="790"/>
      <c r="BLP88" s="790"/>
      <c r="BLQ88" s="790"/>
      <c r="BLR88" s="790"/>
      <c r="BLS88" s="790"/>
      <c r="BLT88" s="790"/>
      <c r="BLU88" s="790"/>
      <c r="BLV88" s="790"/>
      <c r="BLW88" s="790"/>
      <c r="BLX88" s="790"/>
      <c r="BLY88" s="790"/>
      <c r="BLZ88" s="790"/>
      <c r="BMA88" s="790"/>
      <c r="BMB88" s="790"/>
      <c r="BMC88" s="790"/>
      <c r="BMD88" s="790"/>
      <c r="BME88" s="790"/>
      <c r="BMF88" s="790"/>
      <c r="BMG88" s="790"/>
      <c r="BMH88" s="790"/>
      <c r="BMI88" s="790"/>
      <c r="BMJ88" s="790"/>
      <c r="BMK88" s="790"/>
      <c r="BML88" s="790"/>
      <c r="BMM88" s="790"/>
      <c r="BMN88" s="790"/>
      <c r="BMO88" s="790"/>
      <c r="BMP88" s="790"/>
      <c r="BMQ88" s="790"/>
      <c r="BMR88" s="790"/>
      <c r="BMS88" s="790"/>
      <c r="BMT88" s="790"/>
      <c r="BMU88" s="790"/>
      <c r="BMV88" s="790"/>
      <c r="BMW88" s="790"/>
      <c r="BMX88" s="790"/>
      <c r="BMY88" s="790"/>
      <c r="BMZ88" s="790"/>
      <c r="BNA88" s="790"/>
      <c r="BNB88" s="790"/>
      <c r="BNC88" s="790"/>
      <c r="BND88" s="790"/>
      <c r="BNE88" s="790"/>
      <c r="BNF88" s="790"/>
      <c r="BNG88" s="790"/>
      <c r="BNH88" s="790"/>
      <c r="BNI88" s="790"/>
      <c r="BNJ88" s="790"/>
      <c r="BNK88" s="790"/>
      <c r="BNL88" s="790"/>
      <c r="BNM88" s="790"/>
      <c r="BNN88" s="790"/>
      <c r="BNO88" s="790"/>
      <c r="BNP88" s="790"/>
      <c r="BNQ88" s="790"/>
      <c r="BNR88" s="790"/>
      <c r="BNS88" s="790"/>
      <c r="BNT88" s="790"/>
      <c r="BNU88" s="790"/>
      <c r="BNV88" s="790"/>
      <c r="BNW88" s="790"/>
      <c r="BNX88" s="790"/>
      <c r="BNY88" s="790"/>
      <c r="BNZ88" s="790"/>
      <c r="BOA88" s="790"/>
      <c r="BOB88" s="790"/>
      <c r="BOC88" s="790"/>
      <c r="BOD88" s="790"/>
      <c r="BOE88" s="790"/>
      <c r="BOF88" s="790"/>
      <c r="BOG88" s="790"/>
      <c r="BOH88" s="790"/>
      <c r="BOI88" s="790"/>
      <c r="BOJ88" s="790"/>
      <c r="BOK88" s="790"/>
      <c r="BOL88" s="790"/>
      <c r="BOM88" s="790"/>
      <c r="BON88" s="790"/>
      <c r="BOO88" s="790"/>
      <c r="BOP88" s="790"/>
      <c r="BOQ88" s="790"/>
      <c r="BOR88" s="790"/>
      <c r="BOS88" s="790"/>
      <c r="BOT88" s="790"/>
      <c r="BOU88" s="790"/>
      <c r="BOV88" s="790"/>
      <c r="BOW88" s="790"/>
      <c r="BOX88" s="790"/>
      <c r="BOY88" s="790"/>
      <c r="BOZ88" s="790"/>
      <c r="BPA88" s="790"/>
      <c r="BPB88" s="790"/>
      <c r="BPC88" s="790"/>
      <c r="BPD88" s="790"/>
      <c r="BPE88" s="790"/>
      <c r="BPF88" s="790"/>
      <c r="BPG88" s="790"/>
      <c r="BPH88" s="790"/>
      <c r="BPI88" s="790"/>
      <c r="BPJ88" s="790"/>
      <c r="BPK88" s="790"/>
      <c r="BPL88" s="790"/>
      <c r="BPM88" s="790"/>
      <c r="BPN88" s="790"/>
      <c r="BPO88" s="790"/>
      <c r="BPP88" s="790"/>
      <c r="BPQ88" s="790"/>
      <c r="BPR88" s="790"/>
      <c r="BPS88" s="790"/>
      <c r="BPT88" s="790"/>
      <c r="BPU88" s="790"/>
      <c r="BPV88" s="790"/>
      <c r="BPW88" s="790"/>
      <c r="BPX88" s="790"/>
      <c r="BPY88" s="790"/>
      <c r="BPZ88" s="790"/>
      <c r="BQA88" s="790"/>
      <c r="BQB88" s="790"/>
      <c r="BQC88" s="790"/>
      <c r="BQD88" s="790"/>
      <c r="BQE88" s="790"/>
      <c r="BQF88" s="790"/>
      <c r="BQG88" s="790"/>
      <c r="BQH88" s="790"/>
      <c r="BQI88" s="790"/>
      <c r="BQJ88" s="790"/>
      <c r="BQK88" s="790"/>
      <c r="BQL88" s="790"/>
      <c r="BQM88" s="790"/>
      <c r="BQN88" s="790"/>
      <c r="BQO88" s="790"/>
      <c r="BQP88" s="790"/>
      <c r="BQQ88" s="790"/>
      <c r="BQR88" s="790"/>
      <c r="BQS88" s="790"/>
      <c r="BQT88" s="790"/>
      <c r="BQU88" s="790"/>
      <c r="BQV88" s="790"/>
      <c r="BQW88" s="790"/>
      <c r="BQX88" s="790"/>
      <c r="BQY88" s="790"/>
      <c r="BQZ88" s="790"/>
      <c r="BRA88" s="790"/>
      <c r="BRB88" s="790"/>
      <c r="BRC88" s="790"/>
      <c r="BRD88" s="790"/>
      <c r="BRE88" s="790"/>
      <c r="BRF88" s="790"/>
      <c r="BRG88" s="790"/>
      <c r="BRH88" s="790"/>
      <c r="BRI88" s="790"/>
      <c r="BRJ88" s="790"/>
      <c r="BRK88" s="790"/>
      <c r="BRL88" s="790"/>
      <c r="BRM88" s="790"/>
      <c r="BRN88" s="790"/>
      <c r="BRO88" s="790"/>
      <c r="BRP88" s="790"/>
      <c r="BRQ88" s="790"/>
      <c r="BRR88" s="790"/>
      <c r="BRS88" s="790"/>
      <c r="BRT88" s="790"/>
      <c r="BRU88" s="790"/>
      <c r="BRV88" s="790"/>
      <c r="BRW88" s="790"/>
      <c r="BRX88" s="790"/>
      <c r="BRY88" s="790"/>
      <c r="BRZ88" s="790"/>
      <c r="BSA88" s="790"/>
      <c r="BSB88" s="790"/>
      <c r="BSC88" s="790"/>
      <c r="BSD88" s="790"/>
      <c r="BSE88" s="790"/>
      <c r="BSF88" s="790"/>
      <c r="BSG88" s="790"/>
      <c r="BSH88" s="790"/>
      <c r="BSI88" s="790"/>
      <c r="BSJ88" s="790"/>
      <c r="BSK88" s="790"/>
      <c r="BSL88" s="790"/>
      <c r="BSM88" s="790"/>
      <c r="BSN88" s="790"/>
      <c r="BSO88" s="790"/>
      <c r="BSP88" s="790"/>
      <c r="BSQ88" s="790"/>
      <c r="BSR88" s="790"/>
      <c r="BSS88" s="790"/>
      <c r="BST88" s="790"/>
      <c r="BSU88" s="790"/>
      <c r="BSV88" s="790"/>
      <c r="BSW88" s="790"/>
      <c r="BSX88" s="790"/>
      <c r="BSY88" s="790"/>
      <c r="BSZ88" s="790"/>
      <c r="BTA88" s="790"/>
      <c r="BTB88" s="790"/>
      <c r="BTC88" s="790"/>
      <c r="BTD88" s="790"/>
      <c r="BTE88" s="790"/>
      <c r="BTF88" s="790"/>
      <c r="BTG88" s="790"/>
      <c r="BTH88" s="790"/>
      <c r="BTI88" s="790"/>
      <c r="BTJ88" s="790"/>
      <c r="BTK88" s="790"/>
      <c r="BTL88" s="790"/>
      <c r="BTM88" s="790"/>
      <c r="BTN88" s="790"/>
      <c r="BTO88" s="790"/>
      <c r="BTP88" s="790"/>
      <c r="BTQ88" s="790"/>
      <c r="BTR88" s="790"/>
      <c r="BTS88" s="790"/>
      <c r="BTT88" s="790"/>
      <c r="BTU88" s="790"/>
      <c r="BTV88" s="790"/>
      <c r="BTW88" s="790"/>
      <c r="BTX88" s="790"/>
      <c r="BTY88" s="790"/>
      <c r="BTZ88" s="790"/>
      <c r="BUA88" s="790"/>
      <c r="BUB88" s="790"/>
      <c r="BUC88" s="790"/>
      <c r="BUD88" s="790"/>
      <c r="BUE88" s="790"/>
      <c r="BUF88" s="790"/>
      <c r="BUG88" s="790"/>
      <c r="BUH88" s="790"/>
      <c r="BUI88" s="790"/>
      <c r="BUJ88" s="790"/>
      <c r="BUK88" s="790"/>
      <c r="BUL88" s="790"/>
      <c r="BUM88" s="790"/>
      <c r="BUN88" s="790"/>
      <c r="BUO88" s="790"/>
      <c r="BUP88" s="790"/>
      <c r="BUQ88" s="790"/>
      <c r="BUR88" s="790"/>
      <c r="BUS88" s="790"/>
      <c r="BUT88" s="790"/>
      <c r="BUU88" s="790"/>
      <c r="BUV88" s="790"/>
      <c r="BUW88" s="790"/>
      <c r="BUX88" s="790"/>
      <c r="BUY88" s="790"/>
      <c r="BUZ88" s="790"/>
      <c r="BVA88" s="790"/>
      <c r="BVB88" s="790"/>
      <c r="BVC88" s="790"/>
      <c r="BVD88" s="790"/>
      <c r="BVE88" s="790"/>
      <c r="BVF88" s="790"/>
      <c r="BVG88" s="790"/>
      <c r="BVH88" s="790"/>
      <c r="BVI88" s="790"/>
      <c r="BVJ88" s="790"/>
      <c r="BVK88" s="790"/>
      <c r="BVL88" s="790"/>
      <c r="BVM88" s="790"/>
      <c r="BVN88" s="790"/>
      <c r="BVO88" s="790"/>
      <c r="BVP88" s="790"/>
      <c r="BVQ88" s="790"/>
      <c r="BVR88" s="790"/>
      <c r="BVS88" s="790"/>
      <c r="BVT88" s="790"/>
      <c r="BVU88" s="790"/>
      <c r="BVV88" s="790"/>
      <c r="BVW88" s="790"/>
      <c r="BVX88" s="790"/>
      <c r="BVY88" s="790"/>
      <c r="BVZ88" s="790"/>
      <c r="BWA88" s="790"/>
      <c r="BWB88" s="790"/>
      <c r="BWC88" s="790"/>
      <c r="BWD88" s="790"/>
      <c r="BWE88" s="790"/>
      <c r="BWF88" s="790"/>
      <c r="BWG88" s="790"/>
      <c r="BWH88" s="790"/>
      <c r="BWI88" s="790"/>
      <c r="BWJ88" s="790"/>
      <c r="BWK88" s="790"/>
      <c r="BWL88" s="790"/>
      <c r="BWM88" s="790"/>
      <c r="BWN88" s="790"/>
      <c r="BWO88" s="790"/>
      <c r="BWP88" s="790"/>
      <c r="BWQ88" s="790"/>
      <c r="BWR88" s="790"/>
      <c r="BWS88" s="790"/>
      <c r="BWT88" s="790"/>
      <c r="BWU88" s="790"/>
      <c r="BWV88" s="790"/>
      <c r="BWW88" s="790"/>
      <c r="BWX88" s="790"/>
      <c r="BWY88" s="790"/>
      <c r="BWZ88" s="790"/>
      <c r="BXA88" s="790"/>
      <c r="BXB88" s="790"/>
      <c r="BXC88" s="790"/>
      <c r="BXD88" s="790"/>
      <c r="BXE88" s="790"/>
      <c r="BXF88" s="790"/>
      <c r="BXG88" s="790"/>
      <c r="BXH88" s="790"/>
      <c r="BXI88" s="790"/>
      <c r="BXJ88" s="790"/>
      <c r="BXK88" s="790"/>
      <c r="BXL88" s="790"/>
      <c r="BXM88" s="790"/>
      <c r="BXN88" s="790"/>
      <c r="BXO88" s="790"/>
      <c r="BXP88" s="790"/>
      <c r="BXQ88" s="790"/>
      <c r="BXR88" s="790"/>
      <c r="BXS88" s="790"/>
      <c r="BXT88" s="790"/>
      <c r="BXU88" s="790"/>
      <c r="BXV88" s="790"/>
      <c r="BXW88" s="790"/>
      <c r="BXX88" s="790"/>
      <c r="BXY88" s="790"/>
      <c r="BXZ88" s="790"/>
      <c r="BYA88" s="790"/>
      <c r="BYB88" s="790"/>
      <c r="BYC88" s="790"/>
      <c r="BYD88" s="790"/>
      <c r="BYE88" s="790"/>
      <c r="BYF88" s="790"/>
      <c r="BYG88" s="790"/>
      <c r="BYH88" s="790"/>
      <c r="BYI88" s="790"/>
      <c r="BYJ88" s="790"/>
      <c r="BYK88" s="790"/>
      <c r="BYL88" s="790"/>
      <c r="BYM88" s="790"/>
      <c r="BYN88" s="790"/>
      <c r="BYO88" s="790"/>
      <c r="BYP88" s="790"/>
      <c r="BYQ88" s="790"/>
      <c r="BYR88" s="790"/>
      <c r="BYS88" s="790"/>
      <c r="BYT88" s="790"/>
      <c r="BYU88" s="790"/>
      <c r="BYV88" s="790"/>
      <c r="BYW88" s="790"/>
      <c r="BYX88" s="790"/>
      <c r="BYY88" s="790"/>
      <c r="BYZ88" s="790"/>
      <c r="BZA88" s="790"/>
      <c r="BZB88" s="790"/>
      <c r="BZC88" s="790"/>
      <c r="BZD88" s="790"/>
      <c r="BZE88" s="790"/>
      <c r="BZF88" s="790"/>
      <c r="BZG88" s="790"/>
      <c r="BZH88" s="790"/>
      <c r="BZI88" s="790"/>
      <c r="BZJ88" s="790"/>
      <c r="BZK88" s="790"/>
      <c r="BZL88" s="790"/>
      <c r="BZM88" s="790"/>
      <c r="BZN88" s="790"/>
      <c r="BZO88" s="790"/>
      <c r="BZP88" s="790"/>
      <c r="BZQ88" s="790"/>
      <c r="BZR88" s="790"/>
      <c r="BZS88" s="790"/>
      <c r="BZT88" s="790"/>
      <c r="BZU88" s="790"/>
      <c r="BZV88" s="790"/>
      <c r="BZW88" s="790"/>
      <c r="BZX88" s="790"/>
      <c r="BZY88" s="790"/>
      <c r="BZZ88" s="790"/>
      <c r="CAA88" s="790"/>
      <c r="CAB88" s="790"/>
      <c r="CAC88" s="790"/>
      <c r="CAD88" s="790"/>
      <c r="CAE88" s="790"/>
      <c r="CAF88" s="790"/>
      <c r="CAG88" s="790"/>
      <c r="CAH88" s="790"/>
      <c r="CAI88" s="790"/>
      <c r="CAJ88" s="790"/>
      <c r="CAK88" s="790"/>
      <c r="CAL88" s="790"/>
      <c r="CAM88" s="790"/>
      <c r="CAN88" s="790"/>
      <c r="CAO88" s="790"/>
      <c r="CAP88" s="790"/>
      <c r="CAQ88" s="790"/>
      <c r="CAR88" s="790"/>
      <c r="CAS88" s="790"/>
      <c r="CAT88" s="790"/>
      <c r="CAU88" s="790"/>
      <c r="CAV88" s="790"/>
      <c r="CAW88" s="790"/>
      <c r="CAX88" s="790"/>
      <c r="CAY88" s="790"/>
      <c r="CAZ88" s="790"/>
      <c r="CBA88" s="790"/>
      <c r="CBB88" s="790"/>
      <c r="CBC88" s="790"/>
      <c r="CBD88" s="790"/>
      <c r="CBE88" s="790"/>
      <c r="CBF88" s="790"/>
      <c r="CBG88" s="790"/>
      <c r="CBH88" s="790"/>
      <c r="CBI88" s="790"/>
      <c r="CBJ88" s="790"/>
      <c r="CBK88" s="790"/>
      <c r="CBL88" s="790"/>
      <c r="CBM88" s="790"/>
      <c r="CBN88" s="790"/>
      <c r="CBO88" s="790"/>
      <c r="CBP88" s="790"/>
      <c r="CBQ88" s="790"/>
      <c r="CBR88" s="790"/>
      <c r="CBS88" s="790"/>
      <c r="CBT88" s="790"/>
      <c r="CBU88" s="790"/>
      <c r="CBV88" s="790"/>
      <c r="CBW88" s="790"/>
      <c r="CBX88" s="790"/>
      <c r="CBY88" s="790"/>
      <c r="CBZ88" s="790"/>
      <c r="CCA88" s="790"/>
      <c r="CCB88" s="790"/>
      <c r="CCC88" s="790"/>
      <c r="CCD88" s="790"/>
      <c r="CCE88" s="790"/>
      <c r="CCF88" s="790"/>
      <c r="CCG88" s="790"/>
      <c r="CCH88" s="790"/>
      <c r="CCI88" s="790"/>
      <c r="CCJ88" s="790"/>
      <c r="CCK88" s="790"/>
      <c r="CCL88" s="790"/>
      <c r="CCM88" s="790"/>
      <c r="CCN88" s="790"/>
      <c r="CCO88" s="790"/>
      <c r="CCP88" s="790"/>
      <c r="CCQ88" s="790"/>
      <c r="CCR88" s="790"/>
      <c r="CCS88" s="790"/>
      <c r="CCT88" s="790"/>
      <c r="CCU88" s="790"/>
      <c r="CCV88" s="790"/>
      <c r="CCW88" s="790"/>
      <c r="CCX88" s="790"/>
      <c r="CCY88" s="790"/>
      <c r="CCZ88" s="790"/>
      <c r="CDA88" s="790"/>
      <c r="CDB88" s="790"/>
      <c r="CDC88" s="790"/>
      <c r="CDD88" s="790"/>
      <c r="CDE88" s="790"/>
      <c r="CDF88" s="790"/>
      <c r="CDG88" s="790"/>
      <c r="CDH88" s="790"/>
      <c r="CDI88" s="790"/>
      <c r="CDJ88" s="790"/>
      <c r="CDK88" s="790"/>
      <c r="CDL88" s="790"/>
      <c r="CDM88" s="790"/>
      <c r="CDN88" s="790"/>
      <c r="CDO88" s="790"/>
      <c r="CDP88" s="790"/>
      <c r="CDQ88" s="790"/>
      <c r="CDR88" s="790"/>
      <c r="CDS88" s="790"/>
      <c r="CDT88" s="790"/>
      <c r="CDU88" s="790"/>
      <c r="CDV88" s="790"/>
      <c r="CDW88" s="790"/>
      <c r="CDX88" s="790"/>
      <c r="CDY88" s="790"/>
      <c r="CDZ88" s="790"/>
      <c r="CEA88" s="790"/>
      <c r="CEB88" s="790"/>
      <c r="CEC88" s="790"/>
      <c r="CED88" s="790"/>
      <c r="CEE88" s="790"/>
      <c r="CEF88" s="790"/>
      <c r="CEG88" s="790"/>
      <c r="CEH88" s="790"/>
      <c r="CEI88" s="790"/>
      <c r="CEJ88" s="790"/>
      <c r="CEK88" s="790"/>
      <c r="CEL88" s="790"/>
      <c r="CEM88" s="790"/>
      <c r="CEN88" s="790"/>
      <c r="CEO88" s="790"/>
      <c r="CEP88" s="790"/>
      <c r="CEQ88" s="790"/>
      <c r="CER88" s="790"/>
      <c r="CES88" s="790"/>
      <c r="CET88" s="790"/>
      <c r="CEU88" s="790"/>
      <c r="CEV88" s="790"/>
      <c r="CEW88" s="790"/>
      <c r="CEX88" s="790"/>
      <c r="CEY88" s="790"/>
      <c r="CEZ88" s="790"/>
      <c r="CFA88" s="790"/>
      <c r="CFB88" s="790"/>
      <c r="CFC88" s="790"/>
      <c r="CFD88" s="790"/>
      <c r="CFE88" s="790"/>
      <c r="CFF88" s="790"/>
      <c r="CFG88" s="790"/>
      <c r="CFH88" s="790"/>
      <c r="CFI88" s="790"/>
      <c r="CFJ88" s="790"/>
      <c r="CFK88" s="790"/>
      <c r="CFL88" s="790"/>
      <c r="CFM88" s="790"/>
      <c r="CFN88" s="790"/>
      <c r="CFO88" s="790"/>
      <c r="CFP88" s="790"/>
      <c r="CFQ88" s="790"/>
      <c r="CFR88" s="790"/>
      <c r="CFS88" s="790"/>
      <c r="CFT88" s="790"/>
      <c r="CFU88" s="790"/>
      <c r="CFV88" s="790"/>
      <c r="CFW88" s="790"/>
      <c r="CFX88" s="790"/>
      <c r="CFY88" s="790"/>
      <c r="CFZ88" s="790"/>
      <c r="CGA88" s="790"/>
      <c r="CGB88" s="790"/>
      <c r="CGC88" s="790"/>
      <c r="CGD88" s="790"/>
      <c r="CGE88" s="790"/>
      <c r="CGF88" s="790"/>
      <c r="CGG88" s="790"/>
      <c r="CGH88" s="790"/>
      <c r="CGI88" s="790"/>
      <c r="CGJ88" s="790"/>
      <c r="CGK88" s="790"/>
      <c r="CGL88" s="790"/>
      <c r="CGM88" s="790"/>
      <c r="CGN88" s="790"/>
      <c r="CGO88" s="790"/>
      <c r="CGP88" s="790"/>
      <c r="CGQ88" s="790"/>
      <c r="CGR88" s="790"/>
      <c r="CGS88" s="790"/>
      <c r="CGT88" s="790"/>
      <c r="CGU88" s="790"/>
      <c r="CGV88" s="790"/>
      <c r="CGW88" s="790"/>
      <c r="CGX88" s="790"/>
      <c r="CGY88" s="790"/>
      <c r="CGZ88" s="790"/>
      <c r="CHA88" s="790"/>
      <c r="CHB88" s="790"/>
      <c r="CHC88" s="790"/>
      <c r="CHD88" s="790"/>
      <c r="CHE88" s="790"/>
      <c r="CHF88" s="790"/>
      <c r="CHG88" s="790"/>
      <c r="CHH88" s="790"/>
      <c r="CHI88" s="790"/>
      <c r="CHJ88" s="790"/>
      <c r="CHK88" s="790"/>
      <c r="CHL88" s="790"/>
      <c r="CHM88" s="790"/>
      <c r="CHN88" s="790"/>
      <c r="CHO88" s="790"/>
      <c r="CHP88" s="790"/>
      <c r="CHQ88" s="790"/>
      <c r="CHR88" s="790"/>
      <c r="CHS88" s="790"/>
      <c r="CHT88" s="790"/>
      <c r="CHU88" s="790"/>
      <c r="CHV88" s="790"/>
      <c r="CHW88" s="790"/>
      <c r="CHX88" s="790"/>
      <c r="CHY88" s="790"/>
      <c r="CHZ88" s="790"/>
      <c r="CIA88" s="790"/>
      <c r="CIB88" s="790"/>
      <c r="CIC88" s="790"/>
      <c r="CID88" s="790"/>
      <c r="CIE88" s="790"/>
      <c r="CIF88" s="790"/>
      <c r="CIG88" s="790"/>
      <c r="CIH88" s="790"/>
      <c r="CII88" s="790"/>
      <c r="CIJ88" s="790"/>
      <c r="CIK88" s="790"/>
      <c r="CIL88" s="790"/>
      <c r="CIM88" s="790"/>
      <c r="CIN88" s="790"/>
      <c r="CIO88" s="790"/>
      <c r="CIP88" s="790"/>
      <c r="CIQ88" s="790"/>
      <c r="CIR88" s="790"/>
      <c r="CIS88" s="790"/>
      <c r="CIT88" s="790"/>
      <c r="CIU88" s="790"/>
      <c r="CIV88" s="790"/>
      <c r="CIW88" s="790"/>
      <c r="CIX88" s="790"/>
      <c r="CIY88" s="790"/>
      <c r="CIZ88" s="790"/>
      <c r="CJA88" s="790"/>
      <c r="CJB88" s="790"/>
      <c r="CJC88" s="790"/>
      <c r="CJD88" s="790"/>
      <c r="CJE88" s="790"/>
      <c r="CJF88" s="790"/>
      <c r="CJG88" s="790"/>
      <c r="CJH88" s="790"/>
      <c r="CJI88" s="790"/>
      <c r="CJJ88" s="790"/>
      <c r="CJK88" s="790"/>
      <c r="CJL88" s="790"/>
      <c r="CJM88" s="790"/>
      <c r="CJN88" s="790"/>
      <c r="CJO88" s="790"/>
      <c r="CJP88" s="790"/>
      <c r="CJQ88" s="790"/>
      <c r="CJR88" s="790"/>
      <c r="CJS88" s="790"/>
      <c r="CJT88" s="790"/>
      <c r="CJU88" s="790"/>
      <c r="CJV88" s="790"/>
      <c r="CJW88" s="790"/>
      <c r="CJX88" s="790"/>
      <c r="CJY88" s="790"/>
      <c r="CJZ88" s="790"/>
      <c r="CKA88" s="790"/>
      <c r="CKB88" s="790"/>
      <c r="CKC88" s="790"/>
      <c r="CKD88" s="790"/>
      <c r="CKE88" s="790"/>
      <c r="CKF88" s="790"/>
      <c r="CKG88" s="790"/>
      <c r="CKH88" s="790"/>
      <c r="CKI88" s="790"/>
      <c r="CKJ88" s="790"/>
      <c r="CKK88" s="790"/>
      <c r="CKL88" s="790"/>
      <c r="CKM88" s="790"/>
      <c r="CKN88" s="790"/>
      <c r="CKO88" s="790"/>
      <c r="CKP88" s="790"/>
      <c r="CKQ88" s="790"/>
      <c r="CKR88" s="790"/>
      <c r="CKS88" s="790"/>
      <c r="CKT88" s="790"/>
      <c r="CKU88" s="790"/>
      <c r="CKV88" s="790"/>
      <c r="CKW88" s="790"/>
      <c r="CKX88" s="790"/>
      <c r="CKY88" s="790"/>
      <c r="CKZ88" s="790"/>
      <c r="CLA88" s="790"/>
      <c r="CLB88" s="790"/>
      <c r="CLC88" s="790"/>
      <c r="CLD88" s="790"/>
      <c r="CLE88" s="790"/>
      <c r="CLF88" s="790"/>
      <c r="CLG88" s="790"/>
      <c r="CLH88" s="790"/>
      <c r="CLI88" s="790"/>
      <c r="CLJ88" s="790"/>
      <c r="CLK88" s="790"/>
      <c r="CLL88" s="790"/>
      <c r="CLM88" s="790"/>
      <c r="CLN88" s="790"/>
      <c r="CLO88" s="790"/>
      <c r="CLP88" s="790"/>
      <c r="CLQ88" s="790"/>
      <c r="CLR88" s="790"/>
      <c r="CLS88" s="790"/>
      <c r="CLT88" s="790"/>
      <c r="CLU88" s="790"/>
      <c r="CLV88" s="790"/>
      <c r="CLW88" s="790"/>
      <c r="CLX88" s="790"/>
      <c r="CLY88" s="790"/>
      <c r="CLZ88" s="790"/>
      <c r="CMA88" s="790"/>
      <c r="CMB88" s="790"/>
      <c r="CMC88" s="790"/>
      <c r="CMD88" s="790"/>
      <c r="CME88" s="790"/>
      <c r="CMF88" s="790"/>
      <c r="CMG88" s="790"/>
      <c r="CMH88" s="790"/>
      <c r="CMI88" s="790"/>
      <c r="CMJ88" s="790"/>
      <c r="CMK88" s="790"/>
      <c r="CML88" s="790"/>
      <c r="CMM88" s="790"/>
      <c r="CMN88" s="790"/>
      <c r="CMO88" s="790"/>
      <c r="CMP88" s="790"/>
      <c r="CMQ88" s="790"/>
      <c r="CMR88" s="790"/>
      <c r="CMS88" s="790"/>
      <c r="CMT88" s="790"/>
      <c r="CMU88" s="790"/>
      <c r="CMV88" s="790"/>
      <c r="CMW88" s="790"/>
      <c r="CMX88" s="790"/>
      <c r="CMY88" s="790"/>
      <c r="CMZ88" s="790"/>
      <c r="CNA88" s="790"/>
      <c r="CNB88" s="790"/>
      <c r="CNC88" s="790"/>
      <c r="CND88" s="790"/>
      <c r="CNE88" s="790"/>
      <c r="CNF88" s="790"/>
      <c r="CNG88" s="790"/>
      <c r="CNH88" s="790"/>
      <c r="CNI88" s="790"/>
      <c r="CNJ88" s="790"/>
      <c r="CNK88" s="790"/>
      <c r="CNL88" s="790"/>
      <c r="CNM88" s="790"/>
      <c r="CNN88" s="790"/>
      <c r="CNO88" s="790"/>
      <c r="CNP88" s="790"/>
      <c r="CNQ88" s="790"/>
      <c r="CNR88" s="790"/>
      <c r="CNS88" s="790"/>
      <c r="CNT88" s="790"/>
      <c r="CNU88" s="790"/>
      <c r="CNV88" s="790"/>
      <c r="CNW88" s="790"/>
      <c r="CNX88" s="790"/>
      <c r="CNY88" s="790"/>
      <c r="CNZ88" s="790"/>
      <c r="COA88" s="790"/>
      <c r="COB88" s="790"/>
      <c r="COC88" s="790"/>
      <c r="COD88" s="790"/>
      <c r="COE88" s="790"/>
      <c r="COF88" s="790"/>
      <c r="COG88" s="790"/>
      <c r="COH88" s="790"/>
      <c r="COI88" s="790"/>
      <c r="COJ88" s="790"/>
      <c r="COK88" s="790"/>
      <c r="COL88" s="790"/>
      <c r="COM88" s="790"/>
      <c r="CON88" s="790"/>
      <c r="COO88" s="790"/>
      <c r="COP88" s="790"/>
      <c r="COQ88" s="790"/>
      <c r="COR88" s="790"/>
      <c r="COS88" s="790"/>
      <c r="COT88" s="790"/>
      <c r="COU88" s="790"/>
      <c r="COV88" s="790"/>
      <c r="COW88" s="790"/>
      <c r="COX88" s="790"/>
      <c r="COY88" s="790"/>
      <c r="COZ88" s="790"/>
      <c r="CPA88" s="790"/>
      <c r="CPB88" s="790"/>
      <c r="CPC88" s="790"/>
      <c r="CPD88" s="790"/>
      <c r="CPE88" s="790"/>
      <c r="CPF88" s="790"/>
      <c r="CPG88" s="790"/>
      <c r="CPH88" s="790"/>
      <c r="CPI88" s="790"/>
      <c r="CPJ88" s="790"/>
      <c r="CPK88" s="790"/>
      <c r="CPL88" s="790"/>
      <c r="CPM88" s="790"/>
      <c r="CPN88" s="790"/>
      <c r="CPO88" s="790"/>
      <c r="CPP88" s="790"/>
      <c r="CPQ88" s="790"/>
      <c r="CPR88" s="790"/>
      <c r="CPS88" s="790"/>
      <c r="CPT88" s="790"/>
      <c r="CPU88" s="790"/>
      <c r="CPV88" s="790"/>
      <c r="CPW88" s="790"/>
      <c r="CPX88" s="790"/>
      <c r="CPY88" s="790"/>
      <c r="CPZ88" s="790"/>
      <c r="CQA88" s="790"/>
      <c r="CQB88" s="790"/>
      <c r="CQC88" s="790"/>
      <c r="CQD88" s="790"/>
      <c r="CQE88" s="790"/>
      <c r="CQF88" s="790"/>
      <c r="CQG88" s="790"/>
      <c r="CQH88" s="790"/>
      <c r="CQI88" s="790"/>
      <c r="CQJ88" s="790"/>
      <c r="CQK88" s="790"/>
      <c r="CQL88" s="790"/>
      <c r="CQM88" s="790"/>
      <c r="CQN88" s="790"/>
      <c r="CQO88" s="790"/>
      <c r="CQP88" s="790"/>
      <c r="CQQ88" s="790"/>
      <c r="CQR88" s="790"/>
      <c r="CQS88" s="790"/>
      <c r="CQT88" s="790"/>
      <c r="CQU88" s="790"/>
      <c r="CQV88" s="790"/>
      <c r="CQW88" s="790"/>
      <c r="CQX88" s="790"/>
      <c r="CQY88" s="790"/>
      <c r="CQZ88" s="790"/>
      <c r="CRA88" s="790"/>
      <c r="CRB88" s="790"/>
      <c r="CRC88" s="790"/>
      <c r="CRD88" s="790"/>
      <c r="CRE88" s="790"/>
      <c r="CRF88" s="790"/>
      <c r="CRG88" s="790"/>
      <c r="CRH88" s="790"/>
      <c r="CRI88" s="790"/>
      <c r="CRJ88" s="790"/>
      <c r="CRK88" s="790"/>
      <c r="CRL88" s="790"/>
      <c r="CRM88" s="790"/>
      <c r="CRN88" s="790"/>
      <c r="CRO88" s="790"/>
      <c r="CRP88" s="790"/>
      <c r="CRQ88" s="790"/>
      <c r="CRR88" s="790"/>
      <c r="CRS88" s="790"/>
      <c r="CRT88" s="790"/>
      <c r="CRU88" s="790"/>
      <c r="CRV88" s="790"/>
      <c r="CRW88" s="790"/>
      <c r="CRX88" s="790"/>
      <c r="CRY88" s="790"/>
      <c r="CRZ88" s="790"/>
      <c r="CSA88" s="790"/>
      <c r="CSB88" s="790"/>
      <c r="CSC88" s="790"/>
      <c r="CSD88" s="790"/>
      <c r="CSE88" s="790"/>
      <c r="CSF88" s="790"/>
      <c r="CSG88" s="790"/>
      <c r="CSH88" s="790"/>
      <c r="CSI88" s="790"/>
      <c r="CSJ88" s="790"/>
      <c r="CSK88" s="790"/>
      <c r="CSL88" s="790"/>
      <c r="CSM88" s="790"/>
      <c r="CSN88" s="790"/>
      <c r="CSO88" s="790"/>
      <c r="CSP88" s="790"/>
      <c r="CSQ88" s="790"/>
      <c r="CSR88" s="790"/>
      <c r="CSS88" s="790"/>
      <c r="CST88" s="790"/>
      <c r="CSU88" s="790"/>
      <c r="CSV88" s="790"/>
      <c r="CSW88" s="790"/>
      <c r="CSX88" s="790"/>
      <c r="CSY88" s="790"/>
      <c r="CSZ88" s="790"/>
      <c r="CTA88" s="790"/>
      <c r="CTB88" s="790"/>
      <c r="CTC88" s="790"/>
      <c r="CTD88" s="790"/>
      <c r="CTE88" s="790"/>
      <c r="CTF88" s="790"/>
      <c r="CTG88" s="790"/>
      <c r="CTH88" s="790"/>
      <c r="CTI88" s="790"/>
      <c r="CTJ88" s="790"/>
      <c r="CTK88" s="790"/>
      <c r="CTL88" s="790"/>
      <c r="CTM88" s="790"/>
      <c r="CTN88" s="790"/>
      <c r="CTO88" s="790"/>
      <c r="CTP88" s="790"/>
      <c r="CTQ88" s="790"/>
      <c r="CTR88" s="790"/>
      <c r="CTS88" s="790"/>
      <c r="CTT88" s="790"/>
      <c r="CTU88" s="790"/>
      <c r="CTV88" s="790"/>
      <c r="CTW88" s="790"/>
      <c r="CTX88" s="790"/>
      <c r="CTY88" s="790"/>
      <c r="CTZ88" s="790"/>
      <c r="CUA88" s="790"/>
      <c r="CUB88" s="790"/>
      <c r="CUC88" s="790"/>
      <c r="CUD88" s="790"/>
      <c r="CUE88" s="790"/>
      <c r="CUF88" s="790"/>
      <c r="CUG88" s="790"/>
      <c r="CUH88" s="790"/>
      <c r="CUI88" s="790"/>
      <c r="CUJ88" s="790"/>
      <c r="CUK88" s="790"/>
      <c r="CUL88" s="790"/>
      <c r="CUM88" s="790"/>
      <c r="CUN88" s="790"/>
      <c r="CUO88" s="790"/>
      <c r="CUP88" s="790"/>
      <c r="CUQ88" s="790"/>
      <c r="CUR88" s="790"/>
      <c r="CUS88" s="790"/>
      <c r="CUT88" s="790"/>
      <c r="CUU88" s="790"/>
      <c r="CUV88" s="790"/>
      <c r="CUW88" s="790"/>
      <c r="CUX88" s="790"/>
      <c r="CUY88" s="790"/>
      <c r="CUZ88" s="790"/>
      <c r="CVA88" s="790"/>
      <c r="CVB88" s="790"/>
      <c r="CVC88" s="790"/>
      <c r="CVD88" s="790"/>
      <c r="CVE88" s="790"/>
      <c r="CVF88" s="790"/>
      <c r="CVG88" s="790"/>
      <c r="CVH88" s="790"/>
      <c r="CVI88" s="790"/>
      <c r="CVJ88" s="790"/>
      <c r="CVK88" s="790"/>
      <c r="CVL88" s="790"/>
      <c r="CVM88" s="790"/>
      <c r="CVN88" s="790"/>
      <c r="CVO88" s="790"/>
      <c r="CVP88" s="790"/>
      <c r="CVQ88" s="790"/>
      <c r="CVR88" s="790"/>
      <c r="CVS88" s="790"/>
      <c r="CVT88" s="790"/>
      <c r="CVU88" s="790"/>
      <c r="CVV88" s="790"/>
      <c r="CVW88" s="790"/>
      <c r="CVX88" s="790"/>
      <c r="CVY88" s="790"/>
      <c r="CVZ88" s="790"/>
      <c r="CWA88" s="790"/>
      <c r="CWB88" s="790"/>
      <c r="CWC88" s="790"/>
      <c r="CWD88" s="790"/>
      <c r="CWE88" s="790"/>
      <c r="CWF88" s="790"/>
      <c r="CWG88" s="790"/>
      <c r="CWH88" s="790"/>
      <c r="CWI88" s="790"/>
      <c r="CWJ88" s="790"/>
      <c r="CWK88" s="790"/>
      <c r="CWL88" s="790"/>
      <c r="CWM88" s="790"/>
      <c r="CWN88" s="790"/>
      <c r="CWO88" s="790"/>
      <c r="CWP88" s="790"/>
      <c r="CWQ88" s="790"/>
      <c r="CWR88" s="790"/>
      <c r="CWS88" s="790"/>
      <c r="CWT88" s="790"/>
      <c r="CWU88" s="790"/>
      <c r="CWV88" s="790"/>
      <c r="CWW88" s="790"/>
      <c r="CWX88" s="790"/>
      <c r="CWY88" s="790"/>
      <c r="CWZ88" s="790"/>
      <c r="CXA88" s="790"/>
      <c r="CXB88" s="790"/>
      <c r="CXC88" s="790"/>
      <c r="CXD88" s="790"/>
      <c r="CXE88" s="790"/>
      <c r="CXF88" s="790"/>
      <c r="CXG88" s="790"/>
      <c r="CXH88" s="790"/>
      <c r="CXI88" s="790"/>
      <c r="CXJ88" s="790"/>
      <c r="CXK88" s="790"/>
      <c r="CXL88" s="790"/>
      <c r="CXM88" s="790"/>
      <c r="CXN88" s="790"/>
      <c r="CXO88" s="790"/>
      <c r="CXP88" s="790"/>
      <c r="CXQ88" s="790"/>
      <c r="CXR88" s="790"/>
      <c r="CXS88" s="790"/>
      <c r="CXT88" s="790"/>
      <c r="CXU88" s="790"/>
      <c r="CXV88" s="790"/>
      <c r="CXW88" s="790"/>
      <c r="CXX88" s="790"/>
      <c r="CXY88" s="790"/>
      <c r="CXZ88" s="790"/>
      <c r="CYA88" s="790"/>
      <c r="CYB88" s="790"/>
      <c r="CYC88" s="790"/>
      <c r="CYD88" s="790"/>
      <c r="CYE88" s="790"/>
      <c r="CYF88" s="790"/>
      <c r="CYG88" s="790"/>
      <c r="CYH88" s="790"/>
      <c r="CYI88" s="790"/>
      <c r="CYJ88" s="790"/>
      <c r="CYK88" s="790"/>
      <c r="CYL88" s="790"/>
      <c r="CYM88" s="790"/>
      <c r="CYN88" s="790"/>
      <c r="CYO88" s="790"/>
      <c r="CYP88" s="790"/>
      <c r="CYQ88" s="790"/>
      <c r="CYR88" s="790"/>
      <c r="CYS88" s="790"/>
      <c r="CYT88" s="790"/>
      <c r="CYU88" s="790"/>
      <c r="CYV88" s="790"/>
      <c r="CYW88" s="790"/>
      <c r="CYX88" s="790"/>
      <c r="CYY88" s="790"/>
      <c r="CYZ88" s="790"/>
      <c r="CZA88" s="790"/>
      <c r="CZB88" s="790"/>
      <c r="CZC88" s="790"/>
      <c r="CZD88" s="790"/>
      <c r="CZE88" s="790"/>
      <c r="CZF88" s="790"/>
      <c r="CZG88" s="790"/>
      <c r="CZH88" s="790"/>
      <c r="CZI88" s="790"/>
      <c r="CZJ88" s="790"/>
      <c r="CZK88" s="790"/>
      <c r="CZL88" s="790"/>
      <c r="CZM88" s="790"/>
      <c r="CZN88" s="790"/>
      <c r="CZO88" s="790"/>
      <c r="CZP88" s="790"/>
      <c r="CZQ88" s="790"/>
      <c r="CZR88" s="790"/>
      <c r="CZS88" s="790"/>
      <c r="CZT88" s="790"/>
      <c r="CZU88" s="790"/>
      <c r="CZV88" s="790"/>
      <c r="CZW88" s="790"/>
      <c r="CZX88" s="790"/>
      <c r="CZY88" s="790"/>
      <c r="CZZ88" s="790"/>
      <c r="DAA88" s="790"/>
      <c r="DAB88" s="790"/>
      <c r="DAC88" s="790"/>
      <c r="DAD88" s="790"/>
      <c r="DAE88" s="790"/>
      <c r="DAF88" s="790"/>
      <c r="DAG88" s="790"/>
      <c r="DAH88" s="790"/>
      <c r="DAI88" s="790"/>
      <c r="DAJ88" s="790"/>
      <c r="DAK88" s="790"/>
      <c r="DAL88" s="790"/>
      <c r="DAM88" s="790"/>
      <c r="DAN88" s="790"/>
      <c r="DAO88" s="790"/>
      <c r="DAP88" s="790"/>
      <c r="DAQ88" s="790"/>
      <c r="DAR88" s="790"/>
      <c r="DAS88" s="790"/>
      <c r="DAT88" s="790"/>
      <c r="DAU88" s="790"/>
      <c r="DAV88" s="790"/>
      <c r="DAW88" s="790"/>
      <c r="DAX88" s="790"/>
      <c r="DAY88" s="790"/>
      <c r="DAZ88" s="790"/>
      <c r="DBA88" s="790"/>
      <c r="DBB88" s="790"/>
      <c r="DBC88" s="790"/>
      <c r="DBD88" s="790"/>
      <c r="DBE88" s="790"/>
      <c r="DBF88" s="790"/>
      <c r="DBG88" s="790"/>
      <c r="DBH88" s="790"/>
      <c r="DBI88" s="790"/>
      <c r="DBJ88" s="790"/>
      <c r="DBK88" s="790"/>
      <c r="DBL88" s="790"/>
      <c r="DBM88" s="790"/>
      <c r="DBN88" s="790"/>
      <c r="DBO88" s="790"/>
      <c r="DBP88" s="790"/>
      <c r="DBQ88" s="790"/>
      <c r="DBR88" s="790"/>
      <c r="DBS88" s="790"/>
      <c r="DBT88" s="790"/>
      <c r="DBU88" s="790"/>
      <c r="DBV88" s="790"/>
      <c r="DBW88" s="790"/>
      <c r="DBX88" s="790"/>
      <c r="DBY88" s="790"/>
      <c r="DBZ88" s="790"/>
      <c r="DCA88" s="790"/>
      <c r="DCB88" s="790"/>
      <c r="DCC88" s="790"/>
      <c r="DCD88" s="790"/>
      <c r="DCE88" s="790"/>
      <c r="DCF88" s="790"/>
      <c r="DCG88" s="790"/>
      <c r="DCH88" s="790"/>
      <c r="DCI88" s="790"/>
      <c r="DCJ88" s="790"/>
      <c r="DCK88" s="790"/>
      <c r="DCL88" s="790"/>
      <c r="DCM88" s="790"/>
      <c r="DCN88" s="790"/>
      <c r="DCO88" s="790"/>
      <c r="DCP88" s="790"/>
      <c r="DCQ88" s="790"/>
      <c r="DCR88" s="790"/>
      <c r="DCS88" s="790"/>
      <c r="DCT88" s="790"/>
      <c r="DCU88" s="790"/>
      <c r="DCV88" s="790"/>
      <c r="DCW88" s="790"/>
      <c r="DCX88" s="790"/>
      <c r="DCY88" s="790"/>
      <c r="DCZ88" s="790"/>
      <c r="DDA88" s="790"/>
      <c r="DDB88" s="790"/>
      <c r="DDC88" s="790"/>
      <c r="DDD88" s="790"/>
      <c r="DDE88" s="790"/>
      <c r="DDF88" s="790"/>
      <c r="DDG88" s="790"/>
      <c r="DDH88" s="790"/>
      <c r="DDI88" s="790"/>
      <c r="DDJ88" s="790"/>
      <c r="DDK88" s="790"/>
      <c r="DDL88" s="790"/>
      <c r="DDM88" s="790"/>
      <c r="DDN88" s="790"/>
      <c r="DDO88" s="790"/>
      <c r="DDP88" s="790"/>
      <c r="DDQ88" s="790"/>
      <c r="DDR88" s="790"/>
      <c r="DDS88" s="790"/>
      <c r="DDT88" s="790"/>
      <c r="DDU88" s="790"/>
      <c r="DDV88" s="790"/>
      <c r="DDW88" s="790"/>
      <c r="DDX88" s="790"/>
      <c r="DDY88" s="790"/>
      <c r="DDZ88" s="790"/>
      <c r="DEA88" s="790"/>
      <c r="DEB88" s="790"/>
      <c r="DEC88" s="790"/>
      <c r="DED88" s="790"/>
      <c r="DEE88" s="790"/>
      <c r="DEF88" s="790"/>
      <c r="DEG88" s="790"/>
      <c r="DEH88" s="790"/>
      <c r="DEI88" s="790"/>
      <c r="DEJ88" s="790"/>
      <c r="DEK88" s="790"/>
      <c r="DEL88" s="790"/>
      <c r="DEM88" s="790"/>
      <c r="DEN88" s="790"/>
      <c r="DEO88" s="790"/>
      <c r="DEP88" s="790"/>
      <c r="DEQ88" s="790"/>
      <c r="DER88" s="790"/>
      <c r="DES88" s="790"/>
      <c r="DET88" s="790"/>
      <c r="DEU88" s="790"/>
      <c r="DEV88" s="790"/>
      <c r="DEW88" s="790"/>
      <c r="DEX88" s="790"/>
      <c r="DEY88" s="790"/>
      <c r="DEZ88" s="790"/>
      <c r="DFA88" s="790"/>
      <c r="DFB88" s="790"/>
      <c r="DFC88" s="790"/>
      <c r="DFD88" s="790"/>
      <c r="DFE88" s="790"/>
      <c r="DFF88" s="790"/>
      <c r="DFG88" s="790"/>
      <c r="DFH88" s="790"/>
      <c r="DFI88" s="790"/>
      <c r="DFJ88" s="790"/>
      <c r="DFK88" s="790"/>
      <c r="DFL88" s="790"/>
      <c r="DFM88" s="790"/>
      <c r="DFN88" s="790"/>
      <c r="DFO88" s="790"/>
      <c r="DFP88" s="790"/>
      <c r="DFQ88" s="790"/>
      <c r="DFR88" s="790"/>
      <c r="DFS88" s="790"/>
      <c r="DFT88" s="790"/>
      <c r="DFU88" s="790"/>
      <c r="DFV88" s="790"/>
      <c r="DFW88" s="790"/>
      <c r="DFX88" s="790"/>
      <c r="DFY88" s="790"/>
      <c r="DFZ88" s="790"/>
      <c r="DGA88" s="790"/>
      <c r="DGB88" s="790"/>
      <c r="DGC88" s="790"/>
      <c r="DGD88" s="790"/>
      <c r="DGE88" s="790"/>
      <c r="DGF88" s="790"/>
      <c r="DGG88" s="790"/>
      <c r="DGH88" s="790"/>
      <c r="DGI88" s="790"/>
      <c r="DGJ88" s="790"/>
      <c r="DGK88" s="790"/>
      <c r="DGL88" s="790"/>
      <c r="DGM88" s="790"/>
      <c r="DGN88" s="790"/>
      <c r="DGO88" s="790"/>
      <c r="DGP88" s="790"/>
      <c r="DGQ88" s="790"/>
      <c r="DGR88" s="790"/>
      <c r="DGS88" s="790"/>
      <c r="DGT88" s="790"/>
      <c r="DGU88" s="790"/>
      <c r="DGV88" s="790"/>
      <c r="DGW88" s="790"/>
      <c r="DGX88" s="790"/>
      <c r="DGY88" s="790"/>
      <c r="DGZ88" s="790"/>
      <c r="DHA88" s="790"/>
      <c r="DHB88" s="790"/>
      <c r="DHC88" s="790"/>
      <c r="DHD88" s="790"/>
      <c r="DHE88" s="790"/>
      <c r="DHF88" s="790"/>
      <c r="DHG88" s="790"/>
      <c r="DHH88" s="790"/>
      <c r="DHI88" s="790"/>
      <c r="DHJ88" s="790"/>
      <c r="DHK88" s="790"/>
      <c r="DHL88" s="790"/>
      <c r="DHM88" s="790"/>
      <c r="DHN88" s="790"/>
      <c r="DHO88" s="790"/>
      <c r="DHP88" s="790"/>
      <c r="DHQ88" s="790"/>
      <c r="DHR88" s="790"/>
      <c r="DHS88" s="790"/>
      <c r="DHT88" s="790"/>
      <c r="DHU88" s="790"/>
      <c r="DHV88" s="790"/>
      <c r="DHW88" s="790"/>
      <c r="DHX88" s="790"/>
      <c r="DHY88" s="790"/>
      <c r="DHZ88" s="790"/>
      <c r="DIA88" s="790"/>
      <c r="DIB88" s="790"/>
      <c r="DIC88" s="790"/>
      <c r="DID88" s="790"/>
      <c r="DIE88" s="790"/>
      <c r="DIF88" s="790"/>
      <c r="DIG88" s="790"/>
      <c r="DIH88" s="790"/>
      <c r="DII88" s="790"/>
      <c r="DIJ88" s="790"/>
      <c r="DIK88" s="790"/>
      <c r="DIL88" s="790"/>
      <c r="DIM88" s="790"/>
      <c r="DIN88" s="790"/>
      <c r="DIO88" s="790"/>
      <c r="DIP88" s="790"/>
      <c r="DIQ88" s="790"/>
      <c r="DIR88" s="790"/>
      <c r="DIS88" s="790"/>
      <c r="DIT88" s="790"/>
      <c r="DIU88" s="790"/>
      <c r="DIV88" s="790"/>
      <c r="DIW88" s="790"/>
      <c r="DIX88" s="790"/>
      <c r="DIY88" s="790"/>
      <c r="DIZ88" s="790"/>
      <c r="DJA88" s="790"/>
      <c r="DJB88" s="790"/>
      <c r="DJC88" s="790"/>
      <c r="DJD88" s="790"/>
      <c r="DJE88" s="790"/>
      <c r="DJF88" s="790"/>
      <c r="DJG88" s="790"/>
      <c r="DJH88" s="790"/>
      <c r="DJI88" s="790"/>
      <c r="DJJ88" s="790"/>
      <c r="DJK88" s="790"/>
      <c r="DJL88" s="790"/>
      <c r="DJM88" s="790"/>
      <c r="DJN88" s="790"/>
      <c r="DJO88" s="790"/>
      <c r="DJP88" s="790"/>
      <c r="DJQ88" s="790"/>
      <c r="DJR88" s="790"/>
      <c r="DJS88" s="790"/>
      <c r="DJT88" s="790"/>
      <c r="DJU88" s="790"/>
      <c r="DJV88" s="790"/>
      <c r="DJW88" s="790"/>
      <c r="DJX88" s="790"/>
      <c r="DJY88" s="790"/>
      <c r="DJZ88" s="790"/>
      <c r="DKA88" s="790"/>
      <c r="DKB88" s="790"/>
      <c r="DKC88" s="790"/>
      <c r="DKD88" s="790"/>
      <c r="DKE88" s="790"/>
      <c r="DKF88" s="790"/>
      <c r="DKG88" s="790"/>
      <c r="DKH88" s="790"/>
      <c r="DKI88" s="790"/>
      <c r="DKJ88" s="790"/>
      <c r="DKK88" s="790"/>
      <c r="DKL88" s="790"/>
      <c r="DKM88" s="790"/>
      <c r="DKN88" s="790"/>
      <c r="DKO88" s="790"/>
      <c r="DKP88" s="790"/>
      <c r="DKQ88" s="790"/>
      <c r="DKR88" s="790"/>
      <c r="DKS88" s="790"/>
      <c r="DKT88" s="790"/>
      <c r="DKU88" s="790"/>
      <c r="DKV88" s="790"/>
      <c r="DKW88" s="790"/>
      <c r="DKX88" s="790"/>
      <c r="DKY88" s="790"/>
      <c r="DKZ88" s="790"/>
      <c r="DLA88" s="790"/>
      <c r="DLB88" s="790"/>
      <c r="DLC88" s="790"/>
      <c r="DLD88" s="790"/>
      <c r="DLE88" s="790"/>
      <c r="DLF88" s="790"/>
      <c r="DLG88" s="790"/>
      <c r="DLH88" s="790"/>
      <c r="DLI88" s="790"/>
      <c r="DLJ88" s="790"/>
      <c r="DLK88" s="790"/>
      <c r="DLL88" s="790"/>
      <c r="DLM88" s="790"/>
      <c r="DLN88" s="790"/>
      <c r="DLO88" s="790"/>
      <c r="DLP88" s="790"/>
      <c r="DLQ88" s="790"/>
      <c r="DLR88" s="790"/>
      <c r="DLS88" s="790"/>
      <c r="DLT88" s="790"/>
      <c r="DLU88" s="790"/>
      <c r="DLV88" s="790"/>
      <c r="DLW88" s="790"/>
      <c r="DLX88" s="790"/>
      <c r="DLY88" s="790"/>
      <c r="DLZ88" s="790"/>
      <c r="DMA88" s="790"/>
      <c r="DMB88" s="790"/>
      <c r="DMC88" s="790"/>
      <c r="DMD88" s="790"/>
      <c r="DME88" s="790"/>
      <c r="DMF88" s="790"/>
      <c r="DMG88" s="790"/>
      <c r="DMH88" s="790"/>
      <c r="DMI88" s="790"/>
      <c r="DMJ88" s="790"/>
      <c r="DMK88" s="790"/>
      <c r="DML88" s="790"/>
      <c r="DMM88" s="790"/>
      <c r="DMN88" s="790"/>
      <c r="DMO88" s="790"/>
      <c r="DMP88" s="790"/>
      <c r="DMQ88" s="790"/>
      <c r="DMR88" s="790"/>
      <c r="DMS88" s="790"/>
      <c r="DMT88" s="790"/>
      <c r="DMU88" s="790"/>
      <c r="DMV88" s="790"/>
      <c r="DMW88" s="790"/>
      <c r="DMX88" s="790"/>
      <c r="DMY88" s="790"/>
      <c r="DMZ88" s="790"/>
      <c r="DNA88" s="790"/>
      <c r="DNB88" s="790"/>
      <c r="DNC88" s="790"/>
      <c r="DND88" s="790"/>
      <c r="DNE88" s="790"/>
      <c r="DNF88" s="790"/>
      <c r="DNG88" s="790"/>
      <c r="DNH88" s="790"/>
      <c r="DNI88" s="790"/>
      <c r="DNJ88" s="790"/>
      <c r="DNK88" s="790"/>
      <c r="DNL88" s="790"/>
      <c r="DNM88" s="790"/>
      <c r="DNN88" s="790"/>
      <c r="DNO88" s="790"/>
      <c r="DNP88" s="790"/>
      <c r="DNQ88" s="790"/>
      <c r="DNR88" s="790"/>
      <c r="DNS88" s="790"/>
      <c r="DNT88" s="790"/>
      <c r="DNU88" s="790"/>
      <c r="DNV88" s="790"/>
      <c r="DNW88" s="790"/>
      <c r="DNX88" s="790"/>
      <c r="DNY88" s="790"/>
      <c r="DNZ88" s="790"/>
      <c r="DOA88" s="790"/>
      <c r="DOB88" s="790"/>
      <c r="DOC88" s="790"/>
      <c r="DOD88" s="790"/>
      <c r="DOE88" s="790"/>
      <c r="DOF88" s="790"/>
      <c r="DOG88" s="790"/>
      <c r="DOH88" s="790"/>
      <c r="DOI88" s="790"/>
      <c r="DOJ88" s="790"/>
      <c r="DOK88" s="790"/>
      <c r="DOL88" s="790"/>
      <c r="DOM88" s="790"/>
      <c r="DON88" s="790"/>
      <c r="DOO88" s="790"/>
      <c r="DOP88" s="790"/>
      <c r="DOQ88" s="790"/>
      <c r="DOR88" s="790"/>
      <c r="DOS88" s="790"/>
      <c r="DOT88" s="790"/>
      <c r="DOU88" s="790"/>
      <c r="DOV88" s="790"/>
      <c r="DOW88" s="790"/>
      <c r="DOX88" s="790"/>
      <c r="DOY88" s="790"/>
      <c r="DOZ88" s="790"/>
      <c r="DPA88" s="790"/>
      <c r="DPB88" s="790"/>
      <c r="DPC88" s="790"/>
      <c r="DPD88" s="790"/>
      <c r="DPE88" s="790"/>
      <c r="DPF88" s="790"/>
      <c r="DPG88" s="790"/>
      <c r="DPH88" s="790"/>
      <c r="DPI88" s="790"/>
      <c r="DPJ88" s="790"/>
      <c r="DPK88" s="790"/>
      <c r="DPL88" s="790"/>
      <c r="DPM88" s="790"/>
      <c r="DPN88" s="790"/>
      <c r="DPO88" s="790"/>
      <c r="DPP88" s="790"/>
      <c r="DPQ88" s="790"/>
      <c r="DPR88" s="790"/>
      <c r="DPS88" s="790"/>
      <c r="DPT88" s="790"/>
      <c r="DPU88" s="790"/>
      <c r="DPV88" s="790"/>
      <c r="DPW88" s="790"/>
      <c r="DPX88" s="790"/>
      <c r="DPY88" s="790"/>
      <c r="DPZ88" s="790"/>
      <c r="DQA88" s="790"/>
      <c r="DQB88" s="790"/>
      <c r="DQC88" s="790"/>
      <c r="DQD88" s="790"/>
      <c r="DQE88" s="790"/>
      <c r="DQF88" s="790"/>
      <c r="DQG88" s="790"/>
      <c r="DQH88" s="790"/>
      <c r="DQI88" s="790"/>
      <c r="DQJ88" s="790"/>
      <c r="DQK88" s="790"/>
      <c r="DQL88" s="790"/>
      <c r="DQM88" s="790"/>
      <c r="DQN88" s="790"/>
      <c r="DQO88" s="790"/>
      <c r="DQP88" s="790"/>
      <c r="DQQ88" s="790"/>
      <c r="DQR88" s="790"/>
      <c r="DQS88" s="790"/>
      <c r="DQT88" s="790"/>
      <c r="DQU88" s="790"/>
      <c r="DQV88" s="790"/>
      <c r="DQW88" s="790"/>
      <c r="DQX88" s="790"/>
      <c r="DQY88" s="790"/>
      <c r="DQZ88" s="790"/>
      <c r="DRA88" s="790"/>
      <c r="DRB88" s="790"/>
      <c r="DRC88" s="790"/>
      <c r="DRD88" s="790"/>
      <c r="DRE88" s="790"/>
      <c r="DRF88" s="790"/>
      <c r="DRG88" s="790"/>
      <c r="DRH88" s="790"/>
      <c r="DRI88" s="790"/>
      <c r="DRJ88" s="790"/>
      <c r="DRK88" s="790"/>
      <c r="DRL88" s="790"/>
      <c r="DRM88" s="790"/>
      <c r="DRN88" s="790"/>
      <c r="DRO88" s="790"/>
      <c r="DRP88" s="790"/>
      <c r="DRQ88" s="790"/>
      <c r="DRR88" s="790"/>
      <c r="DRS88" s="790"/>
      <c r="DRT88" s="790"/>
      <c r="DRU88" s="790"/>
      <c r="DRV88" s="790"/>
      <c r="DRW88" s="790"/>
      <c r="DRX88" s="790"/>
      <c r="DRY88" s="790"/>
      <c r="DRZ88" s="790"/>
      <c r="DSA88" s="790"/>
      <c r="DSB88" s="790"/>
      <c r="DSC88" s="790"/>
      <c r="DSD88" s="790"/>
      <c r="DSE88" s="790"/>
      <c r="DSF88" s="790"/>
      <c r="DSG88" s="790"/>
      <c r="DSH88" s="790"/>
      <c r="DSI88" s="790"/>
      <c r="DSJ88" s="790"/>
      <c r="DSK88" s="790"/>
      <c r="DSL88" s="790"/>
      <c r="DSM88" s="790"/>
      <c r="DSN88" s="790"/>
      <c r="DSO88" s="790"/>
      <c r="DSP88" s="790"/>
      <c r="DSQ88" s="790"/>
      <c r="DSR88" s="790"/>
      <c r="DSS88" s="790"/>
      <c r="DST88" s="790"/>
      <c r="DSU88" s="790"/>
      <c r="DSV88" s="790"/>
      <c r="DSW88" s="790"/>
      <c r="DSX88" s="790"/>
      <c r="DSY88" s="790"/>
      <c r="DSZ88" s="790"/>
      <c r="DTA88" s="790"/>
      <c r="DTB88" s="790"/>
      <c r="DTC88" s="790"/>
      <c r="DTD88" s="790"/>
      <c r="DTE88" s="790"/>
      <c r="DTF88" s="790"/>
      <c r="DTG88" s="790"/>
      <c r="DTH88" s="790"/>
      <c r="DTI88" s="790"/>
      <c r="DTJ88" s="790"/>
      <c r="DTK88" s="790"/>
      <c r="DTL88" s="790"/>
      <c r="DTM88" s="790"/>
      <c r="DTN88" s="790"/>
      <c r="DTO88" s="790"/>
      <c r="DTP88" s="790"/>
      <c r="DTQ88" s="790"/>
      <c r="DTR88" s="790"/>
      <c r="DTS88" s="790"/>
      <c r="DTT88" s="790"/>
      <c r="DTU88" s="790"/>
      <c r="DTV88" s="790"/>
      <c r="DTW88" s="790"/>
      <c r="DTX88" s="790"/>
      <c r="DTY88" s="790"/>
      <c r="DTZ88" s="790"/>
      <c r="DUA88" s="790"/>
      <c r="DUB88" s="790"/>
      <c r="DUC88" s="790"/>
      <c r="DUD88" s="790"/>
      <c r="DUE88" s="790"/>
      <c r="DUF88" s="790"/>
      <c r="DUG88" s="790"/>
      <c r="DUH88" s="790"/>
      <c r="DUI88" s="790"/>
      <c r="DUJ88" s="790"/>
      <c r="DUK88" s="790"/>
      <c r="DUL88" s="790"/>
      <c r="DUM88" s="790"/>
      <c r="DUN88" s="790"/>
      <c r="DUO88" s="790"/>
      <c r="DUP88" s="790"/>
      <c r="DUQ88" s="790"/>
      <c r="DUR88" s="790"/>
      <c r="DUS88" s="790"/>
      <c r="DUT88" s="790"/>
      <c r="DUU88" s="790"/>
      <c r="DUV88" s="790"/>
      <c r="DUW88" s="790"/>
      <c r="DUX88" s="790"/>
      <c r="DUY88" s="790"/>
      <c r="DUZ88" s="790"/>
      <c r="DVA88" s="790"/>
      <c r="DVB88" s="790"/>
      <c r="DVC88" s="790"/>
      <c r="DVD88" s="790"/>
      <c r="DVE88" s="790"/>
      <c r="DVF88" s="790"/>
      <c r="DVG88" s="790"/>
      <c r="DVH88" s="790"/>
      <c r="DVI88" s="790"/>
      <c r="DVJ88" s="790"/>
      <c r="DVK88" s="790"/>
      <c r="DVL88" s="790"/>
      <c r="DVM88" s="790"/>
      <c r="DVN88" s="790"/>
      <c r="DVO88" s="790"/>
      <c r="DVP88" s="790"/>
      <c r="DVQ88" s="790"/>
      <c r="DVR88" s="790"/>
      <c r="DVS88" s="790"/>
      <c r="DVT88" s="790"/>
      <c r="DVU88" s="790"/>
      <c r="DVV88" s="790"/>
      <c r="DVW88" s="790"/>
      <c r="DVX88" s="790"/>
      <c r="DVY88" s="790"/>
      <c r="DVZ88" s="790"/>
      <c r="DWA88" s="790"/>
      <c r="DWB88" s="790"/>
      <c r="DWC88" s="790"/>
      <c r="DWD88" s="790"/>
      <c r="DWE88" s="790"/>
      <c r="DWF88" s="790"/>
      <c r="DWG88" s="790"/>
      <c r="DWH88" s="790"/>
      <c r="DWI88" s="790"/>
      <c r="DWJ88" s="790"/>
      <c r="DWK88" s="790"/>
      <c r="DWL88" s="790"/>
      <c r="DWM88" s="790"/>
      <c r="DWN88" s="790"/>
      <c r="DWO88" s="790"/>
      <c r="DWP88" s="790"/>
      <c r="DWQ88" s="790"/>
      <c r="DWR88" s="790"/>
      <c r="DWS88" s="790"/>
      <c r="DWT88" s="790"/>
      <c r="DWU88" s="790"/>
      <c r="DWV88" s="790"/>
      <c r="DWW88" s="790"/>
      <c r="DWX88" s="790"/>
      <c r="DWY88" s="790"/>
      <c r="DWZ88" s="790"/>
      <c r="DXA88" s="790"/>
      <c r="DXB88" s="790"/>
      <c r="DXC88" s="790"/>
      <c r="DXD88" s="790"/>
      <c r="DXE88" s="790"/>
      <c r="DXF88" s="790"/>
      <c r="DXG88" s="790"/>
      <c r="DXH88" s="790"/>
      <c r="DXI88" s="790"/>
      <c r="DXJ88" s="790"/>
      <c r="DXK88" s="790"/>
      <c r="DXL88" s="790"/>
      <c r="DXM88" s="790"/>
      <c r="DXN88" s="790"/>
      <c r="DXO88" s="790"/>
      <c r="DXP88" s="790"/>
      <c r="DXQ88" s="790"/>
      <c r="DXR88" s="790"/>
      <c r="DXS88" s="790"/>
      <c r="DXT88" s="790"/>
      <c r="DXU88" s="790"/>
      <c r="DXV88" s="790"/>
      <c r="DXW88" s="790"/>
      <c r="DXX88" s="790"/>
      <c r="DXY88" s="790"/>
      <c r="DXZ88" s="790"/>
      <c r="DYA88" s="790"/>
      <c r="DYB88" s="790"/>
      <c r="DYC88" s="790"/>
      <c r="DYD88" s="790"/>
      <c r="DYE88" s="790"/>
      <c r="DYF88" s="790"/>
      <c r="DYG88" s="790"/>
      <c r="DYH88" s="790"/>
      <c r="DYI88" s="790"/>
      <c r="DYJ88" s="790"/>
      <c r="DYK88" s="790"/>
      <c r="DYL88" s="790"/>
      <c r="DYM88" s="790"/>
      <c r="DYN88" s="790"/>
      <c r="DYO88" s="790"/>
      <c r="DYP88" s="790"/>
      <c r="DYQ88" s="790"/>
      <c r="DYR88" s="790"/>
      <c r="DYS88" s="790"/>
      <c r="DYT88" s="790"/>
      <c r="DYU88" s="790"/>
      <c r="DYV88" s="790"/>
      <c r="DYW88" s="790"/>
      <c r="DYX88" s="790"/>
      <c r="DYY88" s="790"/>
      <c r="DYZ88" s="790"/>
      <c r="DZA88" s="790"/>
      <c r="DZB88" s="790"/>
      <c r="DZC88" s="790"/>
      <c r="DZD88" s="790"/>
      <c r="DZE88" s="790"/>
      <c r="DZF88" s="790"/>
      <c r="DZG88" s="790"/>
      <c r="DZH88" s="790"/>
      <c r="DZI88" s="790"/>
      <c r="DZJ88" s="790"/>
      <c r="DZK88" s="790"/>
      <c r="DZL88" s="790"/>
      <c r="DZM88" s="790"/>
      <c r="DZN88" s="790"/>
      <c r="DZO88" s="790"/>
      <c r="DZP88" s="790"/>
      <c r="DZQ88" s="790"/>
      <c r="DZR88" s="790"/>
      <c r="DZS88" s="790"/>
      <c r="DZT88" s="790"/>
      <c r="DZU88" s="790"/>
      <c r="DZV88" s="790"/>
      <c r="DZW88" s="790"/>
      <c r="DZX88" s="790"/>
      <c r="DZY88" s="790"/>
      <c r="DZZ88" s="790"/>
      <c r="EAA88" s="790"/>
      <c r="EAB88" s="790"/>
      <c r="EAC88" s="790"/>
      <c r="EAD88" s="790"/>
      <c r="EAE88" s="790"/>
      <c r="EAF88" s="790"/>
      <c r="EAG88" s="790"/>
      <c r="EAH88" s="790"/>
      <c r="EAI88" s="790"/>
      <c r="EAJ88" s="790"/>
      <c r="EAK88" s="790"/>
      <c r="EAL88" s="790"/>
      <c r="EAM88" s="790"/>
      <c r="EAN88" s="790"/>
      <c r="EAO88" s="790"/>
      <c r="EAP88" s="790"/>
      <c r="EAQ88" s="790"/>
      <c r="EAR88" s="790"/>
      <c r="EAS88" s="790"/>
      <c r="EAT88" s="790"/>
      <c r="EAU88" s="790"/>
      <c r="EAV88" s="790"/>
      <c r="EAW88" s="790"/>
      <c r="EAX88" s="790"/>
      <c r="EAY88" s="790"/>
      <c r="EAZ88" s="790"/>
      <c r="EBA88" s="790"/>
      <c r="EBB88" s="790"/>
      <c r="EBC88" s="790"/>
      <c r="EBD88" s="790"/>
      <c r="EBE88" s="790"/>
      <c r="EBF88" s="790"/>
      <c r="EBG88" s="790"/>
      <c r="EBH88" s="790"/>
      <c r="EBI88" s="790"/>
      <c r="EBJ88" s="790"/>
      <c r="EBK88" s="790"/>
      <c r="EBL88" s="790"/>
      <c r="EBM88" s="790"/>
      <c r="EBN88" s="790"/>
      <c r="EBO88" s="790"/>
      <c r="EBP88" s="790"/>
      <c r="EBQ88" s="790"/>
      <c r="EBR88" s="790"/>
      <c r="EBS88" s="790"/>
      <c r="EBT88" s="790"/>
      <c r="EBU88" s="790"/>
      <c r="EBV88" s="790"/>
      <c r="EBW88" s="790"/>
      <c r="EBX88" s="790"/>
      <c r="EBY88" s="790"/>
      <c r="EBZ88" s="790"/>
      <c r="ECA88" s="790"/>
      <c r="ECB88" s="790"/>
      <c r="ECC88" s="790"/>
      <c r="ECD88" s="790"/>
      <c r="ECE88" s="790"/>
      <c r="ECF88" s="790"/>
      <c r="ECG88" s="790"/>
      <c r="ECH88" s="790"/>
      <c r="ECI88" s="790"/>
      <c r="ECJ88" s="790"/>
      <c r="ECK88" s="790"/>
      <c r="ECL88" s="790"/>
      <c r="ECM88" s="790"/>
      <c r="ECN88" s="790"/>
      <c r="ECO88" s="790"/>
      <c r="ECP88" s="790"/>
      <c r="ECQ88" s="790"/>
      <c r="ECR88" s="790"/>
      <c r="ECS88" s="790"/>
      <c r="ECT88" s="790"/>
      <c r="ECU88" s="790"/>
      <c r="ECV88" s="790"/>
      <c r="ECW88" s="790"/>
      <c r="ECX88" s="790"/>
      <c r="ECY88" s="790"/>
      <c r="ECZ88" s="790"/>
      <c r="EDA88" s="790"/>
      <c r="EDB88" s="790"/>
      <c r="EDC88" s="790"/>
      <c r="EDD88" s="790"/>
      <c r="EDE88" s="790"/>
      <c r="EDF88" s="790"/>
      <c r="EDG88" s="790"/>
      <c r="EDH88" s="790"/>
      <c r="EDI88" s="790"/>
      <c r="EDJ88" s="790"/>
      <c r="EDK88" s="790"/>
      <c r="EDL88" s="790"/>
      <c r="EDM88" s="790"/>
      <c r="EDN88" s="790"/>
      <c r="EDO88" s="790"/>
      <c r="EDP88" s="790"/>
      <c r="EDQ88" s="790"/>
      <c r="EDR88" s="790"/>
      <c r="EDS88" s="790"/>
      <c r="EDT88" s="790"/>
      <c r="EDU88" s="790"/>
      <c r="EDV88" s="790"/>
      <c r="EDW88" s="790"/>
      <c r="EDX88" s="790"/>
      <c r="EDY88" s="790"/>
      <c r="EDZ88" s="790"/>
      <c r="EEA88" s="790"/>
      <c r="EEB88" s="790"/>
      <c r="EEC88" s="790"/>
      <c r="EED88" s="790"/>
      <c r="EEE88" s="790"/>
      <c r="EEF88" s="790"/>
      <c r="EEG88" s="790"/>
      <c r="EEH88" s="790"/>
      <c r="EEI88" s="790"/>
      <c r="EEJ88" s="790"/>
      <c r="EEK88" s="790"/>
      <c r="EEL88" s="790"/>
      <c r="EEM88" s="790"/>
      <c r="EEN88" s="790"/>
      <c r="EEO88" s="790"/>
      <c r="EEP88" s="790"/>
      <c r="EEQ88" s="790"/>
      <c r="EER88" s="790"/>
      <c r="EES88" s="790"/>
      <c r="EET88" s="790"/>
      <c r="EEU88" s="790"/>
      <c r="EEV88" s="790"/>
      <c r="EEW88" s="790"/>
      <c r="EEX88" s="790"/>
      <c r="EEY88" s="790"/>
      <c r="EEZ88" s="790"/>
      <c r="EFA88" s="790"/>
      <c r="EFB88" s="790"/>
      <c r="EFC88" s="790"/>
      <c r="EFD88" s="790"/>
      <c r="EFE88" s="790"/>
      <c r="EFF88" s="790"/>
      <c r="EFG88" s="790"/>
      <c r="EFH88" s="790"/>
      <c r="EFI88" s="790"/>
      <c r="EFJ88" s="790"/>
      <c r="EFK88" s="790"/>
      <c r="EFL88" s="790"/>
      <c r="EFM88" s="790"/>
      <c r="EFN88" s="790"/>
      <c r="EFO88" s="790"/>
      <c r="EFP88" s="790"/>
      <c r="EFQ88" s="790"/>
      <c r="EFR88" s="790"/>
      <c r="EFS88" s="790"/>
      <c r="EFT88" s="790"/>
      <c r="EFU88" s="790"/>
      <c r="EFV88" s="790"/>
      <c r="EFW88" s="790"/>
      <c r="EFX88" s="790"/>
      <c r="EFY88" s="790"/>
      <c r="EFZ88" s="790"/>
      <c r="EGA88" s="790"/>
      <c r="EGB88" s="790"/>
      <c r="EGC88" s="790"/>
      <c r="EGD88" s="790"/>
      <c r="EGE88" s="790"/>
      <c r="EGF88" s="790"/>
      <c r="EGG88" s="790"/>
      <c r="EGH88" s="790"/>
      <c r="EGI88" s="790"/>
      <c r="EGJ88" s="790"/>
      <c r="EGK88" s="790"/>
      <c r="EGL88" s="790"/>
      <c r="EGM88" s="790"/>
      <c r="EGN88" s="790"/>
      <c r="EGO88" s="790"/>
      <c r="EGP88" s="790"/>
      <c r="EGQ88" s="790"/>
      <c r="EGR88" s="790"/>
      <c r="EGS88" s="790"/>
      <c r="EGT88" s="790"/>
      <c r="EGU88" s="790"/>
      <c r="EGV88" s="790"/>
      <c r="EGW88" s="790"/>
      <c r="EGX88" s="790"/>
      <c r="EGY88" s="790"/>
      <c r="EGZ88" s="790"/>
      <c r="EHA88" s="790"/>
      <c r="EHB88" s="790"/>
      <c r="EHC88" s="790"/>
      <c r="EHD88" s="790"/>
      <c r="EHE88" s="790"/>
      <c r="EHF88" s="790"/>
      <c r="EHG88" s="790"/>
      <c r="EHH88" s="790"/>
      <c r="EHI88" s="790"/>
      <c r="EHJ88" s="790"/>
      <c r="EHK88" s="790"/>
      <c r="EHL88" s="790"/>
      <c r="EHM88" s="790"/>
      <c r="EHN88" s="790"/>
      <c r="EHO88" s="790"/>
      <c r="EHP88" s="790"/>
      <c r="EHQ88" s="790"/>
      <c r="EHR88" s="790"/>
      <c r="EHS88" s="790"/>
      <c r="EHT88" s="790"/>
      <c r="EHU88" s="790"/>
      <c r="EHV88" s="790"/>
      <c r="EHW88" s="790"/>
      <c r="EHX88" s="790"/>
      <c r="EHY88" s="790"/>
      <c r="EHZ88" s="790"/>
      <c r="EIA88" s="790"/>
      <c r="EIB88" s="790"/>
      <c r="EIC88" s="790"/>
      <c r="EID88" s="790"/>
      <c r="EIE88" s="790"/>
      <c r="EIF88" s="790"/>
      <c r="EIG88" s="790"/>
      <c r="EIH88" s="790"/>
      <c r="EII88" s="790"/>
      <c r="EIJ88" s="790"/>
      <c r="EIK88" s="790"/>
      <c r="EIL88" s="790"/>
      <c r="EIM88" s="790"/>
      <c r="EIN88" s="790"/>
      <c r="EIO88" s="790"/>
      <c r="EIP88" s="790"/>
      <c r="EIQ88" s="790"/>
      <c r="EIR88" s="790"/>
      <c r="EIS88" s="790"/>
      <c r="EIT88" s="790"/>
      <c r="EIU88" s="790"/>
      <c r="EIV88" s="790"/>
      <c r="EIW88" s="790"/>
      <c r="EIX88" s="790"/>
      <c r="EIY88" s="790"/>
      <c r="EIZ88" s="790"/>
      <c r="EJA88" s="790"/>
      <c r="EJB88" s="790"/>
      <c r="EJC88" s="790"/>
      <c r="EJD88" s="790"/>
      <c r="EJE88" s="790"/>
      <c r="EJF88" s="790"/>
      <c r="EJG88" s="790"/>
      <c r="EJH88" s="790"/>
      <c r="EJI88" s="790"/>
      <c r="EJJ88" s="790"/>
      <c r="EJK88" s="790"/>
      <c r="EJL88" s="790"/>
      <c r="EJM88" s="790"/>
      <c r="EJN88" s="790"/>
      <c r="EJO88" s="790"/>
      <c r="EJP88" s="790"/>
      <c r="EJQ88" s="790"/>
      <c r="EJR88" s="790"/>
      <c r="EJS88" s="790"/>
      <c r="EJT88" s="790"/>
      <c r="EJU88" s="790"/>
      <c r="EJV88" s="790"/>
      <c r="EJW88" s="790"/>
      <c r="EJX88" s="790"/>
      <c r="EJY88" s="790"/>
      <c r="EJZ88" s="790"/>
      <c r="EKA88" s="790"/>
      <c r="EKB88" s="790"/>
      <c r="EKC88" s="790"/>
      <c r="EKD88" s="790"/>
      <c r="EKE88" s="790"/>
      <c r="EKF88" s="790"/>
      <c r="EKG88" s="790"/>
      <c r="EKH88" s="790"/>
      <c r="EKI88" s="790"/>
      <c r="EKJ88" s="790"/>
      <c r="EKK88" s="790"/>
      <c r="EKL88" s="790"/>
      <c r="EKM88" s="790"/>
      <c r="EKN88" s="790"/>
      <c r="EKO88" s="790"/>
      <c r="EKP88" s="790"/>
      <c r="EKQ88" s="790"/>
      <c r="EKR88" s="790"/>
      <c r="EKS88" s="790"/>
      <c r="EKT88" s="790"/>
      <c r="EKU88" s="790"/>
      <c r="EKV88" s="790"/>
      <c r="EKW88" s="790"/>
      <c r="EKX88" s="790"/>
      <c r="EKY88" s="790"/>
      <c r="EKZ88" s="790"/>
      <c r="ELA88" s="790"/>
      <c r="ELB88" s="790"/>
      <c r="ELC88" s="790"/>
      <c r="ELD88" s="790"/>
      <c r="ELE88" s="790"/>
      <c r="ELF88" s="790"/>
      <c r="ELG88" s="790"/>
      <c r="ELH88" s="790"/>
      <c r="ELI88" s="790"/>
      <c r="ELJ88" s="790"/>
      <c r="ELK88" s="790"/>
      <c r="ELL88" s="790"/>
      <c r="ELM88" s="790"/>
      <c r="ELN88" s="790"/>
      <c r="ELO88" s="790"/>
      <c r="ELP88" s="790"/>
      <c r="ELQ88" s="790"/>
      <c r="ELR88" s="790"/>
      <c r="ELS88" s="790"/>
      <c r="ELT88" s="790"/>
      <c r="ELU88" s="790"/>
      <c r="ELV88" s="790"/>
      <c r="ELW88" s="790"/>
      <c r="ELX88" s="790"/>
      <c r="ELY88" s="790"/>
      <c r="ELZ88" s="790"/>
      <c r="EMA88" s="790"/>
      <c r="EMB88" s="790"/>
      <c r="EMC88" s="790"/>
      <c r="EMD88" s="790"/>
      <c r="EME88" s="790"/>
      <c r="EMF88" s="790"/>
      <c r="EMG88" s="790"/>
      <c r="EMH88" s="790"/>
      <c r="EMI88" s="790"/>
      <c r="EMJ88" s="790"/>
      <c r="EMK88" s="790"/>
      <c r="EML88" s="790"/>
      <c r="EMM88" s="790"/>
      <c r="EMN88" s="790"/>
      <c r="EMO88" s="790"/>
      <c r="EMP88" s="790"/>
      <c r="EMQ88" s="790"/>
      <c r="EMR88" s="790"/>
      <c r="EMS88" s="790"/>
      <c r="EMT88" s="790"/>
      <c r="EMU88" s="790"/>
      <c r="EMV88" s="790"/>
      <c r="EMW88" s="790"/>
      <c r="EMX88" s="790"/>
      <c r="EMY88" s="790"/>
      <c r="EMZ88" s="790"/>
      <c r="ENA88" s="790"/>
      <c r="ENB88" s="790"/>
      <c r="ENC88" s="790"/>
      <c r="END88" s="790"/>
      <c r="ENE88" s="790"/>
      <c r="ENF88" s="790"/>
      <c r="ENG88" s="790"/>
      <c r="ENH88" s="790"/>
      <c r="ENI88" s="790"/>
      <c r="ENJ88" s="790"/>
      <c r="ENK88" s="790"/>
      <c r="ENL88" s="790"/>
      <c r="ENM88" s="790"/>
      <c r="ENN88" s="790"/>
      <c r="ENO88" s="790"/>
      <c r="ENP88" s="790"/>
      <c r="ENQ88" s="790"/>
      <c r="ENR88" s="790"/>
      <c r="ENS88" s="790"/>
      <c r="ENT88" s="790"/>
      <c r="ENU88" s="790"/>
      <c r="ENV88" s="790"/>
      <c r="ENW88" s="790"/>
      <c r="ENX88" s="790"/>
      <c r="ENY88" s="790"/>
      <c r="ENZ88" s="790"/>
      <c r="EOA88" s="790"/>
      <c r="EOB88" s="790"/>
      <c r="EOC88" s="790"/>
      <c r="EOD88" s="790"/>
      <c r="EOE88" s="790"/>
      <c r="EOF88" s="790"/>
      <c r="EOG88" s="790"/>
      <c r="EOH88" s="790"/>
      <c r="EOI88" s="790"/>
      <c r="EOJ88" s="790"/>
      <c r="EOK88" s="790"/>
      <c r="EOL88" s="790"/>
      <c r="EOM88" s="790"/>
      <c r="EON88" s="790"/>
      <c r="EOO88" s="790"/>
      <c r="EOP88" s="790"/>
      <c r="EOQ88" s="790"/>
      <c r="EOR88" s="790"/>
      <c r="EOS88" s="790"/>
      <c r="EOT88" s="790"/>
      <c r="EOU88" s="790"/>
      <c r="EOV88" s="790"/>
      <c r="EOW88" s="790"/>
      <c r="EOX88" s="790"/>
      <c r="EOY88" s="790"/>
      <c r="EOZ88" s="790"/>
      <c r="EPA88" s="790"/>
      <c r="EPB88" s="790"/>
      <c r="EPC88" s="790"/>
      <c r="EPD88" s="790"/>
      <c r="EPE88" s="790"/>
      <c r="EPF88" s="790"/>
      <c r="EPG88" s="790"/>
      <c r="EPH88" s="790"/>
      <c r="EPI88" s="790"/>
      <c r="EPJ88" s="790"/>
      <c r="EPK88" s="790"/>
      <c r="EPL88" s="790"/>
      <c r="EPM88" s="790"/>
      <c r="EPN88" s="790"/>
      <c r="EPO88" s="790"/>
      <c r="EPP88" s="790"/>
      <c r="EPQ88" s="790"/>
      <c r="EPR88" s="790"/>
      <c r="EPS88" s="790"/>
      <c r="EPT88" s="790"/>
      <c r="EPU88" s="790"/>
      <c r="EPV88" s="790"/>
      <c r="EPW88" s="790"/>
      <c r="EPX88" s="790"/>
      <c r="EPY88" s="790"/>
      <c r="EPZ88" s="790"/>
      <c r="EQA88" s="790"/>
      <c r="EQB88" s="790"/>
      <c r="EQC88" s="790"/>
      <c r="EQD88" s="790"/>
      <c r="EQE88" s="790"/>
      <c r="EQF88" s="790"/>
      <c r="EQG88" s="790"/>
      <c r="EQH88" s="790"/>
      <c r="EQI88" s="790"/>
      <c r="EQJ88" s="790"/>
      <c r="EQK88" s="790"/>
      <c r="EQL88" s="790"/>
      <c r="EQM88" s="790"/>
      <c r="EQN88" s="790"/>
      <c r="EQO88" s="790"/>
      <c r="EQP88" s="790"/>
      <c r="EQQ88" s="790"/>
      <c r="EQR88" s="790"/>
      <c r="EQS88" s="790"/>
      <c r="EQT88" s="790"/>
      <c r="EQU88" s="790"/>
      <c r="EQV88" s="790"/>
      <c r="EQW88" s="790"/>
      <c r="EQX88" s="790"/>
      <c r="EQY88" s="790"/>
      <c r="EQZ88" s="790"/>
      <c r="ERA88" s="790"/>
      <c r="ERB88" s="790"/>
      <c r="ERC88" s="790"/>
      <c r="ERD88" s="790"/>
      <c r="ERE88" s="790"/>
      <c r="ERF88" s="790"/>
      <c r="ERG88" s="790"/>
      <c r="ERH88" s="790"/>
      <c r="ERI88" s="790"/>
      <c r="ERJ88" s="790"/>
      <c r="ERK88" s="790"/>
      <c r="ERL88" s="790"/>
      <c r="ERM88" s="790"/>
      <c r="ERN88" s="790"/>
      <c r="ERO88" s="790"/>
      <c r="ERP88" s="790"/>
      <c r="ERQ88" s="790"/>
      <c r="ERR88" s="790"/>
      <c r="ERS88" s="790"/>
      <c r="ERT88" s="790"/>
      <c r="ERU88" s="790"/>
      <c r="ERV88" s="790"/>
      <c r="ERW88" s="790"/>
      <c r="ERX88" s="790"/>
      <c r="ERY88" s="790"/>
      <c r="ERZ88" s="790"/>
      <c r="ESA88" s="790"/>
      <c r="ESB88" s="790"/>
      <c r="ESC88" s="790"/>
      <c r="ESD88" s="790"/>
      <c r="ESE88" s="790"/>
      <c r="ESF88" s="790"/>
      <c r="ESG88" s="790"/>
      <c r="ESH88" s="790"/>
      <c r="ESI88" s="790"/>
      <c r="ESJ88" s="790"/>
      <c r="ESK88" s="790"/>
      <c r="ESL88" s="790"/>
      <c r="ESM88" s="790"/>
      <c r="ESN88" s="790"/>
      <c r="ESO88" s="790"/>
      <c r="ESP88" s="790"/>
      <c r="ESQ88" s="790"/>
      <c r="ESR88" s="790"/>
      <c r="ESS88" s="790"/>
      <c r="EST88" s="790"/>
      <c r="ESU88" s="790"/>
      <c r="ESV88" s="790"/>
      <c r="ESW88" s="790"/>
      <c r="ESX88" s="790"/>
      <c r="ESY88" s="790"/>
      <c r="ESZ88" s="790"/>
      <c r="ETA88" s="790"/>
      <c r="ETB88" s="790"/>
      <c r="ETC88" s="790"/>
      <c r="ETD88" s="790"/>
      <c r="ETE88" s="790"/>
      <c r="ETF88" s="790"/>
      <c r="ETG88" s="790"/>
      <c r="ETH88" s="790"/>
      <c r="ETI88" s="790"/>
      <c r="ETJ88" s="790"/>
      <c r="ETK88" s="790"/>
      <c r="ETL88" s="790"/>
      <c r="ETM88" s="790"/>
      <c r="ETN88" s="790"/>
      <c r="ETO88" s="790"/>
      <c r="ETP88" s="790"/>
      <c r="ETQ88" s="790"/>
      <c r="ETR88" s="790"/>
      <c r="ETS88" s="790"/>
      <c r="ETT88" s="790"/>
      <c r="ETU88" s="790"/>
      <c r="ETV88" s="790"/>
      <c r="ETW88" s="790"/>
      <c r="ETX88" s="790"/>
      <c r="ETY88" s="790"/>
      <c r="ETZ88" s="790"/>
      <c r="EUA88" s="790"/>
      <c r="EUB88" s="790"/>
      <c r="EUC88" s="790"/>
      <c r="EUD88" s="790"/>
      <c r="EUE88" s="790"/>
      <c r="EUF88" s="790"/>
      <c r="EUG88" s="790"/>
      <c r="EUH88" s="790"/>
      <c r="EUI88" s="790"/>
      <c r="EUJ88" s="790"/>
      <c r="EUK88" s="790"/>
      <c r="EUL88" s="790"/>
      <c r="EUM88" s="790"/>
      <c r="EUN88" s="790"/>
      <c r="EUO88" s="790"/>
      <c r="EUP88" s="790"/>
      <c r="EUQ88" s="790"/>
      <c r="EUR88" s="790"/>
      <c r="EUS88" s="790"/>
      <c r="EUT88" s="790"/>
      <c r="EUU88" s="790"/>
      <c r="EUV88" s="790"/>
      <c r="EUW88" s="790"/>
      <c r="EUX88" s="790"/>
      <c r="EUY88" s="790"/>
      <c r="EUZ88" s="790"/>
      <c r="EVA88" s="790"/>
      <c r="EVB88" s="790"/>
      <c r="EVC88" s="790"/>
      <c r="EVD88" s="790"/>
      <c r="EVE88" s="790"/>
      <c r="EVF88" s="790"/>
      <c r="EVG88" s="790"/>
      <c r="EVH88" s="790"/>
      <c r="EVI88" s="790"/>
      <c r="EVJ88" s="790"/>
      <c r="EVK88" s="790"/>
      <c r="EVL88" s="790"/>
      <c r="EVM88" s="790"/>
      <c r="EVN88" s="790"/>
      <c r="EVO88" s="790"/>
      <c r="EVP88" s="790"/>
      <c r="EVQ88" s="790"/>
      <c r="EVR88" s="790"/>
      <c r="EVS88" s="790"/>
      <c r="EVT88" s="790"/>
      <c r="EVU88" s="790"/>
      <c r="EVV88" s="790"/>
      <c r="EVW88" s="790"/>
      <c r="EVX88" s="790"/>
      <c r="EVY88" s="790"/>
      <c r="EVZ88" s="790"/>
      <c r="EWA88" s="790"/>
      <c r="EWB88" s="790"/>
      <c r="EWC88" s="790"/>
      <c r="EWD88" s="790"/>
      <c r="EWE88" s="790"/>
      <c r="EWF88" s="790"/>
      <c r="EWG88" s="790"/>
      <c r="EWH88" s="790"/>
      <c r="EWI88" s="790"/>
      <c r="EWJ88" s="790"/>
      <c r="EWK88" s="790"/>
      <c r="EWL88" s="790"/>
      <c r="EWM88" s="790"/>
      <c r="EWN88" s="790"/>
      <c r="EWO88" s="790"/>
      <c r="EWP88" s="790"/>
      <c r="EWQ88" s="790"/>
      <c r="EWR88" s="790"/>
      <c r="EWS88" s="790"/>
      <c r="EWT88" s="790"/>
      <c r="EWU88" s="790"/>
      <c r="EWV88" s="790"/>
      <c r="EWW88" s="790"/>
      <c r="EWX88" s="790"/>
      <c r="EWY88" s="790"/>
      <c r="EWZ88" s="790"/>
      <c r="EXA88" s="790"/>
      <c r="EXB88" s="790"/>
      <c r="EXC88" s="790"/>
      <c r="EXD88" s="790"/>
      <c r="EXE88" s="790"/>
      <c r="EXF88" s="790"/>
      <c r="EXG88" s="790"/>
      <c r="EXH88" s="790"/>
      <c r="EXI88" s="790"/>
      <c r="EXJ88" s="790"/>
      <c r="EXK88" s="790"/>
      <c r="EXL88" s="790"/>
      <c r="EXM88" s="790"/>
      <c r="EXN88" s="790"/>
      <c r="EXO88" s="790"/>
      <c r="EXP88" s="790"/>
      <c r="EXQ88" s="790"/>
      <c r="EXR88" s="790"/>
      <c r="EXS88" s="790"/>
      <c r="EXT88" s="790"/>
      <c r="EXU88" s="790"/>
      <c r="EXV88" s="790"/>
      <c r="EXW88" s="790"/>
      <c r="EXX88" s="790"/>
      <c r="EXY88" s="790"/>
      <c r="EXZ88" s="790"/>
      <c r="EYA88" s="790"/>
      <c r="EYB88" s="790"/>
      <c r="EYC88" s="790"/>
      <c r="EYD88" s="790"/>
      <c r="EYE88" s="790"/>
      <c r="EYF88" s="790"/>
      <c r="EYG88" s="790"/>
      <c r="EYH88" s="790"/>
      <c r="EYI88" s="790"/>
      <c r="EYJ88" s="790"/>
      <c r="EYK88" s="790"/>
      <c r="EYL88" s="790"/>
      <c r="EYM88" s="790"/>
      <c r="EYN88" s="790"/>
      <c r="EYO88" s="790"/>
      <c r="EYP88" s="790"/>
      <c r="EYQ88" s="790"/>
      <c r="EYR88" s="790"/>
      <c r="EYS88" s="790"/>
      <c r="EYT88" s="790"/>
      <c r="EYU88" s="790"/>
      <c r="EYV88" s="790"/>
      <c r="EYW88" s="790"/>
      <c r="EYX88" s="790"/>
      <c r="EYY88" s="790"/>
      <c r="EYZ88" s="790"/>
      <c r="EZA88" s="790"/>
      <c r="EZB88" s="790"/>
      <c r="EZC88" s="790"/>
      <c r="EZD88" s="790"/>
      <c r="EZE88" s="790"/>
      <c r="EZF88" s="790"/>
      <c r="EZG88" s="790"/>
      <c r="EZH88" s="790"/>
      <c r="EZI88" s="790"/>
      <c r="EZJ88" s="790"/>
      <c r="EZK88" s="790"/>
      <c r="EZL88" s="790"/>
      <c r="EZM88" s="790"/>
      <c r="EZN88" s="790"/>
      <c r="EZO88" s="790"/>
      <c r="EZP88" s="790"/>
      <c r="EZQ88" s="790"/>
      <c r="EZR88" s="790"/>
      <c r="EZS88" s="790"/>
      <c r="EZT88" s="790"/>
      <c r="EZU88" s="790"/>
      <c r="EZV88" s="790"/>
      <c r="EZW88" s="790"/>
      <c r="EZX88" s="790"/>
      <c r="EZY88" s="790"/>
      <c r="EZZ88" s="790"/>
      <c r="FAA88" s="790"/>
      <c r="FAB88" s="790"/>
      <c r="FAC88" s="790"/>
      <c r="FAD88" s="790"/>
      <c r="FAE88" s="790"/>
      <c r="FAF88" s="790"/>
      <c r="FAG88" s="790"/>
      <c r="FAH88" s="790"/>
      <c r="FAI88" s="790"/>
      <c r="FAJ88" s="790"/>
      <c r="FAK88" s="790"/>
      <c r="FAL88" s="790"/>
      <c r="FAM88" s="790"/>
      <c r="FAN88" s="790"/>
      <c r="FAO88" s="790"/>
      <c r="FAP88" s="790"/>
      <c r="FAQ88" s="790"/>
      <c r="FAR88" s="790"/>
      <c r="FAS88" s="790"/>
      <c r="FAT88" s="790"/>
      <c r="FAU88" s="790"/>
      <c r="FAV88" s="790"/>
      <c r="FAW88" s="790"/>
      <c r="FAX88" s="790"/>
      <c r="FAY88" s="790"/>
      <c r="FAZ88" s="790"/>
      <c r="FBA88" s="790"/>
      <c r="FBB88" s="790"/>
      <c r="FBC88" s="790"/>
      <c r="FBD88" s="790"/>
      <c r="FBE88" s="790"/>
      <c r="FBF88" s="790"/>
      <c r="FBG88" s="790"/>
      <c r="FBH88" s="790"/>
      <c r="FBI88" s="790"/>
      <c r="FBJ88" s="790"/>
      <c r="FBK88" s="790"/>
      <c r="FBL88" s="790"/>
      <c r="FBM88" s="790"/>
      <c r="FBN88" s="790"/>
      <c r="FBO88" s="790"/>
      <c r="FBP88" s="790"/>
      <c r="FBQ88" s="790"/>
      <c r="FBR88" s="790"/>
      <c r="FBS88" s="790"/>
      <c r="FBT88" s="790"/>
      <c r="FBU88" s="790"/>
      <c r="FBV88" s="790"/>
      <c r="FBW88" s="790"/>
      <c r="FBX88" s="790"/>
      <c r="FBY88" s="790"/>
      <c r="FBZ88" s="790"/>
      <c r="FCA88" s="790"/>
      <c r="FCB88" s="790"/>
      <c r="FCC88" s="790"/>
      <c r="FCD88" s="790"/>
      <c r="FCE88" s="790"/>
      <c r="FCF88" s="790"/>
      <c r="FCG88" s="790"/>
      <c r="FCH88" s="790"/>
      <c r="FCI88" s="790"/>
      <c r="FCJ88" s="790"/>
      <c r="FCK88" s="790"/>
      <c r="FCL88" s="790"/>
      <c r="FCM88" s="790"/>
      <c r="FCN88" s="790"/>
      <c r="FCO88" s="790"/>
      <c r="FCP88" s="790"/>
      <c r="FCQ88" s="790"/>
      <c r="FCR88" s="790"/>
      <c r="FCS88" s="790"/>
      <c r="FCT88" s="790"/>
      <c r="FCU88" s="790"/>
      <c r="FCV88" s="790"/>
      <c r="FCW88" s="790"/>
      <c r="FCX88" s="790"/>
      <c r="FCY88" s="790"/>
      <c r="FCZ88" s="790"/>
      <c r="FDA88" s="790"/>
      <c r="FDB88" s="790"/>
      <c r="FDC88" s="790"/>
      <c r="FDD88" s="790"/>
      <c r="FDE88" s="790"/>
      <c r="FDF88" s="790"/>
      <c r="FDG88" s="790"/>
      <c r="FDH88" s="790"/>
      <c r="FDI88" s="790"/>
      <c r="FDJ88" s="790"/>
      <c r="FDK88" s="790"/>
      <c r="FDL88" s="790"/>
      <c r="FDM88" s="790"/>
      <c r="FDN88" s="790"/>
      <c r="FDO88" s="790"/>
      <c r="FDP88" s="790"/>
      <c r="FDQ88" s="790"/>
      <c r="FDR88" s="790"/>
      <c r="FDS88" s="790"/>
      <c r="FDT88" s="790"/>
      <c r="FDU88" s="790"/>
      <c r="FDV88" s="790"/>
      <c r="FDW88" s="790"/>
      <c r="FDX88" s="790"/>
      <c r="FDY88" s="790"/>
      <c r="FDZ88" s="790"/>
      <c r="FEA88" s="790"/>
      <c r="FEB88" s="790"/>
      <c r="FEC88" s="790"/>
      <c r="FED88" s="790"/>
      <c r="FEE88" s="790"/>
      <c r="FEF88" s="790"/>
      <c r="FEG88" s="790"/>
      <c r="FEH88" s="790"/>
      <c r="FEI88" s="790"/>
      <c r="FEJ88" s="790"/>
      <c r="FEK88" s="790"/>
      <c r="FEL88" s="790"/>
      <c r="FEM88" s="790"/>
      <c r="FEN88" s="790"/>
      <c r="FEO88" s="790"/>
      <c r="FEP88" s="790"/>
      <c r="FEQ88" s="790"/>
      <c r="FER88" s="790"/>
      <c r="FES88" s="790"/>
      <c r="FET88" s="790"/>
      <c r="FEU88" s="790"/>
      <c r="FEV88" s="790"/>
      <c r="FEW88" s="790"/>
      <c r="FEX88" s="790"/>
      <c r="FEY88" s="790"/>
      <c r="FEZ88" s="790"/>
      <c r="FFA88" s="790"/>
      <c r="FFB88" s="790"/>
      <c r="FFC88" s="790"/>
      <c r="FFD88" s="790"/>
      <c r="FFE88" s="790"/>
      <c r="FFF88" s="790"/>
      <c r="FFG88" s="790"/>
      <c r="FFH88" s="790"/>
      <c r="FFI88" s="790"/>
      <c r="FFJ88" s="790"/>
      <c r="FFK88" s="790"/>
      <c r="FFL88" s="790"/>
      <c r="FFM88" s="790"/>
      <c r="FFN88" s="790"/>
      <c r="FFO88" s="790"/>
      <c r="FFP88" s="790"/>
      <c r="FFQ88" s="790"/>
      <c r="FFR88" s="790"/>
      <c r="FFS88" s="790"/>
      <c r="FFT88" s="790"/>
      <c r="FFU88" s="790"/>
      <c r="FFV88" s="790"/>
      <c r="FFW88" s="790"/>
      <c r="FFX88" s="790"/>
      <c r="FFY88" s="790"/>
      <c r="FFZ88" s="790"/>
      <c r="FGA88" s="790"/>
      <c r="FGB88" s="790"/>
      <c r="FGC88" s="790"/>
      <c r="FGD88" s="790"/>
      <c r="FGE88" s="790"/>
      <c r="FGF88" s="790"/>
      <c r="FGG88" s="790"/>
      <c r="FGH88" s="790"/>
      <c r="FGI88" s="790"/>
      <c r="FGJ88" s="790"/>
      <c r="FGK88" s="790"/>
      <c r="FGL88" s="790"/>
      <c r="FGM88" s="790"/>
      <c r="FGN88" s="790"/>
      <c r="FGO88" s="790"/>
      <c r="FGP88" s="790"/>
      <c r="FGQ88" s="790"/>
      <c r="FGR88" s="790"/>
      <c r="FGS88" s="790"/>
      <c r="FGT88" s="790"/>
      <c r="FGU88" s="790"/>
      <c r="FGV88" s="790"/>
      <c r="FGW88" s="790"/>
      <c r="FGX88" s="790"/>
      <c r="FGY88" s="790"/>
      <c r="FGZ88" s="790"/>
      <c r="FHA88" s="790"/>
      <c r="FHB88" s="790"/>
      <c r="FHC88" s="790"/>
      <c r="FHD88" s="790"/>
      <c r="FHE88" s="790"/>
      <c r="FHF88" s="790"/>
      <c r="FHG88" s="790"/>
      <c r="FHH88" s="790"/>
      <c r="FHI88" s="790"/>
      <c r="FHJ88" s="790"/>
      <c r="FHK88" s="790"/>
      <c r="FHL88" s="790"/>
      <c r="FHM88" s="790"/>
      <c r="FHN88" s="790"/>
      <c r="FHO88" s="790"/>
      <c r="FHP88" s="790"/>
      <c r="FHQ88" s="790"/>
      <c r="FHR88" s="790"/>
      <c r="FHS88" s="790"/>
      <c r="FHT88" s="790"/>
      <c r="FHU88" s="790"/>
      <c r="FHV88" s="790"/>
      <c r="FHW88" s="790"/>
      <c r="FHX88" s="790"/>
      <c r="FHY88" s="790"/>
      <c r="FHZ88" s="790"/>
      <c r="FIA88" s="790"/>
      <c r="FIB88" s="790"/>
      <c r="FIC88" s="790"/>
      <c r="FID88" s="790"/>
      <c r="FIE88" s="790"/>
      <c r="FIF88" s="790"/>
      <c r="FIG88" s="790"/>
      <c r="FIH88" s="790"/>
      <c r="FII88" s="790"/>
      <c r="FIJ88" s="790"/>
      <c r="FIK88" s="790"/>
      <c r="FIL88" s="790"/>
      <c r="FIM88" s="790"/>
      <c r="FIN88" s="790"/>
      <c r="FIO88" s="790"/>
      <c r="FIP88" s="790"/>
      <c r="FIQ88" s="790"/>
      <c r="FIR88" s="790"/>
      <c r="FIS88" s="790"/>
      <c r="FIT88" s="790"/>
      <c r="FIU88" s="790"/>
      <c r="FIV88" s="790"/>
      <c r="FIW88" s="790"/>
      <c r="FIX88" s="790"/>
      <c r="FIY88" s="790"/>
      <c r="FIZ88" s="790"/>
      <c r="FJA88" s="790"/>
      <c r="FJB88" s="790"/>
      <c r="FJC88" s="790"/>
      <c r="FJD88" s="790"/>
      <c r="FJE88" s="790"/>
      <c r="FJF88" s="790"/>
      <c r="FJG88" s="790"/>
      <c r="FJH88" s="790"/>
      <c r="FJI88" s="790"/>
      <c r="FJJ88" s="790"/>
      <c r="FJK88" s="790"/>
      <c r="FJL88" s="790"/>
      <c r="FJM88" s="790"/>
      <c r="FJN88" s="790"/>
      <c r="FJO88" s="790"/>
      <c r="FJP88" s="790"/>
      <c r="FJQ88" s="790"/>
      <c r="FJR88" s="790"/>
      <c r="FJS88" s="790"/>
      <c r="FJT88" s="790"/>
      <c r="FJU88" s="790"/>
      <c r="FJV88" s="790"/>
      <c r="FJW88" s="790"/>
      <c r="FJX88" s="790"/>
      <c r="FJY88" s="790"/>
      <c r="FJZ88" s="790"/>
      <c r="FKA88" s="790"/>
      <c r="FKB88" s="790"/>
      <c r="FKC88" s="790"/>
      <c r="FKD88" s="790"/>
      <c r="FKE88" s="790"/>
      <c r="FKF88" s="790"/>
      <c r="FKG88" s="790"/>
      <c r="FKH88" s="790"/>
      <c r="FKI88" s="790"/>
      <c r="FKJ88" s="790"/>
      <c r="FKK88" s="790"/>
      <c r="FKL88" s="790"/>
      <c r="FKM88" s="790"/>
      <c r="FKN88" s="790"/>
      <c r="FKO88" s="790"/>
      <c r="FKP88" s="790"/>
      <c r="FKQ88" s="790"/>
      <c r="FKR88" s="790"/>
      <c r="FKS88" s="790"/>
      <c r="FKT88" s="790"/>
      <c r="FKU88" s="790"/>
      <c r="FKV88" s="790"/>
      <c r="FKW88" s="790"/>
      <c r="FKX88" s="790"/>
      <c r="FKY88" s="790"/>
      <c r="FKZ88" s="790"/>
      <c r="FLA88" s="790"/>
      <c r="FLB88" s="790"/>
      <c r="FLC88" s="790"/>
      <c r="FLD88" s="790"/>
      <c r="FLE88" s="790"/>
      <c r="FLF88" s="790"/>
      <c r="FLG88" s="790"/>
      <c r="FLH88" s="790"/>
      <c r="FLI88" s="790"/>
      <c r="FLJ88" s="790"/>
      <c r="FLK88" s="790"/>
      <c r="FLL88" s="790"/>
      <c r="FLM88" s="790"/>
      <c r="FLN88" s="790"/>
      <c r="FLO88" s="790"/>
      <c r="FLP88" s="790"/>
      <c r="FLQ88" s="790"/>
      <c r="FLR88" s="790"/>
      <c r="FLS88" s="790"/>
      <c r="FLT88" s="790"/>
      <c r="FLU88" s="790"/>
      <c r="FLV88" s="790"/>
      <c r="FLW88" s="790"/>
      <c r="FLX88" s="790"/>
      <c r="FLY88" s="790"/>
      <c r="FLZ88" s="790"/>
      <c r="FMA88" s="790"/>
      <c r="FMB88" s="790"/>
      <c r="FMC88" s="790"/>
      <c r="FMD88" s="790"/>
      <c r="FME88" s="790"/>
      <c r="FMF88" s="790"/>
      <c r="FMG88" s="790"/>
      <c r="FMH88" s="790"/>
      <c r="FMI88" s="790"/>
      <c r="FMJ88" s="790"/>
      <c r="FMK88" s="790"/>
      <c r="FML88" s="790"/>
      <c r="FMM88" s="790"/>
      <c r="FMN88" s="790"/>
      <c r="FMO88" s="790"/>
      <c r="FMP88" s="790"/>
      <c r="FMQ88" s="790"/>
      <c r="FMR88" s="790"/>
      <c r="FMS88" s="790"/>
      <c r="FMT88" s="790"/>
      <c r="FMU88" s="790"/>
      <c r="FMV88" s="790"/>
      <c r="FMW88" s="790"/>
      <c r="FMX88" s="790"/>
      <c r="FMY88" s="790"/>
      <c r="FMZ88" s="790"/>
      <c r="FNA88" s="790"/>
      <c r="FNB88" s="790"/>
      <c r="FNC88" s="790"/>
      <c r="FND88" s="790"/>
      <c r="FNE88" s="790"/>
      <c r="FNF88" s="790"/>
      <c r="FNG88" s="790"/>
      <c r="FNH88" s="790"/>
      <c r="FNI88" s="790"/>
      <c r="FNJ88" s="790"/>
      <c r="FNK88" s="790"/>
      <c r="FNL88" s="790"/>
      <c r="FNM88" s="790"/>
      <c r="FNN88" s="790"/>
      <c r="FNO88" s="790"/>
      <c r="FNP88" s="790"/>
      <c r="FNQ88" s="790"/>
      <c r="FNR88" s="790"/>
      <c r="FNS88" s="790"/>
      <c r="FNT88" s="790"/>
      <c r="FNU88" s="790"/>
      <c r="FNV88" s="790"/>
      <c r="FNW88" s="790"/>
      <c r="FNX88" s="790"/>
      <c r="FNY88" s="790"/>
      <c r="FNZ88" s="790"/>
      <c r="FOA88" s="790"/>
      <c r="FOB88" s="790"/>
      <c r="FOC88" s="790"/>
      <c r="FOD88" s="790"/>
      <c r="FOE88" s="790"/>
      <c r="FOF88" s="790"/>
      <c r="FOG88" s="790"/>
      <c r="FOH88" s="790"/>
      <c r="FOI88" s="790"/>
      <c r="FOJ88" s="790"/>
      <c r="FOK88" s="790"/>
      <c r="FOL88" s="790"/>
      <c r="FOM88" s="790"/>
      <c r="FON88" s="790"/>
      <c r="FOO88" s="790"/>
      <c r="FOP88" s="790"/>
      <c r="FOQ88" s="790"/>
      <c r="FOR88" s="790"/>
      <c r="FOS88" s="790"/>
      <c r="FOT88" s="790"/>
      <c r="FOU88" s="790"/>
      <c r="FOV88" s="790"/>
      <c r="FOW88" s="790"/>
      <c r="FOX88" s="790"/>
      <c r="FOY88" s="790"/>
      <c r="FOZ88" s="790"/>
      <c r="FPA88" s="790"/>
      <c r="FPB88" s="790"/>
      <c r="FPC88" s="790"/>
      <c r="FPD88" s="790"/>
      <c r="FPE88" s="790"/>
      <c r="FPF88" s="790"/>
      <c r="FPG88" s="790"/>
      <c r="FPH88" s="790"/>
      <c r="FPI88" s="790"/>
      <c r="FPJ88" s="790"/>
      <c r="FPK88" s="790"/>
      <c r="FPL88" s="790"/>
      <c r="FPM88" s="790"/>
      <c r="FPN88" s="790"/>
      <c r="FPO88" s="790"/>
      <c r="FPP88" s="790"/>
      <c r="FPQ88" s="790"/>
      <c r="FPR88" s="790"/>
      <c r="FPS88" s="790"/>
      <c r="FPT88" s="790"/>
      <c r="FPU88" s="790"/>
      <c r="FPV88" s="790"/>
      <c r="FPW88" s="790"/>
      <c r="FPX88" s="790"/>
      <c r="FPY88" s="790"/>
      <c r="FPZ88" s="790"/>
      <c r="FQA88" s="790"/>
      <c r="FQB88" s="790"/>
      <c r="FQC88" s="790"/>
      <c r="FQD88" s="790"/>
      <c r="FQE88" s="790"/>
      <c r="FQF88" s="790"/>
      <c r="FQG88" s="790"/>
      <c r="FQH88" s="790"/>
      <c r="FQI88" s="790"/>
      <c r="FQJ88" s="790"/>
      <c r="FQK88" s="790"/>
      <c r="FQL88" s="790"/>
      <c r="FQM88" s="790"/>
      <c r="FQN88" s="790"/>
      <c r="FQO88" s="790"/>
      <c r="FQP88" s="790"/>
      <c r="FQQ88" s="790"/>
      <c r="FQR88" s="790"/>
      <c r="FQS88" s="790"/>
      <c r="FQT88" s="790"/>
      <c r="FQU88" s="790"/>
      <c r="FQV88" s="790"/>
      <c r="FQW88" s="790"/>
      <c r="FQX88" s="790"/>
      <c r="FQY88" s="790"/>
      <c r="FQZ88" s="790"/>
      <c r="FRA88" s="790"/>
      <c r="FRB88" s="790"/>
      <c r="FRC88" s="790"/>
      <c r="FRD88" s="790"/>
      <c r="FRE88" s="790"/>
      <c r="FRF88" s="790"/>
      <c r="FRG88" s="790"/>
      <c r="FRH88" s="790"/>
      <c r="FRI88" s="790"/>
      <c r="FRJ88" s="790"/>
      <c r="FRK88" s="790"/>
      <c r="FRL88" s="790"/>
      <c r="FRM88" s="790"/>
      <c r="FRN88" s="790"/>
      <c r="FRO88" s="790"/>
      <c r="FRP88" s="790"/>
      <c r="FRQ88" s="790"/>
      <c r="FRR88" s="790"/>
      <c r="FRS88" s="790"/>
      <c r="FRT88" s="790"/>
      <c r="FRU88" s="790"/>
      <c r="FRV88" s="790"/>
      <c r="FRW88" s="790"/>
      <c r="FRX88" s="790"/>
      <c r="FRY88" s="790"/>
      <c r="FRZ88" s="790"/>
      <c r="FSA88" s="790"/>
      <c r="FSB88" s="790"/>
      <c r="FSC88" s="790"/>
      <c r="FSD88" s="790"/>
      <c r="FSE88" s="790"/>
      <c r="FSF88" s="790"/>
      <c r="FSG88" s="790"/>
      <c r="FSH88" s="790"/>
      <c r="FSI88" s="790"/>
      <c r="FSJ88" s="790"/>
      <c r="FSK88" s="790"/>
      <c r="FSL88" s="790"/>
      <c r="FSM88" s="790"/>
      <c r="FSN88" s="790"/>
      <c r="FSO88" s="790"/>
      <c r="FSP88" s="790"/>
      <c r="FSQ88" s="790"/>
      <c r="FSR88" s="790"/>
      <c r="FSS88" s="790"/>
      <c r="FST88" s="790"/>
      <c r="FSU88" s="790"/>
      <c r="FSV88" s="790"/>
      <c r="FSW88" s="790"/>
      <c r="FSX88" s="790"/>
      <c r="FSY88" s="790"/>
      <c r="FSZ88" s="790"/>
      <c r="FTA88" s="790"/>
      <c r="FTB88" s="790"/>
      <c r="FTC88" s="790"/>
      <c r="FTD88" s="790"/>
      <c r="FTE88" s="790"/>
      <c r="FTF88" s="790"/>
      <c r="FTG88" s="790"/>
      <c r="FTH88" s="790"/>
      <c r="FTI88" s="790"/>
      <c r="FTJ88" s="790"/>
      <c r="FTK88" s="790"/>
      <c r="FTL88" s="790"/>
      <c r="FTM88" s="790"/>
      <c r="FTN88" s="790"/>
      <c r="FTO88" s="790"/>
      <c r="FTP88" s="790"/>
      <c r="FTQ88" s="790"/>
      <c r="FTR88" s="790"/>
      <c r="FTS88" s="790"/>
      <c r="FTT88" s="790"/>
      <c r="FTU88" s="790"/>
      <c r="FTV88" s="790"/>
      <c r="FTW88" s="790"/>
      <c r="FTX88" s="790"/>
      <c r="FTY88" s="790"/>
      <c r="FTZ88" s="790"/>
      <c r="FUA88" s="790"/>
      <c r="FUB88" s="790"/>
      <c r="FUC88" s="790"/>
      <c r="FUD88" s="790"/>
      <c r="FUE88" s="790"/>
      <c r="FUF88" s="790"/>
      <c r="FUG88" s="790"/>
      <c r="FUH88" s="790"/>
      <c r="FUI88" s="790"/>
      <c r="FUJ88" s="790"/>
      <c r="FUK88" s="790"/>
      <c r="FUL88" s="790"/>
      <c r="FUM88" s="790"/>
      <c r="FUN88" s="790"/>
      <c r="FUO88" s="790"/>
      <c r="FUP88" s="790"/>
      <c r="FUQ88" s="790"/>
      <c r="FUR88" s="790"/>
      <c r="FUS88" s="790"/>
      <c r="FUT88" s="790"/>
      <c r="FUU88" s="790"/>
      <c r="FUV88" s="790"/>
      <c r="FUW88" s="790"/>
      <c r="FUX88" s="790"/>
      <c r="FUY88" s="790"/>
      <c r="FUZ88" s="790"/>
      <c r="FVA88" s="790"/>
      <c r="FVB88" s="790"/>
      <c r="FVC88" s="790"/>
      <c r="FVD88" s="790"/>
      <c r="FVE88" s="790"/>
      <c r="FVF88" s="790"/>
      <c r="FVG88" s="790"/>
      <c r="FVH88" s="790"/>
      <c r="FVI88" s="790"/>
      <c r="FVJ88" s="790"/>
      <c r="FVK88" s="790"/>
      <c r="FVL88" s="790"/>
      <c r="FVM88" s="790"/>
      <c r="FVN88" s="790"/>
      <c r="FVO88" s="790"/>
      <c r="FVP88" s="790"/>
      <c r="FVQ88" s="790"/>
      <c r="FVR88" s="790"/>
      <c r="FVS88" s="790"/>
      <c r="FVT88" s="790"/>
      <c r="FVU88" s="790"/>
      <c r="FVV88" s="790"/>
      <c r="FVW88" s="790"/>
      <c r="FVX88" s="790"/>
      <c r="FVY88" s="790"/>
      <c r="FVZ88" s="790"/>
      <c r="FWA88" s="790"/>
      <c r="FWB88" s="790"/>
      <c r="FWC88" s="790"/>
      <c r="FWD88" s="790"/>
      <c r="FWE88" s="790"/>
      <c r="FWF88" s="790"/>
      <c r="FWG88" s="790"/>
      <c r="FWH88" s="790"/>
      <c r="FWI88" s="790"/>
      <c r="FWJ88" s="790"/>
      <c r="FWK88" s="790"/>
      <c r="FWL88" s="790"/>
      <c r="FWM88" s="790"/>
      <c r="FWN88" s="790"/>
      <c r="FWO88" s="790"/>
      <c r="FWP88" s="790"/>
      <c r="FWQ88" s="790"/>
      <c r="FWR88" s="790"/>
      <c r="FWS88" s="790"/>
      <c r="FWT88" s="790"/>
      <c r="FWU88" s="790"/>
      <c r="FWV88" s="790"/>
      <c r="FWW88" s="790"/>
      <c r="FWX88" s="790"/>
      <c r="FWY88" s="790"/>
      <c r="FWZ88" s="790"/>
      <c r="FXA88" s="790"/>
      <c r="FXB88" s="790"/>
      <c r="FXC88" s="790"/>
      <c r="FXD88" s="790"/>
      <c r="FXE88" s="790"/>
      <c r="FXF88" s="790"/>
      <c r="FXG88" s="790"/>
      <c r="FXH88" s="790"/>
      <c r="FXI88" s="790"/>
      <c r="FXJ88" s="790"/>
      <c r="FXK88" s="790"/>
      <c r="FXL88" s="790"/>
      <c r="FXM88" s="790"/>
      <c r="FXN88" s="790"/>
      <c r="FXO88" s="790"/>
      <c r="FXP88" s="790"/>
      <c r="FXQ88" s="790"/>
      <c r="FXR88" s="790"/>
      <c r="FXS88" s="790"/>
      <c r="FXT88" s="790"/>
      <c r="FXU88" s="790"/>
      <c r="FXV88" s="790"/>
      <c r="FXW88" s="790"/>
      <c r="FXX88" s="790"/>
      <c r="FXY88" s="790"/>
      <c r="FXZ88" s="790"/>
      <c r="FYA88" s="790"/>
      <c r="FYB88" s="790"/>
      <c r="FYC88" s="790"/>
      <c r="FYD88" s="790"/>
      <c r="FYE88" s="790"/>
      <c r="FYF88" s="790"/>
      <c r="FYG88" s="790"/>
      <c r="FYH88" s="790"/>
      <c r="FYI88" s="790"/>
      <c r="FYJ88" s="790"/>
      <c r="FYK88" s="790"/>
      <c r="FYL88" s="790"/>
      <c r="FYM88" s="790"/>
      <c r="FYN88" s="790"/>
      <c r="FYO88" s="790"/>
      <c r="FYP88" s="790"/>
      <c r="FYQ88" s="790"/>
      <c r="FYR88" s="790"/>
      <c r="FYS88" s="790"/>
      <c r="FYT88" s="790"/>
      <c r="FYU88" s="790"/>
      <c r="FYV88" s="790"/>
      <c r="FYW88" s="790"/>
      <c r="FYX88" s="790"/>
      <c r="FYY88" s="790"/>
      <c r="FYZ88" s="790"/>
      <c r="FZA88" s="790"/>
      <c r="FZB88" s="790"/>
      <c r="FZC88" s="790"/>
      <c r="FZD88" s="790"/>
      <c r="FZE88" s="790"/>
      <c r="FZF88" s="790"/>
      <c r="FZG88" s="790"/>
      <c r="FZH88" s="790"/>
      <c r="FZI88" s="790"/>
      <c r="FZJ88" s="790"/>
      <c r="FZK88" s="790"/>
      <c r="FZL88" s="790"/>
      <c r="FZM88" s="790"/>
      <c r="FZN88" s="790"/>
      <c r="FZO88" s="790"/>
      <c r="FZP88" s="790"/>
      <c r="FZQ88" s="790"/>
      <c r="FZR88" s="790"/>
      <c r="FZS88" s="790"/>
      <c r="FZT88" s="790"/>
      <c r="FZU88" s="790"/>
      <c r="FZV88" s="790"/>
      <c r="FZW88" s="790"/>
      <c r="FZX88" s="790"/>
      <c r="FZY88" s="790"/>
      <c r="FZZ88" s="790"/>
      <c r="GAA88" s="790"/>
      <c r="GAB88" s="790"/>
      <c r="GAC88" s="790"/>
      <c r="GAD88" s="790"/>
      <c r="GAE88" s="790"/>
      <c r="GAF88" s="790"/>
      <c r="GAG88" s="790"/>
      <c r="GAH88" s="790"/>
      <c r="GAI88" s="790"/>
      <c r="GAJ88" s="790"/>
      <c r="GAK88" s="790"/>
      <c r="GAL88" s="790"/>
      <c r="GAM88" s="790"/>
      <c r="GAN88" s="790"/>
      <c r="GAO88" s="790"/>
      <c r="GAP88" s="790"/>
      <c r="GAQ88" s="790"/>
      <c r="GAR88" s="790"/>
      <c r="GAS88" s="790"/>
      <c r="GAT88" s="790"/>
      <c r="GAU88" s="790"/>
      <c r="GAV88" s="790"/>
      <c r="GAW88" s="790"/>
      <c r="GAX88" s="790"/>
      <c r="GAY88" s="790"/>
      <c r="GAZ88" s="790"/>
      <c r="GBA88" s="790"/>
      <c r="GBB88" s="790"/>
      <c r="GBC88" s="790"/>
      <c r="GBD88" s="790"/>
      <c r="GBE88" s="790"/>
      <c r="GBF88" s="790"/>
      <c r="GBG88" s="790"/>
      <c r="GBH88" s="790"/>
      <c r="GBI88" s="790"/>
      <c r="GBJ88" s="790"/>
      <c r="GBK88" s="790"/>
      <c r="GBL88" s="790"/>
      <c r="GBM88" s="790"/>
      <c r="GBN88" s="790"/>
      <c r="GBO88" s="790"/>
      <c r="GBP88" s="790"/>
      <c r="GBQ88" s="790"/>
      <c r="GBR88" s="790"/>
      <c r="GBS88" s="790"/>
      <c r="GBT88" s="790"/>
      <c r="GBU88" s="790"/>
      <c r="GBV88" s="790"/>
      <c r="GBW88" s="790"/>
      <c r="GBX88" s="790"/>
      <c r="GBY88" s="790"/>
      <c r="GBZ88" s="790"/>
      <c r="GCA88" s="790"/>
      <c r="GCB88" s="790"/>
      <c r="GCC88" s="790"/>
      <c r="GCD88" s="790"/>
      <c r="GCE88" s="790"/>
      <c r="GCF88" s="790"/>
      <c r="GCG88" s="790"/>
      <c r="GCH88" s="790"/>
      <c r="GCI88" s="790"/>
      <c r="GCJ88" s="790"/>
      <c r="GCK88" s="790"/>
      <c r="GCL88" s="790"/>
      <c r="GCM88" s="790"/>
      <c r="GCN88" s="790"/>
      <c r="GCO88" s="790"/>
      <c r="GCP88" s="790"/>
      <c r="GCQ88" s="790"/>
      <c r="GCR88" s="790"/>
      <c r="GCS88" s="790"/>
      <c r="GCT88" s="790"/>
      <c r="GCU88" s="790"/>
      <c r="GCV88" s="790"/>
      <c r="GCW88" s="790"/>
      <c r="GCX88" s="790"/>
      <c r="GCY88" s="790"/>
      <c r="GCZ88" s="790"/>
      <c r="GDA88" s="790"/>
      <c r="GDB88" s="790"/>
      <c r="GDC88" s="790"/>
      <c r="GDD88" s="790"/>
      <c r="GDE88" s="790"/>
      <c r="GDF88" s="790"/>
      <c r="GDG88" s="790"/>
      <c r="GDH88" s="790"/>
      <c r="GDI88" s="790"/>
      <c r="GDJ88" s="790"/>
      <c r="GDK88" s="790"/>
      <c r="GDL88" s="790"/>
      <c r="GDM88" s="790"/>
      <c r="GDN88" s="790"/>
      <c r="GDO88" s="790"/>
      <c r="GDP88" s="790"/>
      <c r="GDQ88" s="790"/>
      <c r="GDR88" s="790"/>
      <c r="GDS88" s="790"/>
      <c r="GDT88" s="790"/>
      <c r="GDU88" s="790"/>
      <c r="GDV88" s="790"/>
      <c r="GDW88" s="790"/>
      <c r="GDX88" s="790"/>
      <c r="GDY88" s="790"/>
      <c r="GDZ88" s="790"/>
      <c r="GEA88" s="790"/>
      <c r="GEB88" s="790"/>
      <c r="GEC88" s="790"/>
      <c r="GED88" s="790"/>
      <c r="GEE88" s="790"/>
      <c r="GEF88" s="790"/>
      <c r="GEG88" s="790"/>
      <c r="GEH88" s="790"/>
      <c r="GEI88" s="790"/>
      <c r="GEJ88" s="790"/>
      <c r="GEK88" s="790"/>
      <c r="GEL88" s="790"/>
      <c r="GEM88" s="790"/>
      <c r="GEN88" s="790"/>
      <c r="GEO88" s="790"/>
      <c r="GEP88" s="790"/>
      <c r="GEQ88" s="790"/>
      <c r="GER88" s="790"/>
      <c r="GES88" s="790"/>
      <c r="GET88" s="790"/>
      <c r="GEU88" s="790"/>
      <c r="GEV88" s="790"/>
      <c r="GEW88" s="790"/>
      <c r="GEX88" s="790"/>
      <c r="GEY88" s="790"/>
      <c r="GEZ88" s="790"/>
      <c r="GFA88" s="790"/>
      <c r="GFB88" s="790"/>
      <c r="GFC88" s="790"/>
      <c r="GFD88" s="790"/>
      <c r="GFE88" s="790"/>
      <c r="GFF88" s="790"/>
      <c r="GFG88" s="790"/>
      <c r="GFH88" s="790"/>
      <c r="GFI88" s="790"/>
      <c r="GFJ88" s="790"/>
      <c r="GFK88" s="790"/>
      <c r="GFL88" s="790"/>
      <c r="GFM88" s="790"/>
      <c r="GFN88" s="790"/>
      <c r="GFO88" s="790"/>
      <c r="GFP88" s="790"/>
      <c r="GFQ88" s="790"/>
      <c r="GFR88" s="790"/>
      <c r="GFS88" s="790"/>
      <c r="GFT88" s="790"/>
      <c r="GFU88" s="790"/>
      <c r="GFV88" s="790"/>
      <c r="GFW88" s="790"/>
      <c r="GFX88" s="790"/>
      <c r="GFY88" s="790"/>
      <c r="GFZ88" s="790"/>
      <c r="GGA88" s="790"/>
      <c r="GGB88" s="790"/>
      <c r="GGC88" s="790"/>
      <c r="GGD88" s="790"/>
      <c r="GGE88" s="790"/>
      <c r="GGF88" s="790"/>
      <c r="GGG88" s="790"/>
      <c r="GGH88" s="790"/>
      <c r="GGI88" s="790"/>
      <c r="GGJ88" s="790"/>
      <c r="GGK88" s="790"/>
      <c r="GGL88" s="790"/>
      <c r="GGM88" s="790"/>
      <c r="GGN88" s="790"/>
      <c r="GGO88" s="790"/>
      <c r="GGP88" s="790"/>
      <c r="GGQ88" s="790"/>
      <c r="GGR88" s="790"/>
      <c r="GGS88" s="790"/>
      <c r="GGT88" s="790"/>
      <c r="GGU88" s="790"/>
      <c r="GGV88" s="790"/>
      <c r="GGW88" s="790"/>
      <c r="GGX88" s="790"/>
      <c r="GGY88" s="790"/>
      <c r="GGZ88" s="790"/>
      <c r="GHA88" s="790"/>
      <c r="GHB88" s="790"/>
      <c r="GHC88" s="790"/>
      <c r="GHD88" s="790"/>
      <c r="GHE88" s="790"/>
      <c r="GHF88" s="790"/>
      <c r="GHG88" s="790"/>
      <c r="GHH88" s="790"/>
      <c r="GHI88" s="790"/>
      <c r="GHJ88" s="790"/>
      <c r="GHK88" s="790"/>
      <c r="GHL88" s="790"/>
      <c r="GHM88" s="790"/>
      <c r="GHN88" s="790"/>
      <c r="GHO88" s="790"/>
      <c r="GHP88" s="790"/>
      <c r="GHQ88" s="790"/>
      <c r="GHR88" s="790"/>
      <c r="GHS88" s="790"/>
      <c r="GHT88" s="790"/>
      <c r="GHU88" s="790"/>
      <c r="GHV88" s="790"/>
      <c r="GHW88" s="790"/>
      <c r="GHX88" s="790"/>
      <c r="GHY88" s="790"/>
      <c r="GHZ88" s="790"/>
      <c r="GIA88" s="790"/>
      <c r="GIB88" s="790"/>
      <c r="GIC88" s="790"/>
      <c r="GID88" s="790"/>
      <c r="GIE88" s="790"/>
      <c r="GIF88" s="790"/>
      <c r="GIG88" s="790"/>
      <c r="GIH88" s="790"/>
      <c r="GII88" s="790"/>
      <c r="GIJ88" s="790"/>
      <c r="GIK88" s="790"/>
      <c r="GIL88" s="790"/>
      <c r="GIM88" s="790"/>
      <c r="GIN88" s="790"/>
      <c r="GIO88" s="790"/>
      <c r="GIP88" s="790"/>
      <c r="GIQ88" s="790"/>
      <c r="GIR88" s="790"/>
      <c r="GIS88" s="790"/>
      <c r="GIT88" s="790"/>
      <c r="GIU88" s="790"/>
      <c r="GIV88" s="790"/>
      <c r="GIW88" s="790"/>
      <c r="GIX88" s="790"/>
      <c r="GIY88" s="790"/>
      <c r="GIZ88" s="790"/>
      <c r="GJA88" s="790"/>
      <c r="GJB88" s="790"/>
      <c r="GJC88" s="790"/>
      <c r="GJD88" s="790"/>
      <c r="GJE88" s="790"/>
      <c r="GJF88" s="790"/>
      <c r="GJG88" s="790"/>
      <c r="GJH88" s="790"/>
      <c r="GJI88" s="790"/>
      <c r="GJJ88" s="790"/>
      <c r="GJK88" s="790"/>
      <c r="GJL88" s="790"/>
      <c r="GJM88" s="790"/>
      <c r="GJN88" s="790"/>
      <c r="GJO88" s="790"/>
      <c r="GJP88" s="790"/>
      <c r="GJQ88" s="790"/>
      <c r="GJR88" s="790"/>
      <c r="GJS88" s="790"/>
      <c r="GJT88" s="790"/>
      <c r="GJU88" s="790"/>
      <c r="GJV88" s="790"/>
      <c r="GJW88" s="790"/>
      <c r="GJX88" s="790"/>
      <c r="GJY88" s="790"/>
      <c r="GJZ88" s="790"/>
      <c r="GKA88" s="790"/>
      <c r="GKB88" s="790"/>
      <c r="GKC88" s="790"/>
      <c r="GKD88" s="790"/>
      <c r="GKE88" s="790"/>
      <c r="GKF88" s="790"/>
      <c r="GKG88" s="790"/>
      <c r="GKH88" s="790"/>
      <c r="GKI88" s="790"/>
      <c r="GKJ88" s="790"/>
      <c r="GKK88" s="790"/>
      <c r="GKL88" s="790"/>
      <c r="GKM88" s="790"/>
      <c r="GKN88" s="790"/>
      <c r="GKO88" s="790"/>
      <c r="GKP88" s="790"/>
      <c r="GKQ88" s="790"/>
      <c r="GKR88" s="790"/>
      <c r="GKS88" s="790"/>
      <c r="GKT88" s="790"/>
      <c r="GKU88" s="790"/>
      <c r="GKV88" s="790"/>
      <c r="GKW88" s="790"/>
      <c r="GKX88" s="790"/>
      <c r="GKY88" s="790"/>
      <c r="GKZ88" s="790"/>
      <c r="GLA88" s="790"/>
      <c r="GLB88" s="790"/>
      <c r="GLC88" s="790"/>
      <c r="GLD88" s="790"/>
      <c r="GLE88" s="790"/>
      <c r="GLF88" s="790"/>
      <c r="GLG88" s="790"/>
      <c r="GLH88" s="790"/>
      <c r="GLI88" s="790"/>
      <c r="GLJ88" s="790"/>
      <c r="GLK88" s="790"/>
      <c r="GLL88" s="790"/>
      <c r="GLM88" s="790"/>
      <c r="GLN88" s="790"/>
      <c r="GLO88" s="790"/>
      <c r="GLP88" s="790"/>
      <c r="GLQ88" s="790"/>
      <c r="GLR88" s="790"/>
      <c r="GLS88" s="790"/>
      <c r="GLT88" s="790"/>
      <c r="GLU88" s="790"/>
      <c r="GLV88" s="790"/>
      <c r="GLW88" s="790"/>
      <c r="GLX88" s="790"/>
      <c r="GLY88" s="790"/>
      <c r="GLZ88" s="790"/>
      <c r="GMA88" s="790"/>
      <c r="GMB88" s="790"/>
      <c r="GMC88" s="790"/>
      <c r="GMD88" s="790"/>
      <c r="GME88" s="790"/>
      <c r="GMF88" s="790"/>
      <c r="GMG88" s="790"/>
      <c r="GMH88" s="790"/>
      <c r="GMI88" s="790"/>
      <c r="GMJ88" s="790"/>
      <c r="GMK88" s="790"/>
      <c r="GML88" s="790"/>
      <c r="GMM88" s="790"/>
      <c r="GMN88" s="790"/>
      <c r="GMO88" s="790"/>
      <c r="GMP88" s="790"/>
      <c r="GMQ88" s="790"/>
      <c r="GMR88" s="790"/>
      <c r="GMS88" s="790"/>
      <c r="GMT88" s="790"/>
      <c r="GMU88" s="790"/>
      <c r="GMV88" s="790"/>
      <c r="GMW88" s="790"/>
      <c r="GMX88" s="790"/>
      <c r="GMY88" s="790"/>
      <c r="GMZ88" s="790"/>
      <c r="GNA88" s="790"/>
      <c r="GNB88" s="790"/>
      <c r="GNC88" s="790"/>
      <c r="GND88" s="790"/>
      <c r="GNE88" s="790"/>
      <c r="GNF88" s="790"/>
      <c r="GNG88" s="790"/>
      <c r="GNH88" s="790"/>
      <c r="GNI88" s="790"/>
      <c r="GNJ88" s="790"/>
      <c r="GNK88" s="790"/>
      <c r="GNL88" s="790"/>
      <c r="GNM88" s="790"/>
      <c r="GNN88" s="790"/>
      <c r="GNO88" s="790"/>
      <c r="GNP88" s="790"/>
      <c r="GNQ88" s="790"/>
      <c r="GNR88" s="790"/>
      <c r="GNS88" s="790"/>
      <c r="GNT88" s="790"/>
      <c r="GNU88" s="790"/>
      <c r="GNV88" s="790"/>
      <c r="GNW88" s="790"/>
      <c r="GNX88" s="790"/>
      <c r="GNY88" s="790"/>
      <c r="GNZ88" s="790"/>
      <c r="GOA88" s="790"/>
      <c r="GOB88" s="790"/>
      <c r="GOC88" s="790"/>
      <c r="GOD88" s="790"/>
      <c r="GOE88" s="790"/>
      <c r="GOF88" s="790"/>
      <c r="GOG88" s="790"/>
      <c r="GOH88" s="790"/>
      <c r="GOI88" s="790"/>
      <c r="GOJ88" s="790"/>
      <c r="GOK88" s="790"/>
      <c r="GOL88" s="790"/>
      <c r="GOM88" s="790"/>
      <c r="GON88" s="790"/>
      <c r="GOO88" s="790"/>
      <c r="GOP88" s="790"/>
      <c r="GOQ88" s="790"/>
      <c r="GOR88" s="790"/>
      <c r="GOS88" s="790"/>
      <c r="GOT88" s="790"/>
      <c r="GOU88" s="790"/>
      <c r="GOV88" s="790"/>
      <c r="GOW88" s="790"/>
      <c r="GOX88" s="790"/>
      <c r="GOY88" s="790"/>
      <c r="GOZ88" s="790"/>
      <c r="GPA88" s="790"/>
      <c r="GPB88" s="790"/>
      <c r="GPC88" s="790"/>
      <c r="GPD88" s="790"/>
      <c r="GPE88" s="790"/>
      <c r="GPF88" s="790"/>
      <c r="GPG88" s="790"/>
      <c r="GPH88" s="790"/>
      <c r="GPI88" s="790"/>
      <c r="GPJ88" s="790"/>
      <c r="GPK88" s="790"/>
      <c r="GPL88" s="790"/>
      <c r="GPM88" s="790"/>
      <c r="GPN88" s="790"/>
      <c r="GPO88" s="790"/>
      <c r="GPP88" s="790"/>
      <c r="GPQ88" s="790"/>
      <c r="GPR88" s="790"/>
      <c r="GPS88" s="790"/>
      <c r="GPT88" s="790"/>
      <c r="GPU88" s="790"/>
      <c r="GPV88" s="790"/>
      <c r="GPW88" s="790"/>
      <c r="GPX88" s="790"/>
      <c r="GPY88" s="790"/>
      <c r="GPZ88" s="790"/>
      <c r="GQA88" s="790"/>
      <c r="GQB88" s="790"/>
      <c r="GQC88" s="790"/>
      <c r="GQD88" s="790"/>
      <c r="GQE88" s="790"/>
      <c r="GQF88" s="790"/>
      <c r="GQG88" s="790"/>
      <c r="GQH88" s="790"/>
      <c r="GQI88" s="790"/>
      <c r="GQJ88" s="790"/>
      <c r="GQK88" s="790"/>
      <c r="GQL88" s="790"/>
      <c r="GQM88" s="790"/>
      <c r="GQN88" s="790"/>
      <c r="GQO88" s="790"/>
      <c r="GQP88" s="790"/>
      <c r="GQQ88" s="790"/>
      <c r="GQR88" s="790"/>
      <c r="GQS88" s="790"/>
      <c r="GQT88" s="790"/>
      <c r="GQU88" s="790"/>
      <c r="GQV88" s="790"/>
      <c r="GQW88" s="790"/>
      <c r="GQX88" s="790"/>
      <c r="GQY88" s="790"/>
      <c r="GQZ88" s="790"/>
      <c r="GRA88" s="790"/>
      <c r="GRB88" s="790"/>
      <c r="GRC88" s="790"/>
      <c r="GRD88" s="790"/>
      <c r="GRE88" s="790"/>
      <c r="GRF88" s="790"/>
      <c r="GRG88" s="790"/>
      <c r="GRH88" s="790"/>
      <c r="GRI88" s="790"/>
      <c r="GRJ88" s="790"/>
      <c r="GRK88" s="790"/>
      <c r="GRL88" s="790"/>
      <c r="GRM88" s="790"/>
      <c r="GRN88" s="790"/>
      <c r="GRO88" s="790"/>
      <c r="GRP88" s="790"/>
      <c r="GRQ88" s="790"/>
      <c r="GRR88" s="790"/>
      <c r="GRS88" s="790"/>
      <c r="GRT88" s="790"/>
      <c r="GRU88" s="790"/>
      <c r="GRV88" s="790"/>
      <c r="GRW88" s="790"/>
      <c r="GRX88" s="790"/>
      <c r="GRY88" s="790"/>
      <c r="GRZ88" s="790"/>
      <c r="GSA88" s="790"/>
      <c r="GSB88" s="790"/>
      <c r="GSC88" s="790"/>
      <c r="GSD88" s="790"/>
      <c r="GSE88" s="790"/>
      <c r="GSF88" s="790"/>
      <c r="GSG88" s="790"/>
      <c r="GSH88" s="790"/>
      <c r="GSI88" s="790"/>
      <c r="GSJ88" s="790"/>
      <c r="GSK88" s="790"/>
      <c r="GSL88" s="790"/>
      <c r="GSM88" s="790"/>
      <c r="GSN88" s="790"/>
      <c r="GSO88" s="790"/>
      <c r="GSP88" s="790"/>
      <c r="GSQ88" s="790"/>
      <c r="GSR88" s="790"/>
      <c r="GSS88" s="790"/>
      <c r="GST88" s="790"/>
      <c r="GSU88" s="790"/>
      <c r="GSV88" s="790"/>
      <c r="GSW88" s="790"/>
      <c r="GSX88" s="790"/>
      <c r="GSY88" s="790"/>
      <c r="GSZ88" s="790"/>
      <c r="GTA88" s="790"/>
      <c r="GTB88" s="790"/>
      <c r="GTC88" s="790"/>
      <c r="GTD88" s="790"/>
      <c r="GTE88" s="790"/>
      <c r="GTF88" s="790"/>
      <c r="GTG88" s="790"/>
      <c r="GTH88" s="790"/>
      <c r="GTI88" s="790"/>
      <c r="GTJ88" s="790"/>
      <c r="GTK88" s="790"/>
      <c r="GTL88" s="790"/>
      <c r="GTM88" s="790"/>
      <c r="GTN88" s="790"/>
      <c r="GTO88" s="790"/>
      <c r="GTP88" s="790"/>
      <c r="GTQ88" s="790"/>
      <c r="GTR88" s="790"/>
      <c r="GTS88" s="790"/>
      <c r="GTT88" s="790"/>
      <c r="GTU88" s="790"/>
      <c r="GTV88" s="790"/>
      <c r="GTW88" s="790"/>
      <c r="GTX88" s="790"/>
      <c r="GTY88" s="790"/>
      <c r="GTZ88" s="790"/>
      <c r="GUA88" s="790"/>
      <c r="GUB88" s="790"/>
      <c r="GUC88" s="790"/>
      <c r="GUD88" s="790"/>
      <c r="GUE88" s="790"/>
      <c r="GUF88" s="790"/>
      <c r="GUG88" s="790"/>
      <c r="GUH88" s="790"/>
      <c r="GUI88" s="790"/>
      <c r="GUJ88" s="790"/>
      <c r="GUK88" s="790"/>
      <c r="GUL88" s="790"/>
      <c r="GUM88" s="790"/>
      <c r="GUN88" s="790"/>
      <c r="GUO88" s="790"/>
      <c r="GUP88" s="790"/>
      <c r="GUQ88" s="790"/>
      <c r="GUR88" s="790"/>
      <c r="GUS88" s="790"/>
      <c r="GUT88" s="790"/>
      <c r="GUU88" s="790"/>
      <c r="GUV88" s="790"/>
      <c r="GUW88" s="790"/>
      <c r="GUX88" s="790"/>
      <c r="GUY88" s="790"/>
      <c r="GUZ88" s="790"/>
      <c r="GVA88" s="790"/>
      <c r="GVB88" s="790"/>
      <c r="GVC88" s="790"/>
      <c r="GVD88" s="790"/>
      <c r="GVE88" s="790"/>
      <c r="GVF88" s="790"/>
      <c r="GVG88" s="790"/>
      <c r="GVH88" s="790"/>
      <c r="GVI88" s="790"/>
      <c r="GVJ88" s="790"/>
      <c r="GVK88" s="790"/>
      <c r="GVL88" s="790"/>
      <c r="GVM88" s="790"/>
      <c r="GVN88" s="790"/>
      <c r="GVO88" s="790"/>
      <c r="GVP88" s="790"/>
      <c r="GVQ88" s="790"/>
      <c r="GVR88" s="790"/>
      <c r="GVS88" s="790"/>
      <c r="GVT88" s="790"/>
      <c r="GVU88" s="790"/>
      <c r="GVV88" s="790"/>
      <c r="GVW88" s="790"/>
      <c r="GVX88" s="790"/>
      <c r="GVY88" s="790"/>
      <c r="GVZ88" s="790"/>
      <c r="GWA88" s="790"/>
      <c r="GWB88" s="790"/>
      <c r="GWC88" s="790"/>
      <c r="GWD88" s="790"/>
      <c r="GWE88" s="790"/>
      <c r="GWF88" s="790"/>
      <c r="GWG88" s="790"/>
      <c r="GWH88" s="790"/>
      <c r="GWI88" s="790"/>
      <c r="GWJ88" s="790"/>
      <c r="GWK88" s="790"/>
      <c r="GWL88" s="790"/>
      <c r="GWM88" s="790"/>
      <c r="GWN88" s="790"/>
      <c r="GWO88" s="790"/>
      <c r="GWP88" s="790"/>
      <c r="GWQ88" s="790"/>
      <c r="GWR88" s="790"/>
      <c r="GWS88" s="790"/>
      <c r="GWT88" s="790"/>
      <c r="GWU88" s="790"/>
      <c r="GWV88" s="790"/>
      <c r="GWW88" s="790"/>
      <c r="GWX88" s="790"/>
      <c r="GWY88" s="790"/>
      <c r="GWZ88" s="790"/>
      <c r="GXA88" s="790"/>
      <c r="GXB88" s="790"/>
      <c r="GXC88" s="790"/>
      <c r="GXD88" s="790"/>
      <c r="GXE88" s="790"/>
      <c r="GXF88" s="790"/>
      <c r="GXG88" s="790"/>
      <c r="GXH88" s="790"/>
      <c r="GXI88" s="790"/>
      <c r="GXJ88" s="790"/>
      <c r="GXK88" s="790"/>
      <c r="GXL88" s="790"/>
      <c r="GXM88" s="790"/>
      <c r="GXN88" s="790"/>
      <c r="GXO88" s="790"/>
      <c r="GXP88" s="790"/>
      <c r="GXQ88" s="790"/>
      <c r="GXR88" s="790"/>
      <c r="GXS88" s="790"/>
      <c r="GXT88" s="790"/>
      <c r="GXU88" s="790"/>
      <c r="GXV88" s="790"/>
      <c r="GXW88" s="790"/>
      <c r="GXX88" s="790"/>
      <c r="GXY88" s="790"/>
      <c r="GXZ88" s="790"/>
      <c r="GYA88" s="790"/>
      <c r="GYB88" s="790"/>
      <c r="GYC88" s="790"/>
      <c r="GYD88" s="790"/>
      <c r="GYE88" s="790"/>
      <c r="GYF88" s="790"/>
      <c r="GYG88" s="790"/>
      <c r="GYH88" s="790"/>
      <c r="GYI88" s="790"/>
      <c r="GYJ88" s="790"/>
      <c r="GYK88" s="790"/>
      <c r="GYL88" s="790"/>
      <c r="GYM88" s="790"/>
      <c r="GYN88" s="790"/>
      <c r="GYO88" s="790"/>
      <c r="GYP88" s="790"/>
      <c r="GYQ88" s="790"/>
      <c r="GYR88" s="790"/>
      <c r="GYS88" s="790"/>
      <c r="GYT88" s="790"/>
      <c r="GYU88" s="790"/>
      <c r="GYV88" s="790"/>
      <c r="GYW88" s="790"/>
      <c r="GYX88" s="790"/>
      <c r="GYY88" s="790"/>
      <c r="GYZ88" s="790"/>
      <c r="GZA88" s="790"/>
      <c r="GZB88" s="790"/>
      <c r="GZC88" s="790"/>
      <c r="GZD88" s="790"/>
      <c r="GZE88" s="790"/>
      <c r="GZF88" s="790"/>
      <c r="GZG88" s="790"/>
      <c r="GZH88" s="790"/>
      <c r="GZI88" s="790"/>
      <c r="GZJ88" s="790"/>
      <c r="GZK88" s="790"/>
      <c r="GZL88" s="790"/>
      <c r="GZM88" s="790"/>
      <c r="GZN88" s="790"/>
      <c r="GZO88" s="790"/>
      <c r="GZP88" s="790"/>
      <c r="GZQ88" s="790"/>
      <c r="GZR88" s="790"/>
      <c r="GZS88" s="790"/>
      <c r="GZT88" s="790"/>
      <c r="GZU88" s="790"/>
      <c r="GZV88" s="790"/>
      <c r="GZW88" s="790"/>
      <c r="GZX88" s="790"/>
      <c r="GZY88" s="790"/>
      <c r="GZZ88" s="790"/>
      <c r="HAA88" s="790"/>
      <c r="HAB88" s="790"/>
      <c r="HAC88" s="790"/>
      <c r="HAD88" s="790"/>
      <c r="HAE88" s="790"/>
      <c r="HAF88" s="790"/>
      <c r="HAG88" s="790"/>
      <c r="HAH88" s="790"/>
      <c r="HAI88" s="790"/>
      <c r="HAJ88" s="790"/>
      <c r="HAK88" s="790"/>
      <c r="HAL88" s="790"/>
      <c r="HAM88" s="790"/>
      <c r="HAN88" s="790"/>
      <c r="HAO88" s="790"/>
      <c r="HAP88" s="790"/>
      <c r="HAQ88" s="790"/>
      <c r="HAR88" s="790"/>
      <c r="HAS88" s="790"/>
      <c r="HAT88" s="790"/>
      <c r="HAU88" s="790"/>
      <c r="HAV88" s="790"/>
      <c r="HAW88" s="790"/>
      <c r="HAX88" s="790"/>
      <c r="HAY88" s="790"/>
      <c r="HAZ88" s="790"/>
      <c r="HBA88" s="790"/>
      <c r="HBB88" s="790"/>
      <c r="HBC88" s="790"/>
      <c r="HBD88" s="790"/>
      <c r="HBE88" s="790"/>
      <c r="HBF88" s="790"/>
      <c r="HBG88" s="790"/>
      <c r="HBH88" s="790"/>
      <c r="HBI88" s="790"/>
      <c r="HBJ88" s="790"/>
      <c r="HBK88" s="790"/>
      <c r="HBL88" s="790"/>
      <c r="HBM88" s="790"/>
      <c r="HBN88" s="790"/>
      <c r="HBO88" s="790"/>
      <c r="HBP88" s="790"/>
      <c r="HBQ88" s="790"/>
      <c r="HBR88" s="790"/>
      <c r="HBS88" s="790"/>
      <c r="HBT88" s="790"/>
      <c r="HBU88" s="790"/>
      <c r="HBV88" s="790"/>
      <c r="HBW88" s="790"/>
      <c r="HBX88" s="790"/>
      <c r="HBY88" s="790"/>
      <c r="HBZ88" s="790"/>
      <c r="HCA88" s="790"/>
      <c r="HCB88" s="790"/>
      <c r="HCC88" s="790"/>
      <c r="HCD88" s="790"/>
      <c r="HCE88" s="790"/>
      <c r="HCF88" s="790"/>
      <c r="HCG88" s="790"/>
      <c r="HCH88" s="790"/>
      <c r="HCI88" s="790"/>
      <c r="HCJ88" s="790"/>
      <c r="HCK88" s="790"/>
      <c r="HCL88" s="790"/>
      <c r="HCM88" s="790"/>
      <c r="HCN88" s="790"/>
      <c r="HCO88" s="790"/>
      <c r="HCP88" s="790"/>
      <c r="HCQ88" s="790"/>
      <c r="HCR88" s="790"/>
      <c r="HCS88" s="790"/>
      <c r="HCT88" s="790"/>
      <c r="HCU88" s="790"/>
      <c r="HCV88" s="790"/>
      <c r="HCW88" s="790"/>
      <c r="HCX88" s="790"/>
      <c r="HCY88" s="790"/>
      <c r="HCZ88" s="790"/>
      <c r="HDA88" s="790"/>
      <c r="HDB88" s="790"/>
      <c r="HDC88" s="790"/>
      <c r="HDD88" s="790"/>
      <c r="HDE88" s="790"/>
      <c r="HDF88" s="790"/>
      <c r="HDG88" s="790"/>
      <c r="HDH88" s="790"/>
      <c r="HDI88" s="790"/>
      <c r="HDJ88" s="790"/>
      <c r="HDK88" s="790"/>
      <c r="HDL88" s="790"/>
      <c r="HDM88" s="790"/>
      <c r="HDN88" s="790"/>
      <c r="HDO88" s="790"/>
      <c r="HDP88" s="790"/>
      <c r="HDQ88" s="790"/>
      <c r="HDR88" s="790"/>
      <c r="HDS88" s="790"/>
      <c r="HDT88" s="790"/>
      <c r="HDU88" s="790"/>
      <c r="HDV88" s="790"/>
      <c r="HDW88" s="790"/>
      <c r="HDX88" s="790"/>
      <c r="HDY88" s="790"/>
      <c r="HDZ88" s="790"/>
      <c r="HEA88" s="790"/>
      <c r="HEB88" s="790"/>
      <c r="HEC88" s="790"/>
      <c r="HED88" s="790"/>
      <c r="HEE88" s="790"/>
      <c r="HEF88" s="790"/>
      <c r="HEG88" s="790"/>
      <c r="HEH88" s="790"/>
      <c r="HEI88" s="790"/>
      <c r="HEJ88" s="790"/>
      <c r="HEK88" s="790"/>
      <c r="HEL88" s="790"/>
      <c r="HEM88" s="790"/>
      <c r="HEN88" s="790"/>
      <c r="HEO88" s="790"/>
      <c r="HEP88" s="790"/>
      <c r="HEQ88" s="790"/>
      <c r="HER88" s="790"/>
      <c r="HES88" s="790"/>
      <c r="HET88" s="790"/>
      <c r="HEU88" s="790"/>
      <c r="HEV88" s="790"/>
      <c r="HEW88" s="790"/>
      <c r="HEX88" s="790"/>
      <c r="HEY88" s="790"/>
      <c r="HEZ88" s="790"/>
      <c r="HFA88" s="790"/>
      <c r="HFB88" s="790"/>
      <c r="HFC88" s="790"/>
      <c r="HFD88" s="790"/>
      <c r="HFE88" s="790"/>
      <c r="HFF88" s="790"/>
      <c r="HFG88" s="790"/>
      <c r="HFH88" s="790"/>
      <c r="HFI88" s="790"/>
      <c r="HFJ88" s="790"/>
      <c r="HFK88" s="790"/>
      <c r="HFL88" s="790"/>
      <c r="HFM88" s="790"/>
      <c r="HFN88" s="790"/>
      <c r="HFO88" s="790"/>
      <c r="HFP88" s="790"/>
      <c r="HFQ88" s="790"/>
      <c r="HFR88" s="790"/>
      <c r="HFS88" s="790"/>
      <c r="HFT88" s="790"/>
      <c r="HFU88" s="790"/>
      <c r="HFV88" s="790"/>
      <c r="HFW88" s="790"/>
      <c r="HFX88" s="790"/>
      <c r="HFY88" s="790"/>
      <c r="HFZ88" s="790"/>
      <c r="HGA88" s="790"/>
      <c r="HGB88" s="790"/>
      <c r="HGC88" s="790"/>
      <c r="HGD88" s="790"/>
      <c r="HGE88" s="790"/>
      <c r="HGF88" s="790"/>
      <c r="HGG88" s="790"/>
      <c r="HGH88" s="790"/>
      <c r="HGI88" s="790"/>
      <c r="HGJ88" s="790"/>
      <c r="HGK88" s="790"/>
      <c r="HGL88" s="790"/>
      <c r="HGM88" s="790"/>
      <c r="HGN88" s="790"/>
      <c r="HGO88" s="790"/>
      <c r="HGP88" s="790"/>
      <c r="HGQ88" s="790"/>
      <c r="HGR88" s="790"/>
      <c r="HGS88" s="790"/>
      <c r="HGT88" s="790"/>
      <c r="HGU88" s="790"/>
      <c r="HGV88" s="790"/>
      <c r="HGW88" s="790"/>
      <c r="HGX88" s="790"/>
      <c r="HGY88" s="790"/>
      <c r="HGZ88" s="790"/>
      <c r="HHA88" s="790"/>
      <c r="HHB88" s="790"/>
      <c r="HHC88" s="790"/>
      <c r="HHD88" s="790"/>
      <c r="HHE88" s="790"/>
      <c r="HHF88" s="790"/>
      <c r="HHG88" s="790"/>
      <c r="HHH88" s="790"/>
      <c r="HHI88" s="790"/>
      <c r="HHJ88" s="790"/>
      <c r="HHK88" s="790"/>
      <c r="HHL88" s="790"/>
      <c r="HHM88" s="790"/>
      <c r="HHN88" s="790"/>
      <c r="HHO88" s="790"/>
      <c r="HHP88" s="790"/>
      <c r="HHQ88" s="790"/>
      <c r="HHR88" s="790"/>
      <c r="HHS88" s="790"/>
      <c r="HHT88" s="790"/>
      <c r="HHU88" s="790"/>
      <c r="HHV88" s="790"/>
      <c r="HHW88" s="790"/>
      <c r="HHX88" s="790"/>
      <c r="HHY88" s="790"/>
      <c r="HHZ88" s="790"/>
      <c r="HIA88" s="790"/>
      <c r="HIB88" s="790"/>
      <c r="HIC88" s="790"/>
      <c r="HID88" s="790"/>
      <c r="HIE88" s="790"/>
      <c r="HIF88" s="790"/>
      <c r="HIG88" s="790"/>
      <c r="HIH88" s="790"/>
      <c r="HII88" s="790"/>
      <c r="HIJ88" s="790"/>
      <c r="HIK88" s="790"/>
      <c r="HIL88" s="790"/>
      <c r="HIM88" s="790"/>
      <c r="HIN88" s="790"/>
      <c r="HIO88" s="790"/>
      <c r="HIP88" s="790"/>
      <c r="HIQ88" s="790"/>
      <c r="HIR88" s="790"/>
      <c r="HIS88" s="790"/>
      <c r="HIT88" s="790"/>
      <c r="HIU88" s="790"/>
      <c r="HIV88" s="790"/>
      <c r="HIW88" s="790"/>
      <c r="HIX88" s="790"/>
      <c r="HIY88" s="790"/>
      <c r="HIZ88" s="790"/>
      <c r="HJA88" s="790"/>
      <c r="HJB88" s="790"/>
      <c r="HJC88" s="790"/>
      <c r="HJD88" s="790"/>
      <c r="HJE88" s="790"/>
      <c r="HJF88" s="790"/>
      <c r="HJG88" s="790"/>
      <c r="HJH88" s="790"/>
      <c r="HJI88" s="790"/>
      <c r="HJJ88" s="790"/>
      <c r="HJK88" s="790"/>
      <c r="HJL88" s="790"/>
      <c r="HJM88" s="790"/>
      <c r="HJN88" s="790"/>
      <c r="HJO88" s="790"/>
      <c r="HJP88" s="790"/>
      <c r="HJQ88" s="790"/>
      <c r="HJR88" s="790"/>
      <c r="HJS88" s="790"/>
      <c r="HJT88" s="790"/>
      <c r="HJU88" s="790"/>
      <c r="HJV88" s="790"/>
      <c r="HJW88" s="790"/>
      <c r="HJX88" s="790"/>
      <c r="HJY88" s="790"/>
      <c r="HJZ88" s="790"/>
      <c r="HKA88" s="790"/>
      <c r="HKB88" s="790"/>
      <c r="HKC88" s="790"/>
      <c r="HKD88" s="790"/>
      <c r="HKE88" s="790"/>
      <c r="HKF88" s="790"/>
      <c r="HKG88" s="790"/>
      <c r="HKH88" s="790"/>
      <c r="HKI88" s="790"/>
      <c r="HKJ88" s="790"/>
      <c r="HKK88" s="790"/>
      <c r="HKL88" s="790"/>
      <c r="HKM88" s="790"/>
      <c r="HKN88" s="790"/>
      <c r="HKO88" s="790"/>
      <c r="HKP88" s="790"/>
      <c r="HKQ88" s="790"/>
      <c r="HKR88" s="790"/>
      <c r="HKS88" s="790"/>
      <c r="HKT88" s="790"/>
      <c r="HKU88" s="790"/>
      <c r="HKV88" s="790"/>
      <c r="HKW88" s="790"/>
      <c r="HKX88" s="790"/>
      <c r="HKY88" s="790"/>
      <c r="HKZ88" s="790"/>
      <c r="HLA88" s="790"/>
      <c r="HLB88" s="790"/>
      <c r="HLC88" s="790"/>
      <c r="HLD88" s="790"/>
      <c r="HLE88" s="790"/>
      <c r="HLF88" s="790"/>
      <c r="HLG88" s="790"/>
      <c r="HLH88" s="790"/>
      <c r="HLI88" s="790"/>
      <c r="HLJ88" s="790"/>
      <c r="HLK88" s="790"/>
      <c r="HLL88" s="790"/>
      <c r="HLM88" s="790"/>
      <c r="HLN88" s="790"/>
      <c r="HLO88" s="790"/>
      <c r="HLP88" s="790"/>
      <c r="HLQ88" s="790"/>
      <c r="HLR88" s="790"/>
      <c r="HLS88" s="790"/>
      <c r="HLT88" s="790"/>
      <c r="HLU88" s="790"/>
      <c r="HLV88" s="790"/>
      <c r="HLW88" s="790"/>
      <c r="HLX88" s="790"/>
      <c r="HLY88" s="790"/>
      <c r="HLZ88" s="790"/>
      <c r="HMA88" s="790"/>
      <c r="HMB88" s="790"/>
      <c r="HMC88" s="790"/>
      <c r="HMD88" s="790"/>
      <c r="HME88" s="790"/>
      <c r="HMF88" s="790"/>
      <c r="HMG88" s="790"/>
      <c r="HMH88" s="790"/>
      <c r="HMI88" s="790"/>
      <c r="HMJ88" s="790"/>
      <c r="HMK88" s="790"/>
      <c r="HML88" s="790"/>
      <c r="HMM88" s="790"/>
      <c r="HMN88" s="790"/>
      <c r="HMO88" s="790"/>
      <c r="HMP88" s="790"/>
      <c r="HMQ88" s="790"/>
      <c r="HMR88" s="790"/>
      <c r="HMS88" s="790"/>
      <c r="HMT88" s="790"/>
      <c r="HMU88" s="790"/>
      <c r="HMV88" s="790"/>
      <c r="HMW88" s="790"/>
      <c r="HMX88" s="790"/>
      <c r="HMY88" s="790"/>
      <c r="HMZ88" s="790"/>
      <c r="HNA88" s="790"/>
      <c r="HNB88" s="790"/>
      <c r="HNC88" s="790"/>
      <c r="HND88" s="790"/>
      <c r="HNE88" s="790"/>
      <c r="HNF88" s="790"/>
      <c r="HNG88" s="790"/>
      <c r="HNH88" s="790"/>
      <c r="HNI88" s="790"/>
      <c r="HNJ88" s="790"/>
      <c r="HNK88" s="790"/>
      <c r="HNL88" s="790"/>
      <c r="HNM88" s="790"/>
      <c r="HNN88" s="790"/>
      <c r="HNO88" s="790"/>
      <c r="HNP88" s="790"/>
      <c r="HNQ88" s="790"/>
      <c r="HNR88" s="790"/>
      <c r="HNS88" s="790"/>
      <c r="HNT88" s="790"/>
      <c r="HNU88" s="790"/>
      <c r="HNV88" s="790"/>
      <c r="HNW88" s="790"/>
      <c r="HNX88" s="790"/>
      <c r="HNY88" s="790"/>
      <c r="HNZ88" s="790"/>
      <c r="HOA88" s="790"/>
      <c r="HOB88" s="790"/>
      <c r="HOC88" s="790"/>
      <c r="HOD88" s="790"/>
      <c r="HOE88" s="790"/>
      <c r="HOF88" s="790"/>
      <c r="HOG88" s="790"/>
      <c r="HOH88" s="790"/>
      <c r="HOI88" s="790"/>
      <c r="HOJ88" s="790"/>
      <c r="HOK88" s="790"/>
      <c r="HOL88" s="790"/>
      <c r="HOM88" s="790"/>
      <c r="HON88" s="790"/>
      <c r="HOO88" s="790"/>
      <c r="HOP88" s="790"/>
      <c r="HOQ88" s="790"/>
      <c r="HOR88" s="790"/>
      <c r="HOS88" s="790"/>
      <c r="HOT88" s="790"/>
      <c r="HOU88" s="790"/>
      <c r="HOV88" s="790"/>
      <c r="HOW88" s="790"/>
      <c r="HOX88" s="790"/>
      <c r="HOY88" s="790"/>
      <c r="HOZ88" s="790"/>
      <c r="HPA88" s="790"/>
      <c r="HPB88" s="790"/>
      <c r="HPC88" s="790"/>
      <c r="HPD88" s="790"/>
      <c r="HPE88" s="790"/>
      <c r="HPF88" s="790"/>
      <c r="HPG88" s="790"/>
      <c r="HPH88" s="790"/>
      <c r="HPI88" s="790"/>
      <c r="HPJ88" s="790"/>
      <c r="HPK88" s="790"/>
      <c r="HPL88" s="790"/>
      <c r="HPM88" s="790"/>
      <c r="HPN88" s="790"/>
      <c r="HPO88" s="790"/>
      <c r="HPP88" s="790"/>
      <c r="HPQ88" s="790"/>
      <c r="HPR88" s="790"/>
      <c r="HPS88" s="790"/>
      <c r="HPT88" s="790"/>
      <c r="HPU88" s="790"/>
      <c r="HPV88" s="790"/>
      <c r="HPW88" s="790"/>
      <c r="HPX88" s="790"/>
      <c r="HPY88" s="790"/>
      <c r="HPZ88" s="790"/>
      <c r="HQA88" s="790"/>
      <c r="HQB88" s="790"/>
      <c r="HQC88" s="790"/>
      <c r="HQD88" s="790"/>
      <c r="HQE88" s="790"/>
      <c r="HQF88" s="790"/>
      <c r="HQG88" s="790"/>
      <c r="HQH88" s="790"/>
      <c r="HQI88" s="790"/>
      <c r="HQJ88" s="790"/>
      <c r="HQK88" s="790"/>
      <c r="HQL88" s="790"/>
      <c r="HQM88" s="790"/>
      <c r="HQN88" s="790"/>
      <c r="HQO88" s="790"/>
      <c r="HQP88" s="790"/>
      <c r="HQQ88" s="790"/>
      <c r="HQR88" s="790"/>
      <c r="HQS88" s="790"/>
      <c r="HQT88" s="790"/>
      <c r="HQU88" s="790"/>
      <c r="HQV88" s="790"/>
      <c r="HQW88" s="790"/>
      <c r="HQX88" s="790"/>
      <c r="HQY88" s="790"/>
      <c r="HQZ88" s="790"/>
      <c r="HRA88" s="790"/>
      <c r="HRB88" s="790"/>
      <c r="HRC88" s="790"/>
      <c r="HRD88" s="790"/>
      <c r="HRE88" s="790"/>
      <c r="HRF88" s="790"/>
      <c r="HRG88" s="790"/>
      <c r="HRH88" s="790"/>
      <c r="HRI88" s="790"/>
      <c r="HRJ88" s="790"/>
      <c r="HRK88" s="790"/>
      <c r="HRL88" s="790"/>
      <c r="HRM88" s="790"/>
      <c r="HRN88" s="790"/>
      <c r="HRO88" s="790"/>
      <c r="HRP88" s="790"/>
      <c r="HRQ88" s="790"/>
      <c r="HRR88" s="790"/>
      <c r="HRS88" s="790"/>
      <c r="HRT88" s="790"/>
      <c r="HRU88" s="790"/>
      <c r="HRV88" s="790"/>
      <c r="HRW88" s="790"/>
      <c r="HRX88" s="790"/>
      <c r="HRY88" s="790"/>
      <c r="HRZ88" s="790"/>
      <c r="HSA88" s="790"/>
      <c r="HSB88" s="790"/>
      <c r="HSC88" s="790"/>
      <c r="HSD88" s="790"/>
      <c r="HSE88" s="790"/>
      <c r="HSF88" s="790"/>
      <c r="HSG88" s="790"/>
      <c r="HSH88" s="790"/>
      <c r="HSI88" s="790"/>
      <c r="HSJ88" s="790"/>
      <c r="HSK88" s="790"/>
      <c r="HSL88" s="790"/>
      <c r="HSM88" s="790"/>
      <c r="HSN88" s="790"/>
      <c r="HSO88" s="790"/>
      <c r="HSP88" s="790"/>
      <c r="HSQ88" s="790"/>
      <c r="HSR88" s="790"/>
      <c r="HSS88" s="790"/>
      <c r="HST88" s="790"/>
      <c r="HSU88" s="790"/>
      <c r="HSV88" s="790"/>
      <c r="HSW88" s="790"/>
      <c r="HSX88" s="790"/>
      <c r="HSY88" s="790"/>
      <c r="HSZ88" s="790"/>
      <c r="HTA88" s="790"/>
      <c r="HTB88" s="790"/>
      <c r="HTC88" s="790"/>
      <c r="HTD88" s="790"/>
      <c r="HTE88" s="790"/>
      <c r="HTF88" s="790"/>
      <c r="HTG88" s="790"/>
      <c r="HTH88" s="790"/>
      <c r="HTI88" s="790"/>
      <c r="HTJ88" s="790"/>
      <c r="HTK88" s="790"/>
      <c r="HTL88" s="790"/>
      <c r="HTM88" s="790"/>
      <c r="HTN88" s="790"/>
      <c r="HTO88" s="790"/>
      <c r="HTP88" s="790"/>
      <c r="HTQ88" s="790"/>
      <c r="HTR88" s="790"/>
      <c r="HTS88" s="790"/>
      <c r="HTT88" s="790"/>
      <c r="HTU88" s="790"/>
      <c r="HTV88" s="790"/>
      <c r="HTW88" s="790"/>
      <c r="HTX88" s="790"/>
      <c r="HTY88" s="790"/>
      <c r="HTZ88" s="790"/>
      <c r="HUA88" s="790"/>
      <c r="HUB88" s="790"/>
      <c r="HUC88" s="790"/>
      <c r="HUD88" s="790"/>
      <c r="HUE88" s="790"/>
      <c r="HUF88" s="790"/>
      <c r="HUG88" s="790"/>
      <c r="HUH88" s="790"/>
      <c r="HUI88" s="790"/>
      <c r="HUJ88" s="790"/>
      <c r="HUK88" s="790"/>
      <c r="HUL88" s="790"/>
      <c r="HUM88" s="790"/>
      <c r="HUN88" s="790"/>
      <c r="HUO88" s="790"/>
      <c r="HUP88" s="790"/>
      <c r="HUQ88" s="790"/>
      <c r="HUR88" s="790"/>
      <c r="HUS88" s="790"/>
      <c r="HUT88" s="790"/>
      <c r="HUU88" s="790"/>
      <c r="HUV88" s="790"/>
      <c r="HUW88" s="790"/>
      <c r="HUX88" s="790"/>
      <c r="HUY88" s="790"/>
      <c r="HUZ88" s="790"/>
      <c r="HVA88" s="790"/>
      <c r="HVB88" s="790"/>
      <c r="HVC88" s="790"/>
      <c r="HVD88" s="790"/>
      <c r="HVE88" s="790"/>
      <c r="HVF88" s="790"/>
      <c r="HVG88" s="790"/>
      <c r="HVH88" s="790"/>
      <c r="HVI88" s="790"/>
      <c r="HVJ88" s="790"/>
      <c r="HVK88" s="790"/>
      <c r="HVL88" s="790"/>
      <c r="HVM88" s="790"/>
      <c r="HVN88" s="790"/>
      <c r="HVO88" s="790"/>
      <c r="HVP88" s="790"/>
      <c r="HVQ88" s="790"/>
      <c r="HVR88" s="790"/>
      <c r="HVS88" s="790"/>
      <c r="HVT88" s="790"/>
      <c r="HVU88" s="790"/>
      <c r="HVV88" s="790"/>
      <c r="HVW88" s="790"/>
      <c r="HVX88" s="790"/>
      <c r="HVY88" s="790"/>
      <c r="HVZ88" s="790"/>
      <c r="HWA88" s="790"/>
      <c r="HWB88" s="790"/>
      <c r="HWC88" s="790"/>
      <c r="HWD88" s="790"/>
      <c r="HWE88" s="790"/>
      <c r="HWF88" s="790"/>
      <c r="HWG88" s="790"/>
      <c r="HWH88" s="790"/>
      <c r="HWI88" s="790"/>
      <c r="HWJ88" s="790"/>
      <c r="HWK88" s="790"/>
      <c r="HWL88" s="790"/>
      <c r="HWM88" s="790"/>
      <c r="HWN88" s="790"/>
      <c r="HWO88" s="790"/>
      <c r="HWP88" s="790"/>
      <c r="HWQ88" s="790"/>
      <c r="HWR88" s="790"/>
      <c r="HWS88" s="790"/>
      <c r="HWT88" s="790"/>
      <c r="HWU88" s="790"/>
      <c r="HWV88" s="790"/>
      <c r="HWW88" s="790"/>
      <c r="HWX88" s="790"/>
      <c r="HWY88" s="790"/>
      <c r="HWZ88" s="790"/>
      <c r="HXA88" s="790"/>
      <c r="HXB88" s="790"/>
      <c r="HXC88" s="790"/>
      <c r="HXD88" s="790"/>
      <c r="HXE88" s="790"/>
      <c r="HXF88" s="790"/>
      <c r="HXG88" s="790"/>
      <c r="HXH88" s="790"/>
      <c r="HXI88" s="790"/>
      <c r="HXJ88" s="790"/>
      <c r="HXK88" s="790"/>
      <c r="HXL88" s="790"/>
      <c r="HXM88" s="790"/>
      <c r="HXN88" s="790"/>
      <c r="HXO88" s="790"/>
      <c r="HXP88" s="790"/>
      <c r="HXQ88" s="790"/>
      <c r="HXR88" s="790"/>
      <c r="HXS88" s="790"/>
      <c r="HXT88" s="790"/>
      <c r="HXU88" s="790"/>
      <c r="HXV88" s="790"/>
      <c r="HXW88" s="790"/>
      <c r="HXX88" s="790"/>
      <c r="HXY88" s="790"/>
      <c r="HXZ88" s="790"/>
      <c r="HYA88" s="790"/>
      <c r="HYB88" s="790"/>
      <c r="HYC88" s="790"/>
      <c r="HYD88" s="790"/>
      <c r="HYE88" s="790"/>
      <c r="HYF88" s="790"/>
      <c r="HYG88" s="790"/>
      <c r="HYH88" s="790"/>
      <c r="HYI88" s="790"/>
      <c r="HYJ88" s="790"/>
      <c r="HYK88" s="790"/>
      <c r="HYL88" s="790"/>
      <c r="HYM88" s="790"/>
      <c r="HYN88" s="790"/>
      <c r="HYO88" s="790"/>
      <c r="HYP88" s="790"/>
      <c r="HYQ88" s="790"/>
      <c r="HYR88" s="790"/>
      <c r="HYS88" s="790"/>
      <c r="HYT88" s="790"/>
      <c r="HYU88" s="790"/>
      <c r="HYV88" s="790"/>
      <c r="HYW88" s="790"/>
      <c r="HYX88" s="790"/>
      <c r="HYY88" s="790"/>
      <c r="HYZ88" s="790"/>
      <c r="HZA88" s="790"/>
      <c r="HZB88" s="790"/>
      <c r="HZC88" s="790"/>
      <c r="HZD88" s="790"/>
      <c r="HZE88" s="790"/>
      <c r="HZF88" s="790"/>
      <c r="HZG88" s="790"/>
      <c r="HZH88" s="790"/>
      <c r="HZI88" s="790"/>
      <c r="HZJ88" s="790"/>
      <c r="HZK88" s="790"/>
      <c r="HZL88" s="790"/>
      <c r="HZM88" s="790"/>
      <c r="HZN88" s="790"/>
      <c r="HZO88" s="790"/>
      <c r="HZP88" s="790"/>
      <c r="HZQ88" s="790"/>
      <c r="HZR88" s="790"/>
      <c r="HZS88" s="790"/>
      <c r="HZT88" s="790"/>
      <c r="HZU88" s="790"/>
      <c r="HZV88" s="790"/>
      <c r="HZW88" s="790"/>
      <c r="HZX88" s="790"/>
      <c r="HZY88" s="790"/>
      <c r="HZZ88" s="790"/>
      <c r="IAA88" s="790"/>
      <c r="IAB88" s="790"/>
      <c r="IAC88" s="790"/>
      <c r="IAD88" s="790"/>
      <c r="IAE88" s="790"/>
      <c r="IAF88" s="790"/>
      <c r="IAG88" s="790"/>
      <c r="IAH88" s="790"/>
      <c r="IAI88" s="790"/>
      <c r="IAJ88" s="790"/>
      <c r="IAK88" s="790"/>
      <c r="IAL88" s="790"/>
      <c r="IAM88" s="790"/>
      <c r="IAN88" s="790"/>
      <c r="IAO88" s="790"/>
      <c r="IAP88" s="790"/>
      <c r="IAQ88" s="790"/>
      <c r="IAR88" s="790"/>
      <c r="IAS88" s="790"/>
      <c r="IAT88" s="790"/>
      <c r="IAU88" s="790"/>
      <c r="IAV88" s="790"/>
      <c r="IAW88" s="790"/>
      <c r="IAX88" s="790"/>
      <c r="IAY88" s="790"/>
      <c r="IAZ88" s="790"/>
      <c r="IBA88" s="790"/>
      <c r="IBB88" s="790"/>
      <c r="IBC88" s="790"/>
      <c r="IBD88" s="790"/>
      <c r="IBE88" s="790"/>
      <c r="IBF88" s="790"/>
      <c r="IBG88" s="790"/>
      <c r="IBH88" s="790"/>
      <c r="IBI88" s="790"/>
      <c r="IBJ88" s="790"/>
      <c r="IBK88" s="790"/>
      <c r="IBL88" s="790"/>
      <c r="IBM88" s="790"/>
      <c r="IBN88" s="790"/>
      <c r="IBO88" s="790"/>
      <c r="IBP88" s="790"/>
      <c r="IBQ88" s="790"/>
      <c r="IBR88" s="790"/>
      <c r="IBS88" s="790"/>
      <c r="IBT88" s="790"/>
      <c r="IBU88" s="790"/>
      <c r="IBV88" s="790"/>
      <c r="IBW88" s="790"/>
      <c r="IBX88" s="790"/>
      <c r="IBY88" s="790"/>
      <c r="IBZ88" s="790"/>
      <c r="ICA88" s="790"/>
      <c r="ICB88" s="790"/>
      <c r="ICC88" s="790"/>
      <c r="ICD88" s="790"/>
      <c r="ICE88" s="790"/>
      <c r="ICF88" s="790"/>
      <c r="ICG88" s="790"/>
      <c r="ICH88" s="790"/>
      <c r="ICI88" s="790"/>
      <c r="ICJ88" s="790"/>
      <c r="ICK88" s="790"/>
      <c r="ICL88" s="790"/>
      <c r="ICM88" s="790"/>
      <c r="ICN88" s="790"/>
      <c r="ICO88" s="790"/>
      <c r="ICP88" s="790"/>
      <c r="ICQ88" s="790"/>
      <c r="ICR88" s="790"/>
      <c r="ICS88" s="790"/>
      <c r="ICT88" s="790"/>
      <c r="ICU88" s="790"/>
      <c r="ICV88" s="790"/>
      <c r="ICW88" s="790"/>
      <c r="ICX88" s="790"/>
      <c r="ICY88" s="790"/>
      <c r="ICZ88" s="790"/>
      <c r="IDA88" s="790"/>
      <c r="IDB88" s="790"/>
      <c r="IDC88" s="790"/>
      <c r="IDD88" s="790"/>
      <c r="IDE88" s="790"/>
      <c r="IDF88" s="790"/>
      <c r="IDG88" s="790"/>
      <c r="IDH88" s="790"/>
      <c r="IDI88" s="790"/>
      <c r="IDJ88" s="790"/>
      <c r="IDK88" s="790"/>
      <c r="IDL88" s="790"/>
      <c r="IDM88" s="790"/>
      <c r="IDN88" s="790"/>
      <c r="IDO88" s="790"/>
      <c r="IDP88" s="790"/>
      <c r="IDQ88" s="790"/>
      <c r="IDR88" s="790"/>
      <c r="IDS88" s="790"/>
      <c r="IDT88" s="790"/>
      <c r="IDU88" s="790"/>
      <c r="IDV88" s="790"/>
      <c r="IDW88" s="790"/>
      <c r="IDX88" s="790"/>
      <c r="IDY88" s="790"/>
      <c r="IDZ88" s="790"/>
      <c r="IEA88" s="790"/>
      <c r="IEB88" s="790"/>
      <c r="IEC88" s="790"/>
      <c r="IED88" s="790"/>
      <c r="IEE88" s="790"/>
      <c r="IEF88" s="790"/>
      <c r="IEG88" s="790"/>
      <c r="IEH88" s="790"/>
      <c r="IEI88" s="790"/>
      <c r="IEJ88" s="790"/>
      <c r="IEK88" s="790"/>
      <c r="IEL88" s="790"/>
      <c r="IEM88" s="790"/>
      <c r="IEN88" s="790"/>
      <c r="IEO88" s="790"/>
      <c r="IEP88" s="790"/>
      <c r="IEQ88" s="790"/>
      <c r="IER88" s="790"/>
      <c r="IES88" s="790"/>
      <c r="IET88" s="790"/>
      <c r="IEU88" s="790"/>
      <c r="IEV88" s="790"/>
      <c r="IEW88" s="790"/>
      <c r="IEX88" s="790"/>
      <c r="IEY88" s="790"/>
      <c r="IEZ88" s="790"/>
      <c r="IFA88" s="790"/>
      <c r="IFB88" s="790"/>
      <c r="IFC88" s="790"/>
      <c r="IFD88" s="790"/>
      <c r="IFE88" s="790"/>
      <c r="IFF88" s="790"/>
      <c r="IFG88" s="790"/>
      <c r="IFH88" s="790"/>
      <c r="IFI88" s="790"/>
      <c r="IFJ88" s="790"/>
      <c r="IFK88" s="790"/>
      <c r="IFL88" s="790"/>
      <c r="IFM88" s="790"/>
      <c r="IFN88" s="790"/>
      <c r="IFO88" s="790"/>
      <c r="IFP88" s="790"/>
      <c r="IFQ88" s="790"/>
      <c r="IFR88" s="790"/>
      <c r="IFS88" s="790"/>
      <c r="IFT88" s="790"/>
      <c r="IFU88" s="790"/>
      <c r="IFV88" s="790"/>
      <c r="IFW88" s="790"/>
      <c r="IFX88" s="790"/>
      <c r="IFY88" s="790"/>
      <c r="IFZ88" s="790"/>
      <c r="IGA88" s="790"/>
      <c r="IGB88" s="790"/>
      <c r="IGC88" s="790"/>
      <c r="IGD88" s="790"/>
      <c r="IGE88" s="790"/>
      <c r="IGF88" s="790"/>
      <c r="IGG88" s="790"/>
      <c r="IGH88" s="790"/>
      <c r="IGI88" s="790"/>
      <c r="IGJ88" s="790"/>
      <c r="IGK88" s="790"/>
      <c r="IGL88" s="790"/>
      <c r="IGM88" s="790"/>
      <c r="IGN88" s="790"/>
      <c r="IGO88" s="790"/>
      <c r="IGP88" s="790"/>
      <c r="IGQ88" s="790"/>
      <c r="IGR88" s="790"/>
      <c r="IGS88" s="790"/>
      <c r="IGT88" s="790"/>
      <c r="IGU88" s="790"/>
      <c r="IGV88" s="790"/>
      <c r="IGW88" s="790"/>
      <c r="IGX88" s="790"/>
      <c r="IGY88" s="790"/>
      <c r="IGZ88" s="790"/>
      <c r="IHA88" s="790"/>
      <c r="IHB88" s="790"/>
      <c r="IHC88" s="790"/>
      <c r="IHD88" s="790"/>
      <c r="IHE88" s="790"/>
      <c r="IHF88" s="790"/>
      <c r="IHG88" s="790"/>
      <c r="IHH88" s="790"/>
      <c r="IHI88" s="790"/>
      <c r="IHJ88" s="790"/>
      <c r="IHK88" s="790"/>
      <c r="IHL88" s="790"/>
      <c r="IHM88" s="790"/>
      <c r="IHN88" s="790"/>
      <c r="IHO88" s="790"/>
      <c r="IHP88" s="790"/>
      <c r="IHQ88" s="790"/>
      <c r="IHR88" s="790"/>
      <c r="IHS88" s="790"/>
      <c r="IHT88" s="790"/>
      <c r="IHU88" s="790"/>
      <c r="IHV88" s="790"/>
      <c r="IHW88" s="790"/>
      <c r="IHX88" s="790"/>
      <c r="IHY88" s="790"/>
      <c r="IHZ88" s="790"/>
      <c r="IIA88" s="790"/>
      <c r="IIB88" s="790"/>
      <c r="IIC88" s="790"/>
      <c r="IID88" s="790"/>
      <c r="IIE88" s="790"/>
      <c r="IIF88" s="790"/>
      <c r="IIG88" s="790"/>
      <c r="IIH88" s="790"/>
      <c r="III88" s="790"/>
      <c r="IIJ88" s="790"/>
      <c r="IIK88" s="790"/>
      <c r="IIL88" s="790"/>
      <c r="IIM88" s="790"/>
      <c r="IIN88" s="790"/>
      <c r="IIO88" s="790"/>
      <c r="IIP88" s="790"/>
      <c r="IIQ88" s="790"/>
      <c r="IIR88" s="790"/>
      <c r="IIS88" s="790"/>
      <c r="IIT88" s="790"/>
      <c r="IIU88" s="790"/>
      <c r="IIV88" s="790"/>
      <c r="IIW88" s="790"/>
      <c r="IIX88" s="790"/>
      <c r="IIY88" s="790"/>
      <c r="IIZ88" s="790"/>
      <c r="IJA88" s="790"/>
      <c r="IJB88" s="790"/>
      <c r="IJC88" s="790"/>
      <c r="IJD88" s="790"/>
      <c r="IJE88" s="790"/>
      <c r="IJF88" s="790"/>
      <c r="IJG88" s="790"/>
      <c r="IJH88" s="790"/>
      <c r="IJI88" s="790"/>
      <c r="IJJ88" s="790"/>
      <c r="IJK88" s="790"/>
      <c r="IJL88" s="790"/>
      <c r="IJM88" s="790"/>
      <c r="IJN88" s="790"/>
      <c r="IJO88" s="790"/>
      <c r="IJP88" s="790"/>
      <c r="IJQ88" s="790"/>
      <c r="IJR88" s="790"/>
      <c r="IJS88" s="790"/>
      <c r="IJT88" s="790"/>
      <c r="IJU88" s="790"/>
      <c r="IJV88" s="790"/>
      <c r="IJW88" s="790"/>
      <c r="IJX88" s="790"/>
      <c r="IJY88" s="790"/>
      <c r="IJZ88" s="790"/>
      <c r="IKA88" s="790"/>
      <c r="IKB88" s="790"/>
      <c r="IKC88" s="790"/>
      <c r="IKD88" s="790"/>
      <c r="IKE88" s="790"/>
      <c r="IKF88" s="790"/>
      <c r="IKG88" s="790"/>
      <c r="IKH88" s="790"/>
      <c r="IKI88" s="790"/>
      <c r="IKJ88" s="790"/>
      <c r="IKK88" s="790"/>
      <c r="IKL88" s="790"/>
      <c r="IKM88" s="790"/>
      <c r="IKN88" s="790"/>
      <c r="IKO88" s="790"/>
      <c r="IKP88" s="790"/>
      <c r="IKQ88" s="790"/>
      <c r="IKR88" s="790"/>
      <c r="IKS88" s="790"/>
      <c r="IKT88" s="790"/>
      <c r="IKU88" s="790"/>
      <c r="IKV88" s="790"/>
      <c r="IKW88" s="790"/>
      <c r="IKX88" s="790"/>
      <c r="IKY88" s="790"/>
      <c r="IKZ88" s="790"/>
      <c r="ILA88" s="790"/>
      <c r="ILB88" s="790"/>
      <c r="ILC88" s="790"/>
      <c r="ILD88" s="790"/>
      <c r="ILE88" s="790"/>
      <c r="ILF88" s="790"/>
      <c r="ILG88" s="790"/>
      <c r="ILH88" s="790"/>
      <c r="ILI88" s="790"/>
      <c r="ILJ88" s="790"/>
      <c r="ILK88" s="790"/>
      <c r="ILL88" s="790"/>
      <c r="ILM88" s="790"/>
      <c r="ILN88" s="790"/>
      <c r="ILO88" s="790"/>
      <c r="ILP88" s="790"/>
      <c r="ILQ88" s="790"/>
      <c r="ILR88" s="790"/>
      <c r="ILS88" s="790"/>
      <c r="ILT88" s="790"/>
      <c r="ILU88" s="790"/>
      <c r="ILV88" s="790"/>
      <c r="ILW88" s="790"/>
      <c r="ILX88" s="790"/>
      <c r="ILY88" s="790"/>
      <c r="ILZ88" s="790"/>
      <c r="IMA88" s="790"/>
      <c r="IMB88" s="790"/>
      <c r="IMC88" s="790"/>
      <c r="IMD88" s="790"/>
      <c r="IME88" s="790"/>
      <c r="IMF88" s="790"/>
      <c r="IMG88" s="790"/>
      <c r="IMH88" s="790"/>
      <c r="IMI88" s="790"/>
      <c r="IMJ88" s="790"/>
      <c r="IMK88" s="790"/>
      <c r="IML88" s="790"/>
      <c r="IMM88" s="790"/>
      <c r="IMN88" s="790"/>
      <c r="IMO88" s="790"/>
      <c r="IMP88" s="790"/>
      <c r="IMQ88" s="790"/>
      <c r="IMR88" s="790"/>
      <c r="IMS88" s="790"/>
      <c r="IMT88" s="790"/>
      <c r="IMU88" s="790"/>
      <c r="IMV88" s="790"/>
      <c r="IMW88" s="790"/>
      <c r="IMX88" s="790"/>
      <c r="IMY88" s="790"/>
      <c r="IMZ88" s="790"/>
      <c r="INA88" s="790"/>
      <c r="INB88" s="790"/>
      <c r="INC88" s="790"/>
      <c r="IND88" s="790"/>
      <c r="INE88" s="790"/>
      <c r="INF88" s="790"/>
      <c r="ING88" s="790"/>
      <c r="INH88" s="790"/>
      <c r="INI88" s="790"/>
      <c r="INJ88" s="790"/>
      <c r="INK88" s="790"/>
      <c r="INL88" s="790"/>
      <c r="INM88" s="790"/>
      <c r="INN88" s="790"/>
      <c r="INO88" s="790"/>
      <c r="INP88" s="790"/>
      <c r="INQ88" s="790"/>
      <c r="INR88" s="790"/>
      <c r="INS88" s="790"/>
      <c r="INT88" s="790"/>
      <c r="INU88" s="790"/>
      <c r="INV88" s="790"/>
      <c r="INW88" s="790"/>
      <c r="INX88" s="790"/>
      <c r="INY88" s="790"/>
      <c r="INZ88" s="790"/>
      <c r="IOA88" s="790"/>
      <c r="IOB88" s="790"/>
      <c r="IOC88" s="790"/>
      <c r="IOD88" s="790"/>
      <c r="IOE88" s="790"/>
      <c r="IOF88" s="790"/>
      <c r="IOG88" s="790"/>
      <c r="IOH88" s="790"/>
      <c r="IOI88" s="790"/>
      <c r="IOJ88" s="790"/>
      <c r="IOK88" s="790"/>
      <c r="IOL88" s="790"/>
      <c r="IOM88" s="790"/>
      <c r="ION88" s="790"/>
      <c r="IOO88" s="790"/>
      <c r="IOP88" s="790"/>
      <c r="IOQ88" s="790"/>
      <c r="IOR88" s="790"/>
      <c r="IOS88" s="790"/>
      <c r="IOT88" s="790"/>
      <c r="IOU88" s="790"/>
      <c r="IOV88" s="790"/>
      <c r="IOW88" s="790"/>
      <c r="IOX88" s="790"/>
      <c r="IOY88" s="790"/>
      <c r="IOZ88" s="790"/>
      <c r="IPA88" s="790"/>
      <c r="IPB88" s="790"/>
      <c r="IPC88" s="790"/>
      <c r="IPD88" s="790"/>
      <c r="IPE88" s="790"/>
      <c r="IPF88" s="790"/>
      <c r="IPG88" s="790"/>
      <c r="IPH88" s="790"/>
      <c r="IPI88" s="790"/>
      <c r="IPJ88" s="790"/>
      <c r="IPK88" s="790"/>
      <c r="IPL88" s="790"/>
      <c r="IPM88" s="790"/>
      <c r="IPN88" s="790"/>
      <c r="IPO88" s="790"/>
      <c r="IPP88" s="790"/>
      <c r="IPQ88" s="790"/>
      <c r="IPR88" s="790"/>
      <c r="IPS88" s="790"/>
      <c r="IPT88" s="790"/>
      <c r="IPU88" s="790"/>
      <c r="IPV88" s="790"/>
      <c r="IPW88" s="790"/>
      <c r="IPX88" s="790"/>
      <c r="IPY88" s="790"/>
      <c r="IPZ88" s="790"/>
      <c r="IQA88" s="790"/>
      <c r="IQB88" s="790"/>
      <c r="IQC88" s="790"/>
      <c r="IQD88" s="790"/>
      <c r="IQE88" s="790"/>
      <c r="IQF88" s="790"/>
      <c r="IQG88" s="790"/>
      <c r="IQH88" s="790"/>
      <c r="IQI88" s="790"/>
      <c r="IQJ88" s="790"/>
      <c r="IQK88" s="790"/>
      <c r="IQL88" s="790"/>
      <c r="IQM88" s="790"/>
      <c r="IQN88" s="790"/>
      <c r="IQO88" s="790"/>
      <c r="IQP88" s="790"/>
      <c r="IQQ88" s="790"/>
      <c r="IQR88" s="790"/>
      <c r="IQS88" s="790"/>
      <c r="IQT88" s="790"/>
      <c r="IQU88" s="790"/>
      <c r="IQV88" s="790"/>
      <c r="IQW88" s="790"/>
      <c r="IQX88" s="790"/>
      <c r="IQY88" s="790"/>
      <c r="IQZ88" s="790"/>
      <c r="IRA88" s="790"/>
      <c r="IRB88" s="790"/>
      <c r="IRC88" s="790"/>
      <c r="IRD88" s="790"/>
      <c r="IRE88" s="790"/>
      <c r="IRF88" s="790"/>
      <c r="IRG88" s="790"/>
      <c r="IRH88" s="790"/>
      <c r="IRI88" s="790"/>
      <c r="IRJ88" s="790"/>
      <c r="IRK88" s="790"/>
      <c r="IRL88" s="790"/>
      <c r="IRM88" s="790"/>
      <c r="IRN88" s="790"/>
      <c r="IRO88" s="790"/>
      <c r="IRP88" s="790"/>
      <c r="IRQ88" s="790"/>
      <c r="IRR88" s="790"/>
      <c r="IRS88" s="790"/>
      <c r="IRT88" s="790"/>
      <c r="IRU88" s="790"/>
      <c r="IRV88" s="790"/>
      <c r="IRW88" s="790"/>
      <c r="IRX88" s="790"/>
      <c r="IRY88" s="790"/>
      <c r="IRZ88" s="790"/>
      <c r="ISA88" s="790"/>
      <c r="ISB88" s="790"/>
      <c r="ISC88" s="790"/>
      <c r="ISD88" s="790"/>
      <c r="ISE88" s="790"/>
      <c r="ISF88" s="790"/>
      <c r="ISG88" s="790"/>
      <c r="ISH88" s="790"/>
      <c r="ISI88" s="790"/>
      <c r="ISJ88" s="790"/>
      <c r="ISK88" s="790"/>
      <c r="ISL88" s="790"/>
      <c r="ISM88" s="790"/>
      <c r="ISN88" s="790"/>
      <c r="ISO88" s="790"/>
      <c r="ISP88" s="790"/>
      <c r="ISQ88" s="790"/>
      <c r="ISR88" s="790"/>
      <c r="ISS88" s="790"/>
      <c r="IST88" s="790"/>
      <c r="ISU88" s="790"/>
      <c r="ISV88" s="790"/>
      <c r="ISW88" s="790"/>
      <c r="ISX88" s="790"/>
      <c r="ISY88" s="790"/>
      <c r="ISZ88" s="790"/>
      <c r="ITA88" s="790"/>
      <c r="ITB88" s="790"/>
      <c r="ITC88" s="790"/>
      <c r="ITD88" s="790"/>
      <c r="ITE88" s="790"/>
      <c r="ITF88" s="790"/>
      <c r="ITG88" s="790"/>
      <c r="ITH88" s="790"/>
      <c r="ITI88" s="790"/>
      <c r="ITJ88" s="790"/>
      <c r="ITK88" s="790"/>
      <c r="ITL88" s="790"/>
      <c r="ITM88" s="790"/>
      <c r="ITN88" s="790"/>
      <c r="ITO88" s="790"/>
      <c r="ITP88" s="790"/>
      <c r="ITQ88" s="790"/>
      <c r="ITR88" s="790"/>
      <c r="ITS88" s="790"/>
      <c r="ITT88" s="790"/>
      <c r="ITU88" s="790"/>
      <c r="ITV88" s="790"/>
      <c r="ITW88" s="790"/>
      <c r="ITX88" s="790"/>
      <c r="ITY88" s="790"/>
      <c r="ITZ88" s="790"/>
      <c r="IUA88" s="790"/>
      <c r="IUB88" s="790"/>
      <c r="IUC88" s="790"/>
      <c r="IUD88" s="790"/>
      <c r="IUE88" s="790"/>
      <c r="IUF88" s="790"/>
      <c r="IUG88" s="790"/>
      <c r="IUH88" s="790"/>
      <c r="IUI88" s="790"/>
      <c r="IUJ88" s="790"/>
      <c r="IUK88" s="790"/>
      <c r="IUL88" s="790"/>
      <c r="IUM88" s="790"/>
      <c r="IUN88" s="790"/>
      <c r="IUO88" s="790"/>
      <c r="IUP88" s="790"/>
      <c r="IUQ88" s="790"/>
      <c r="IUR88" s="790"/>
      <c r="IUS88" s="790"/>
      <c r="IUT88" s="790"/>
      <c r="IUU88" s="790"/>
      <c r="IUV88" s="790"/>
      <c r="IUW88" s="790"/>
      <c r="IUX88" s="790"/>
      <c r="IUY88" s="790"/>
      <c r="IUZ88" s="790"/>
      <c r="IVA88" s="790"/>
      <c r="IVB88" s="790"/>
      <c r="IVC88" s="790"/>
      <c r="IVD88" s="790"/>
      <c r="IVE88" s="790"/>
      <c r="IVF88" s="790"/>
      <c r="IVG88" s="790"/>
      <c r="IVH88" s="790"/>
      <c r="IVI88" s="790"/>
      <c r="IVJ88" s="790"/>
      <c r="IVK88" s="790"/>
      <c r="IVL88" s="790"/>
      <c r="IVM88" s="790"/>
      <c r="IVN88" s="790"/>
      <c r="IVO88" s="790"/>
      <c r="IVP88" s="790"/>
      <c r="IVQ88" s="790"/>
      <c r="IVR88" s="790"/>
      <c r="IVS88" s="790"/>
      <c r="IVT88" s="790"/>
      <c r="IVU88" s="790"/>
      <c r="IVV88" s="790"/>
      <c r="IVW88" s="790"/>
      <c r="IVX88" s="790"/>
      <c r="IVY88" s="790"/>
      <c r="IVZ88" s="790"/>
      <c r="IWA88" s="790"/>
      <c r="IWB88" s="790"/>
      <c r="IWC88" s="790"/>
      <c r="IWD88" s="790"/>
      <c r="IWE88" s="790"/>
      <c r="IWF88" s="790"/>
      <c r="IWG88" s="790"/>
      <c r="IWH88" s="790"/>
      <c r="IWI88" s="790"/>
      <c r="IWJ88" s="790"/>
      <c r="IWK88" s="790"/>
      <c r="IWL88" s="790"/>
      <c r="IWM88" s="790"/>
      <c r="IWN88" s="790"/>
      <c r="IWO88" s="790"/>
      <c r="IWP88" s="790"/>
      <c r="IWQ88" s="790"/>
      <c r="IWR88" s="790"/>
      <c r="IWS88" s="790"/>
      <c r="IWT88" s="790"/>
      <c r="IWU88" s="790"/>
      <c r="IWV88" s="790"/>
      <c r="IWW88" s="790"/>
      <c r="IWX88" s="790"/>
      <c r="IWY88" s="790"/>
      <c r="IWZ88" s="790"/>
      <c r="IXA88" s="790"/>
      <c r="IXB88" s="790"/>
      <c r="IXC88" s="790"/>
      <c r="IXD88" s="790"/>
      <c r="IXE88" s="790"/>
      <c r="IXF88" s="790"/>
      <c r="IXG88" s="790"/>
      <c r="IXH88" s="790"/>
      <c r="IXI88" s="790"/>
      <c r="IXJ88" s="790"/>
      <c r="IXK88" s="790"/>
      <c r="IXL88" s="790"/>
      <c r="IXM88" s="790"/>
      <c r="IXN88" s="790"/>
      <c r="IXO88" s="790"/>
      <c r="IXP88" s="790"/>
      <c r="IXQ88" s="790"/>
      <c r="IXR88" s="790"/>
      <c r="IXS88" s="790"/>
      <c r="IXT88" s="790"/>
      <c r="IXU88" s="790"/>
      <c r="IXV88" s="790"/>
      <c r="IXW88" s="790"/>
      <c r="IXX88" s="790"/>
      <c r="IXY88" s="790"/>
      <c r="IXZ88" s="790"/>
      <c r="IYA88" s="790"/>
      <c r="IYB88" s="790"/>
      <c r="IYC88" s="790"/>
      <c r="IYD88" s="790"/>
      <c r="IYE88" s="790"/>
      <c r="IYF88" s="790"/>
      <c r="IYG88" s="790"/>
      <c r="IYH88" s="790"/>
      <c r="IYI88" s="790"/>
      <c r="IYJ88" s="790"/>
      <c r="IYK88" s="790"/>
      <c r="IYL88" s="790"/>
      <c r="IYM88" s="790"/>
      <c r="IYN88" s="790"/>
      <c r="IYO88" s="790"/>
      <c r="IYP88" s="790"/>
      <c r="IYQ88" s="790"/>
      <c r="IYR88" s="790"/>
      <c r="IYS88" s="790"/>
      <c r="IYT88" s="790"/>
      <c r="IYU88" s="790"/>
      <c r="IYV88" s="790"/>
      <c r="IYW88" s="790"/>
      <c r="IYX88" s="790"/>
      <c r="IYY88" s="790"/>
      <c r="IYZ88" s="790"/>
      <c r="IZA88" s="790"/>
      <c r="IZB88" s="790"/>
      <c r="IZC88" s="790"/>
      <c r="IZD88" s="790"/>
      <c r="IZE88" s="790"/>
      <c r="IZF88" s="790"/>
      <c r="IZG88" s="790"/>
      <c r="IZH88" s="790"/>
      <c r="IZI88" s="790"/>
      <c r="IZJ88" s="790"/>
      <c r="IZK88" s="790"/>
      <c r="IZL88" s="790"/>
      <c r="IZM88" s="790"/>
      <c r="IZN88" s="790"/>
      <c r="IZO88" s="790"/>
      <c r="IZP88" s="790"/>
      <c r="IZQ88" s="790"/>
      <c r="IZR88" s="790"/>
      <c r="IZS88" s="790"/>
      <c r="IZT88" s="790"/>
      <c r="IZU88" s="790"/>
      <c r="IZV88" s="790"/>
      <c r="IZW88" s="790"/>
      <c r="IZX88" s="790"/>
      <c r="IZY88" s="790"/>
      <c r="IZZ88" s="790"/>
      <c r="JAA88" s="790"/>
      <c r="JAB88" s="790"/>
      <c r="JAC88" s="790"/>
      <c r="JAD88" s="790"/>
      <c r="JAE88" s="790"/>
      <c r="JAF88" s="790"/>
      <c r="JAG88" s="790"/>
      <c r="JAH88" s="790"/>
      <c r="JAI88" s="790"/>
      <c r="JAJ88" s="790"/>
      <c r="JAK88" s="790"/>
      <c r="JAL88" s="790"/>
      <c r="JAM88" s="790"/>
      <c r="JAN88" s="790"/>
      <c r="JAO88" s="790"/>
      <c r="JAP88" s="790"/>
      <c r="JAQ88" s="790"/>
      <c r="JAR88" s="790"/>
      <c r="JAS88" s="790"/>
      <c r="JAT88" s="790"/>
      <c r="JAU88" s="790"/>
      <c r="JAV88" s="790"/>
      <c r="JAW88" s="790"/>
      <c r="JAX88" s="790"/>
      <c r="JAY88" s="790"/>
      <c r="JAZ88" s="790"/>
      <c r="JBA88" s="790"/>
      <c r="JBB88" s="790"/>
      <c r="JBC88" s="790"/>
      <c r="JBD88" s="790"/>
      <c r="JBE88" s="790"/>
      <c r="JBF88" s="790"/>
      <c r="JBG88" s="790"/>
      <c r="JBH88" s="790"/>
      <c r="JBI88" s="790"/>
      <c r="JBJ88" s="790"/>
      <c r="JBK88" s="790"/>
      <c r="JBL88" s="790"/>
      <c r="JBM88" s="790"/>
      <c r="JBN88" s="790"/>
      <c r="JBO88" s="790"/>
      <c r="JBP88" s="790"/>
      <c r="JBQ88" s="790"/>
      <c r="JBR88" s="790"/>
      <c r="JBS88" s="790"/>
      <c r="JBT88" s="790"/>
      <c r="JBU88" s="790"/>
      <c r="JBV88" s="790"/>
      <c r="JBW88" s="790"/>
      <c r="JBX88" s="790"/>
      <c r="JBY88" s="790"/>
      <c r="JBZ88" s="790"/>
      <c r="JCA88" s="790"/>
      <c r="JCB88" s="790"/>
      <c r="JCC88" s="790"/>
      <c r="JCD88" s="790"/>
      <c r="JCE88" s="790"/>
      <c r="JCF88" s="790"/>
      <c r="JCG88" s="790"/>
      <c r="JCH88" s="790"/>
      <c r="JCI88" s="790"/>
      <c r="JCJ88" s="790"/>
      <c r="JCK88" s="790"/>
      <c r="JCL88" s="790"/>
      <c r="JCM88" s="790"/>
      <c r="JCN88" s="790"/>
      <c r="JCO88" s="790"/>
      <c r="JCP88" s="790"/>
      <c r="JCQ88" s="790"/>
      <c r="JCR88" s="790"/>
      <c r="JCS88" s="790"/>
      <c r="JCT88" s="790"/>
      <c r="JCU88" s="790"/>
      <c r="JCV88" s="790"/>
      <c r="JCW88" s="790"/>
      <c r="JCX88" s="790"/>
      <c r="JCY88" s="790"/>
      <c r="JCZ88" s="790"/>
      <c r="JDA88" s="790"/>
      <c r="JDB88" s="790"/>
      <c r="JDC88" s="790"/>
      <c r="JDD88" s="790"/>
      <c r="JDE88" s="790"/>
      <c r="JDF88" s="790"/>
      <c r="JDG88" s="790"/>
      <c r="JDH88" s="790"/>
      <c r="JDI88" s="790"/>
      <c r="JDJ88" s="790"/>
      <c r="JDK88" s="790"/>
      <c r="JDL88" s="790"/>
      <c r="JDM88" s="790"/>
      <c r="JDN88" s="790"/>
      <c r="JDO88" s="790"/>
      <c r="JDP88" s="790"/>
      <c r="JDQ88" s="790"/>
      <c r="JDR88" s="790"/>
      <c r="JDS88" s="790"/>
      <c r="JDT88" s="790"/>
      <c r="JDU88" s="790"/>
      <c r="JDV88" s="790"/>
      <c r="JDW88" s="790"/>
      <c r="JDX88" s="790"/>
      <c r="JDY88" s="790"/>
      <c r="JDZ88" s="790"/>
      <c r="JEA88" s="790"/>
      <c r="JEB88" s="790"/>
      <c r="JEC88" s="790"/>
      <c r="JED88" s="790"/>
      <c r="JEE88" s="790"/>
      <c r="JEF88" s="790"/>
      <c r="JEG88" s="790"/>
      <c r="JEH88" s="790"/>
      <c r="JEI88" s="790"/>
      <c r="JEJ88" s="790"/>
      <c r="JEK88" s="790"/>
      <c r="JEL88" s="790"/>
      <c r="JEM88" s="790"/>
      <c r="JEN88" s="790"/>
      <c r="JEO88" s="790"/>
      <c r="JEP88" s="790"/>
      <c r="JEQ88" s="790"/>
      <c r="JER88" s="790"/>
      <c r="JES88" s="790"/>
      <c r="JET88" s="790"/>
      <c r="JEU88" s="790"/>
      <c r="JEV88" s="790"/>
      <c r="JEW88" s="790"/>
      <c r="JEX88" s="790"/>
      <c r="JEY88" s="790"/>
      <c r="JEZ88" s="790"/>
      <c r="JFA88" s="790"/>
      <c r="JFB88" s="790"/>
      <c r="JFC88" s="790"/>
      <c r="JFD88" s="790"/>
      <c r="JFE88" s="790"/>
      <c r="JFF88" s="790"/>
      <c r="JFG88" s="790"/>
      <c r="JFH88" s="790"/>
      <c r="JFI88" s="790"/>
      <c r="JFJ88" s="790"/>
      <c r="JFK88" s="790"/>
      <c r="JFL88" s="790"/>
      <c r="JFM88" s="790"/>
      <c r="JFN88" s="790"/>
      <c r="JFO88" s="790"/>
      <c r="JFP88" s="790"/>
      <c r="JFQ88" s="790"/>
      <c r="JFR88" s="790"/>
      <c r="JFS88" s="790"/>
      <c r="JFT88" s="790"/>
      <c r="JFU88" s="790"/>
      <c r="JFV88" s="790"/>
      <c r="JFW88" s="790"/>
      <c r="JFX88" s="790"/>
      <c r="JFY88" s="790"/>
      <c r="JFZ88" s="790"/>
      <c r="JGA88" s="790"/>
      <c r="JGB88" s="790"/>
      <c r="JGC88" s="790"/>
      <c r="JGD88" s="790"/>
      <c r="JGE88" s="790"/>
      <c r="JGF88" s="790"/>
      <c r="JGG88" s="790"/>
      <c r="JGH88" s="790"/>
      <c r="JGI88" s="790"/>
      <c r="JGJ88" s="790"/>
      <c r="JGK88" s="790"/>
      <c r="JGL88" s="790"/>
      <c r="JGM88" s="790"/>
      <c r="JGN88" s="790"/>
      <c r="JGO88" s="790"/>
      <c r="JGP88" s="790"/>
      <c r="JGQ88" s="790"/>
      <c r="JGR88" s="790"/>
      <c r="JGS88" s="790"/>
      <c r="JGT88" s="790"/>
      <c r="JGU88" s="790"/>
      <c r="JGV88" s="790"/>
      <c r="JGW88" s="790"/>
      <c r="JGX88" s="790"/>
      <c r="JGY88" s="790"/>
      <c r="JGZ88" s="790"/>
      <c r="JHA88" s="790"/>
      <c r="JHB88" s="790"/>
      <c r="JHC88" s="790"/>
      <c r="JHD88" s="790"/>
      <c r="JHE88" s="790"/>
      <c r="JHF88" s="790"/>
      <c r="JHG88" s="790"/>
      <c r="JHH88" s="790"/>
      <c r="JHI88" s="790"/>
      <c r="JHJ88" s="790"/>
      <c r="JHK88" s="790"/>
      <c r="JHL88" s="790"/>
      <c r="JHM88" s="790"/>
      <c r="JHN88" s="790"/>
      <c r="JHO88" s="790"/>
      <c r="JHP88" s="790"/>
      <c r="JHQ88" s="790"/>
      <c r="JHR88" s="790"/>
      <c r="JHS88" s="790"/>
      <c r="JHT88" s="790"/>
      <c r="JHU88" s="790"/>
      <c r="JHV88" s="790"/>
      <c r="JHW88" s="790"/>
      <c r="JHX88" s="790"/>
      <c r="JHY88" s="790"/>
      <c r="JHZ88" s="790"/>
      <c r="JIA88" s="790"/>
      <c r="JIB88" s="790"/>
      <c r="JIC88" s="790"/>
      <c r="JID88" s="790"/>
      <c r="JIE88" s="790"/>
      <c r="JIF88" s="790"/>
      <c r="JIG88" s="790"/>
      <c r="JIH88" s="790"/>
      <c r="JII88" s="790"/>
      <c r="JIJ88" s="790"/>
      <c r="JIK88" s="790"/>
      <c r="JIL88" s="790"/>
      <c r="JIM88" s="790"/>
      <c r="JIN88" s="790"/>
      <c r="JIO88" s="790"/>
      <c r="JIP88" s="790"/>
      <c r="JIQ88" s="790"/>
      <c r="JIR88" s="790"/>
      <c r="JIS88" s="790"/>
      <c r="JIT88" s="790"/>
      <c r="JIU88" s="790"/>
      <c r="JIV88" s="790"/>
      <c r="JIW88" s="790"/>
      <c r="JIX88" s="790"/>
      <c r="JIY88" s="790"/>
      <c r="JIZ88" s="790"/>
      <c r="JJA88" s="790"/>
      <c r="JJB88" s="790"/>
      <c r="JJC88" s="790"/>
      <c r="JJD88" s="790"/>
      <c r="JJE88" s="790"/>
      <c r="JJF88" s="790"/>
      <c r="JJG88" s="790"/>
      <c r="JJH88" s="790"/>
      <c r="JJI88" s="790"/>
      <c r="JJJ88" s="790"/>
      <c r="JJK88" s="790"/>
      <c r="JJL88" s="790"/>
      <c r="JJM88" s="790"/>
      <c r="JJN88" s="790"/>
      <c r="JJO88" s="790"/>
      <c r="JJP88" s="790"/>
      <c r="JJQ88" s="790"/>
      <c r="JJR88" s="790"/>
      <c r="JJS88" s="790"/>
      <c r="JJT88" s="790"/>
      <c r="JJU88" s="790"/>
      <c r="JJV88" s="790"/>
      <c r="JJW88" s="790"/>
      <c r="JJX88" s="790"/>
      <c r="JJY88" s="790"/>
      <c r="JJZ88" s="790"/>
      <c r="JKA88" s="790"/>
      <c r="JKB88" s="790"/>
      <c r="JKC88" s="790"/>
      <c r="JKD88" s="790"/>
      <c r="JKE88" s="790"/>
      <c r="JKF88" s="790"/>
      <c r="JKG88" s="790"/>
      <c r="JKH88" s="790"/>
      <c r="JKI88" s="790"/>
      <c r="JKJ88" s="790"/>
      <c r="JKK88" s="790"/>
      <c r="JKL88" s="790"/>
      <c r="JKM88" s="790"/>
      <c r="JKN88" s="790"/>
      <c r="JKO88" s="790"/>
      <c r="JKP88" s="790"/>
      <c r="JKQ88" s="790"/>
      <c r="JKR88" s="790"/>
      <c r="JKS88" s="790"/>
      <c r="JKT88" s="790"/>
      <c r="JKU88" s="790"/>
      <c r="JKV88" s="790"/>
      <c r="JKW88" s="790"/>
      <c r="JKX88" s="790"/>
      <c r="JKY88" s="790"/>
      <c r="JKZ88" s="790"/>
      <c r="JLA88" s="790"/>
      <c r="JLB88" s="790"/>
      <c r="JLC88" s="790"/>
      <c r="JLD88" s="790"/>
      <c r="JLE88" s="790"/>
      <c r="JLF88" s="790"/>
      <c r="JLG88" s="790"/>
      <c r="JLH88" s="790"/>
      <c r="JLI88" s="790"/>
      <c r="JLJ88" s="790"/>
      <c r="JLK88" s="790"/>
      <c r="JLL88" s="790"/>
      <c r="JLM88" s="790"/>
      <c r="JLN88" s="790"/>
      <c r="JLO88" s="790"/>
      <c r="JLP88" s="790"/>
      <c r="JLQ88" s="790"/>
      <c r="JLR88" s="790"/>
      <c r="JLS88" s="790"/>
      <c r="JLT88" s="790"/>
      <c r="JLU88" s="790"/>
      <c r="JLV88" s="790"/>
      <c r="JLW88" s="790"/>
      <c r="JLX88" s="790"/>
      <c r="JLY88" s="790"/>
      <c r="JLZ88" s="790"/>
      <c r="JMA88" s="790"/>
      <c r="JMB88" s="790"/>
      <c r="JMC88" s="790"/>
      <c r="JMD88" s="790"/>
      <c r="JME88" s="790"/>
      <c r="JMF88" s="790"/>
      <c r="JMG88" s="790"/>
      <c r="JMH88" s="790"/>
      <c r="JMI88" s="790"/>
      <c r="JMJ88" s="790"/>
      <c r="JMK88" s="790"/>
      <c r="JML88" s="790"/>
      <c r="JMM88" s="790"/>
      <c r="JMN88" s="790"/>
      <c r="JMO88" s="790"/>
      <c r="JMP88" s="790"/>
      <c r="JMQ88" s="790"/>
      <c r="JMR88" s="790"/>
      <c r="JMS88" s="790"/>
      <c r="JMT88" s="790"/>
      <c r="JMU88" s="790"/>
      <c r="JMV88" s="790"/>
      <c r="JMW88" s="790"/>
      <c r="JMX88" s="790"/>
      <c r="JMY88" s="790"/>
      <c r="JMZ88" s="790"/>
      <c r="JNA88" s="790"/>
      <c r="JNB88" s="790"/>
      <c r="JNC88" s="790"/>
      <c r="JND88" s="790"/>
      <c r="JNE88" s="790"/>
      <c r="JNF88" s="790"/>
      <c r="JNG88" s="790"/>
      <c r="JNH88" s="790"/>
      <c r="JNI88" s="790"/>
      <c r="JNJ88" s="790"/>
      <c r="JNK88" s="790"/>
      <c r="JNL88" s="790"/>
      <c r="JNM88" s="790"/>
      <c r="JNN88" s="790"/>
      <c r="JNO88" s="790"/>
      <c r="JNP88" s="790"/>
      <c r="JNQ88" s="790"/>
      <c r="JNR88" s="790"/>
      <c r="JNS88" s="790"/>
      <c r="JNT88" s="790"/>
      <c r="JNU88" s="790"/>
      <c r="JNV88" s="790"/>
      <c r="JNW88" s="790"/>
      <c r="JNX88" s="790"/>
      <c r="JNY88" s="790"/>
      <c r="JNZ88" s="790"/>
      <c r="JOA88" s="790"/>
      <c r="JOB88" s="790"/>
      <c r="JOC88" s="790"/>
      <c r="JOD88" s="790"/>
      <c r="JOE88" s="790"/>
      <c r="JOF88" s="790"/>
      <c r="JOG88" s="790"/>
      <c r="JOH88" s="790"/>
      <c r="JOI88" s="790"/>
      <c r="JOJ88" s="790"/>
      <c r="JOK88" s="790"/>
      <c r="JOL88" s="790"/>
      <c r="JOM88" s="790"/>
      <c r="JON88" s="790"/>
      <c r="JOO88" s="790"/>
      <c r="JOP88" s="790"/>
      <c r="JOQ88" s="790"/>
      <c r="JOR88" s="790"/>
      <c r="JOS88" s="790"/>
      <c r="JOT88" s="790"/>
      <c r="JOU88" s="790"/>
      <c r="JOV88" s="790"/>
      <c r="JOW88" s="790"/>
      <c r="JOX88" s="790"/>
      <c r="JOY88" s="790"/>
      <c r="JOZ88" s="790"/>
      <c r="JPA88" s="790"/>
      <c r="JPB88" s="790"/>
      <c r="JPC88" s="790"/>
      <c r="JPD88" s="790"/>
      <c r="JPE88" s="790"/>
      <c r="JPF88" s="790"/>
      <c r="JPG88" s="790"/>
      <c r="JPH88" s="790"/>
      <c r="JPI88" s="790"/>
      <c r="JPJ88" s="790"/>
      <c r="JPK88" s="790"/>
      <c r="JPL88" s="790"/>
      <c r="JPM88" s="790"/>
      <c r="JPN88" s="790"/>
      <c r="JPO88" s="790"/>
      <c r="JPP88" s="790"/>
      <c r="JPQ88" s="790"/>
      <c r="JPR88" s="790"/>
      <c r="JPS88" s="790"/>
      <c r="JPT88" s="790"/>
      <c r="JPU88" s="790"/>
      <c r="JPV88" s="790"/>
      <c r="JPW88" s="790"/>
      <c r="JPX88" s="790"/>
      <c r="JPY88" s="790"/>
      <c r="JPZ88" s="790"/>
      <c r="JQA88" s="790"/>
      <c r="JQB88" s="790"/>
      <c r="JQC88" s="790"/>
      <c r="JQD88" s="790"/>
      <c r="JQE88" s="790"/>
      <c r="JQF88" s="790"/>
      <c r="JQG88" s="790"/>
      <c r="JQH88" s="790"/>
      <c r="JQI88" s="790"/>
      <c r="JQJ88" s="790"/>
      <c r="JQK88" s="790"/>
      <c r="JQL88" s="790"/>
      <c r="JQM88" s="790"/>
      <c r="JQN88" s="790"/>
      <c r="JQO88" s="790"/>
      <c r="JQP88" s="790"/>
      <c r="JQQ88" s="790"/>
      <c r="JQR88" s="790"/>
      <c r="JQS88" s="790"/>
      <c r="JQT88" s="790"/>
      <c r="JQU88" s="790"/>
      <c r="JQV88" s="790"/>
      <c r="JQW88" s="790"/>
      <c r="JQX88" s="790"/>
      <c r="JQY88" s="790"/>
      <c r="JQZ88" s="790"/>
      <c r="JRA88" s="790"/>
      <c r="JRB88" s="790"/>
      <c r="JRC88" s="790"/>
      <c r="JRD88" s="790"/>
      <c r="JRE88" s="790"/>
      <c r="JRF88" s="790"/>
      <c r="JRG88" s="790"/>
      <c r="JRH88" s="790"/>
      <c r="JRI88" s="790"/>
      <c r="JRJ88" s="790"/>
      <c r="JRK88" s="790"/>
      <c r="JRL88" s="790"/>
      <c r="JRM88" s="790"/>
      <c r="JRN88" s="790"/>
      <c r="JRO88" s="790"/>
      <c r="JRP88" s="790"/>
      <c r="JRQ88" s="790"/>
      <c r="JRR88" s="790"/>
      <c r="JRS88" s="790"/>
      <c r="JRT88" s="790"/>
      <c r="JRU88" s="790"/>
      <c r="JRV88" s="790"/>
      <c r="JRW88" s="790"/>
      <c r="JRX88" s="790"/>
      <c r="JRY88" s="790"/>
      <c r="JRZ88" s="790"/>
      <c r="JSA88" s="790"/>
      <c r="JSB88" s="790"/>
      <c r="JSC88" s="790"/>
      <c r="JSD88" s="790"/>
      <c r="JSE88" s="790"/>
      <c r="JSF88" s="790"/>
      <c r="JSG88" s="790"/>
      <c r="JSH88" s="790"/>
      <c r="JSI88" s="790"/>
      <c r="JSJ88" s="790"/>
      <c r="JSK88" s="790"/>
      <c r="JSL88" s="790"/>
      <c r="JSM88" s="790"/>
      <c r="JSN88" s="790"/>
      <c r="JSO88" s="790"/>
      <c r="JSP88" s="790"/>
      <c r="JSQ88" s="790"/>
      <c r="JSR88" s="790"/>
      <c r="JSS88" s="790"/>
      <c r="JST88" s="790"/>
      <c r="JSU88" s="790"/>
      <c r="JSV88" s="790"/>
      <c r="JSW88" s="790"/>
      <c r="JSX88" s="790"/>
      <c r="JSY88" s="790"/>
      <c r="JSZ88" s="790"/>
      <c r="JTA88" s="790"/>
      <c r="JTB88" s="790"/>
      <c r="JTC88" s="790"/>
      <c r="JTD88" s="790"/>
      <c r="JTE88" s="790"/>
      <c r="JTF88" s="790"/>
      <c r="JTG88" s="790"/>
      <c r="JTH88" s="790"/>
      <c r="JTI88" s="790"/>
      <c r="JTJ88" s="790"/>
      <c r="JTK88" s="790"/>
      <c r="JTL88" s="790"/>
      <c r="JTM88" s="790"/>
      <c r="JTN88" s="790"/>
      <c r="JTO88" s="790"/>
      <c r="JTP88" s="790"/>
      <c r="JTQ88" s="790"/>
      <c r="JTR88" s="790"/>
      <c r="JTS88" s="790"/>
      <c r="JTT88" s="790"/>
      <c r="JTU88" s="790"/>
      <c r="JTV88" s="790"/>
      <c r="JTW88" s="790"/>
      <c r="JTX88" s="790"/>
      <c r="JTY88" s="790"/>
      <c r="JTZ88" s="790"/>
      <c r="JUA88" s="790"/>
      <c r="JUB88" s="790"/>
      <c r="JUC88" s="790"/>
      <c r="JUD88" s="790"/>
      <c r="JUE88" s="790"/>
      <c r="JUF88" s="790"/>
      <c r="JUG88" s="790"/>
      <c r="JUH88" s="790"/>
      <c r="JUI88" s="790"/>
      <c r="JUJ88" s="790"/>
      <c r="JUK88" s="790"/>
      <c r="JUL88" s="790"/>
      <c r="JUM88" s="790"/>
      <c r="JUN88" s="790"/>
      <c r="JUO88" s="790"/>
      <c r="JUP88" s="790"/>
      <c r="JUQ88" s="790"/>
      <c r="JUR88" s="790"/>
      <c r="JUS88" s="790"/>
      <c r="JUT88" s="790"/>
      <c r="JUU88" s="790"/>
      <c r="JUV88" s="790"/>
      <c r="JUW88" s="790"/>
      <c r="JUX88" s="790"/>
      <c r="JUY88" s="790"/>
      <c r="JUZ88" s="790"/>
      <c r="JVA88" s="790"/>
      <c r="JVB88" s="790"/>
      <c r="JVC88" s="790"/>
      <c r="JVD88" s="790"/>
      <c r="JVE88" s="790"/>
      <c r="JVF88" s="790"/>
      <c r="JVG88" s="790"/>
      <c r="JVH88" s="790"/>
      <c r="JVI88" s="790"/>
      <c r="JVJ88" s="790"/>
      <c r="JVK88" s="790"/>
      <c r="JVL88" s="790"/>
      <c r="JVM88" s="790"/>
      <c r="JVN88" s="790"/>
      <c r="JVO88" s="790"/>
      <c r="JVP88" s="790"/>
      <c r="JVQ88" s="790"/>
      <c r="JVR88" s="790"/>
      <c r="JVS88" s="790"/>
      <c r="JVT88" s="790"/>
      <c r="JVU88" s="790"/>
      <c r="JVV88" s="790"/>
      <c r="JVW88" s="790"/>
      <c r="JVX88" s="790"/>
      <c r="JVY88" s="790"/>
      <c r="JVZ88" s="790"/>
      <c r="JWA88" s="790"/>
      <c r="JWB88" s="790"/>
      <c r="JWC88" s="790"/>
      <c r="JWD88" s="790"/>
      <c r="JWE88" s="790"/>
      <c r="JWF88" s="790"/>
      <c r="JWG88" s="790"/>
      <c r="JWH88" s="790"/>
      <c r="JWI88" s="790"/>
      <c r="JWJ88" s="790"/>
      <c r="JWK88" s="790"/>
      <c r="JWL88" s="790"/>
      <c r="JWM88" s="790"/>
      <c r="JWN88" s="790"/>
      <c r="JWO88" s="790"/>
      <c r="JWP88" s="790"/>
      <c r="JWQ88" s="790"/>
      <c r="JWR88" s="790"/>
      <c r="JWS88" s="790"/>
      <c r="JWT88" s="790"/>
      <c r="JWU88" s="790"/>
      <c r="JWV88" s="790"/>
      <c r="JWW88" s="790"/>
      <c r="JWX88" s="790"/>
      <c r="JWY88" s="790"/>
      <c r="JWZ88" s="790"/>
      <c r="JXA88" s="790"/>
      <c r="JXB88" s="790"/>
      <c r="JXC88" s="790"/>
      <c r="JXD88" s="790"/>
      <c r="JXE88" s="790"/>
      <c r="JXF88" s="790"/>
      <c r="JXG88" s="790"/>
      <c r="JXH88" s="790"/>
      <c r="JXI88" s="790"/>
      <c r="JXJ88" s="790"/>
      <c r="JXK88" s="790"/>
      <c r="JXL88" s="790"/>
      <c r="JXM88" s="790"/>
      <c r="JXN88" s="790"/>
      <c r="JXO88" s="790"/>
      <c r="JXP88" s="790"/>
      <c r="JXQ88" s="790"/>
      <c r="JXR88" s="790"/>
      <c r="JXS88" s="790"/>
      <c r="JXT88" s="790"/>
      <c r="JXU88" s="790"/>
      <c r="JXV88" s="790"/>
      <c r="JXW88" s="790"/>
      <c r="JXX88" s="790"/>
      <c r="JXY88" s="790"/>
      <c r="JXZ88" s="790"/>
      <c r="JYA88" s="790"/>
      <c r="JYB88" s="790"/>
      <c r="JYC88" s="790"/>
      <c r="JYD88" s="790"/>
      <c r="JYE88" s="790"/>
      <c r="JYF88" s="790"/>
      <c r="JYG88" s="790"/>
      <c r="JYH88" s="790"/>
      <c r="JYI88" s="790"/>
      <c r="JYJ88" s="790"/>
      <c r="JYK88" s="790"/>
      <c r="JYL88" s="790"/>
      <c r="JYM88" s="790"/>
      <c r="JYN88" s="790"/>
      <c r="JYO88" s="790"/>
      <c r="JYP88" s="790"/>
      <c r="JYQ88" s="790"/>
      <c r="JYR88" s="790"/>
      <c r="JYS88" s="790"/>
      <c r="JYT88" s="790"/>
      <c r="JYU88" s="790"/>
      <c r="JYV88" s="790"/>
      <c r="JYW88" s="790"/>
      <c r="JYX88" s="790"/>
      <c r="JYY88" s="790"/>
      <c r="JYZ88" s="790"/>
      <c r="JZA88" s="790"/>
      <c r="JZB88" s="790"/>
      <c r="JZC88" s="790"/>
      <c r="JZD88" s="790"/>
      <c r="JZE88" s="790"/>
      <c r="JZF88" s="790"/>
      <c r="JZG88" s="790"/>
      <c r="JZH88" s="790"/>
      <c r="JZI88" s="790"/>
      <c r="JZJ88" s="790"/>
      <c r="JZK88" s="790"/>
      <c r="JZL88" s="790"/>
      <c r="JZM88" s="790"/>
      <c r="JZN88" s="790"/>
      <c r="JZO88" s="790"/>
      <c r="JZP88" s="790"/>
      <c r="JZQ88" s="790"/>
      <c r="JZR88" s="790"/>
      <c r="JZS88" s="790"/>
      <c r="JZT88" s="790"/>
      <c r="JZU88" s="790"/>
      <c r="JZV88" s="790"/>
      <c r="JZW88" s="790"/>
      <c r="JZX88" s="790"/>
      <c r="JZY88" s="790"/>
      <c r="JZZ88" s="790"/>
      <c r="KAA88" s="790"/>
      <c r="KAB88" s="790"/>
      <c r="KAC88" s="790"/>
      <c r="KAD88" s="790"/>
      <c r="KAE88" s="790"/>
      <c r="KAF88" s="790"/>
      <c r="KAG88" s="790"/>
      <c r="KAH88" s="790"/>
      <c r="KAI88" s="790"/>
      <c r="KAJ88" s="790"/>
      <c r="KAK88" s="790"/>
      <c r="KAL88" s="790"/>
      <c r="KAM88" s="790"/>
      <c r="KAN88" s="790"/>
      <c r="KAO88" s="790"/>
      <c r="KAP88" s="790"/>
      <c r="KAQ88" s="790"/>
      <c r="KAR88" s="790"/>
      <c r="KAS88" s="790"/>
      <c r="KAT88" s="790"/>
      <c r="KAU88" s="790"/>
      <c r="KAV88" s="790"/>
      <c r="KAW88" s="790"/>
      <c r="KAX88" s="790"/>
      <c r="KAY88" s="790"/>
      <c r="KAZ88" s="790"/>
      <c r="KBA88" s="790"/>
      <c r="KBB88" s="790"/>
      <c r="KBC88" s="790"/>
      <c r="KBD88" s="790"/>
      <c r="KBE88" s="790"/>
      <c r="KBF88" s="790"/>
      <c r="KBG88" s="790"/>
      <c r="KBH88" s="790"/>
      <c r="KBI88" s="790"/>
      <c r="KBJ88" s="790"/>
      <c r="KBK88" s="790"/>
      <c r="KBL88" s="790"/>
      <c r="KBM88" s="790"/>
      <c r="KBN88" s="790"/>
      <c r="KBO88" s="790"/>
      <c r="KBP88" s="790"/>
      <c r="KBQ88" s="790"/>
      <c r="KBR88" s="790"/>
      <c r="KBS88" s="790"/>
      <c r="KBT88" s="790"/>
      <c r="KBU88" s="790"/>
      <c r="KBV88" s="790"/>
      <c r="KBW88" s="790"/>
      <c r="KBX88" s="790"/>
      <c r="KBY88" s="790"/>
      <c r="KBZ88" s="790"/>
      <c r="KCA88" s="790"/>
      <c r="KCB88" s="790"/>
      <c r="KCC88" s="790"/>
      <c r="KCD88" s="790"/>
      <c r="KCE88" s="790"/>
      <c r="KCF88" s="790"/>
      <c r="KCG88" s="790"/>
      <c r="KCH88" s="790"/>
      <c r="KCI88" s="790"/>
      <c r="KCJ88" s="790"/>
      <c r="KCK88" s="790"/>
      <c r="KCL88" s="790"/>
      <c r="KCM88" s="790"/>
      <c r="KCN88" s="790"/>
      <c r="KCO88" s="790"/>
      <c r="KCP88" s="790"/>
      <c r="KCQ88" s="790"/>
      <c r="KCR88" s="790"/>
      <c r="KCS88" s="790"/>
      <c r="KCT88" s="790"/>
      <c r="KCU88" s="790"/>
      <c r="KCV88" s="790"/>
      <c r="KCW88" s="790"/>
      <c r="KCX88" s="790"/>
      <c r="KCY88" s="790"/>
      <c r="KCZ88" s="790"/>
      <c r="KDA88" s="790"/>
      <c r="KDB88" s="790"/>
      <c r="KDC88" s="790"/>
      <c r="KDD88" s="790"/>
      <c r="KDE88" s="790"/>
      <c r="KDF88" s="790"/>
      <c r="KDG88" s="790"/>
      <c r="KDH88" s="790"/>
      <c r="KDI88" s="790"/>
      <c r="KDJ88" s="790"/>
      <c r="KDK88" s="790"/>
      <c r="KDL88" s="790"/>
      <c r="KDM88" s="790"/>
      <c r="KDN88" s="790"/>
      <c r="KDO88" s="790"/>
      <c r="KDP88" s="790"/>
      <c r="KDQ88" s="790"/>
      <c r="KDR88" s="790"/>
      <c r="KDS88" s="790"/>
      <c r="KDT88" s="790"/>
      <c r="KDU88" s="790"/>
      <c r="KDV88" s="790"/>
      <c r="KDW88" s="790"/>
      <c r="KDX88" s="790"/>
      <c r="KDY88" s="790"/>
      <c r="KDZ88" s="790"/>
      <c r="KEA88" s="790"/>
      <c r="KEB88" s="790"/>
      <c r="KEC88" s="790"/>
      <c r="KED88" s="790"/>
      <c r="KEE88" s="790"/>
      <c r="KEF88" s="790"/>
      <c r="KEG88" s="790"/>
      <c r="KEH88" s="790"/>
      <c r="KEI88" s="790"/>
      <c r="KEJ88" s="790"/>
      <c r="KEK88" s="790"/>
      <c r="KEL88" s="790"/>
      <c r="KEM88" s="790"/>
      <c r="KEN88" s="790"/>
      <c r="KEO88" s="790"/>
      <c r="KEP88" s="790"/>
      <c r="KEQ88" s="790"/>
      <c r="KER88" s="790"/>
      <c r="KES88" s="790"/>
      <c r="KET88" s="790"/>
      <c r="KEU88" s="790"/>
      <c r="KEV88" s="790"/>
      <c r="KEW88" s="790"/>
      <c r="KEX88" s="790"/>
      <c r="KEY88" s="790"/>
      <c r="KEZ88" s="790"/>
      <c r="KFA88" s="790"/>
      <c r="KFB88" s="790"/>
      <c r="KFC88" s="790"/>
      <c r="KFD88" s="790"/>
      <c r="KFE88" s="790"/>
      <c r="KFF88" s="790"/>
      <c r="KFG88" s="790"/>
      <c r="KFH88" s="790"/>
      <c r="KFI88" s="790"/>
      <c r="KFJ88" s="790"/>
      <c r="KFK88" s="790"/>
      <c r="KFL88" s="790"/>
      <c r="KFM88" s="790"/>
      <c r="KFN88" s="790"/>
      <c r="KFO88" s="790"/>
      <c r="KFP88" s="790"/>
      <c r="KFQ88" s="790"/>
      <c r="KFR88" s="790"/>
      <c r="KFS88" s="790"/>
      <c r="KFT88" s="790"/>
      <c r="KFU88" s="790"/>
      <c r="KFV88" s="790"/>
      <c r="KFW88" s="790"/>
      <c r="KFX88" s="790"/>
      <c r="KFY88" s="790"/>
      <c r="KFZ88" s="790"/>
      <c r="KGA88" s="790"/>
      <c r="KGB88" s="790"/>
      <c r="KGC88" s="790"/>
      <c r="KGD88" s="790"/>
      <c r="KGE88" s="790"/>
      <c r="KGF88" s="790"/>
      <c r="KGG88" s="790"/>
      <c r="KGH88" s="790"/>
      <c r="KGI88" s="790"/>
      <c r="KGJ88" s="790"/>
      <c r="KGK88" s="790"/>
      <c r="KGL88" s="790"/>
      <c r="KGM88" s="790"/>
      <c r="KGN88" s="790"/>
      <c r="KGO88" s="790"/>
      <c r="KGP88" s="790"/>
      <c r="KGQ88" s="790"/>
      <c r="KGR88" s="790"/>
      <c r="KGS88" s="790"/>
      <c r="KGT88" s="790"/>
      <c r="KGU88" s="790"/>
      <c r="KGV88" s="790"/>
      <c r="KGW88" s="790"/>
      <c r="KGX88" s="790"/>
      <c r="KGY88" s="790"/>
      <c r="KGZ88" s="790"/>
      <c r="KHA88" s="790"/>
      <c r="KHB88" s="790"/>
      <c r="KHC88" s="790"/>
      <c r="KHD88" s="790"/>
      <c r="KHE88" s="790"/>
      <c r="KHF88" s="790"/>
      <c r="KHG88" s="790"/>
      <c r="KHH88" s="790"/>
      <c r="KHI88" s="790"/>
      <c r="KHJ88" s="790"/>
      <c r="KHK88" s="790"/>
      <c r="KHL88" s="790"/>
      <c r="KHM88" s="790"/>
      <c r="KHN88" s="790"/>
      <c r="KHO88" s="790"/>
      <c r="KHP88" s="790"/>
      <c r="KHQ88" s="790"/>
      <c r="KHR88" s="790"/>
      <c r="KHS88" s="790"/>
      <c r="KHT88" s="790"/>
      <c r="KHU88" s="790"/>
      <c r="KHV88" s="790"/>
      <c r="KHW88" s="790"/>
      <c r="KHX88" s="790"/>
      <c r="KHY88" s="790"/>
      <c r="KHZ88" s="790"/>
      <c r="KIA88" s="790"/>
      <c r="KIB88" s="790"/>
      <c r="KIC88" s="790"/>
      <c r="KID88" s="790"/>
      <c r="KIE88" s="790"/>
      <c r="KIF88" s="790"/>
      <c r="KIG88" s="790"/>
      <c r="KIH88" s="790"/>
      <c r="KII88" s="790"/>
      <c r="KIJ88" s="790"/>
      <c r="KIK88" s="790"/>
      <c r="KIL88" s="790"/>
      <c r="KIM88" s="790"/>
      <c r="KIN88" s="790"/>
      <c r="KIO88" s="790"/>
      <c r="KIP88" s="790"/>
      <c r="KIQ88" s="790"/>
      <c r="KIR88" s="790"/>
      <c r="KIS88" s="790"/>
      <c r="KIT88" s="790"/>
      <c r="KIU88" s="790"/>
      <c r="KIV88" s="790"/>
      <c r="KIW88" s="790"/>
      <c r="KIX88" s="790"/>
      <c r="KIY88" s="790"/>
      <c r="KIZ88" s="790"/>
      <c r="KJA88" s="790"/>
      <c r="KJB88" s="790"/>
      <c r="KJC88" s="790"/>
      <c r="KJD88" s="790"/>
      <c r="KJE88" s="790"/>
      <c r="KJF88" s="790"/>
      <c r="KJG88" s="790"/>
      <c r="KJH88" s="790"/>
      <c r="KJI88" s="790"/>
      <c r="KJJ88" s="790"/>
      <c r="KJK88" s="790"/>
      <c r="KJL88" s="790"/>
      <c r="KJM88" s="790"/>
      <c r="KJN88" s="790"/>
      <c r="KJO88" s="790"/>
      <c r="KJP88" s="790"/>
      <c r="KJQ88" s="790"/>
      <c r="KJR88" s="790"/>
      <c r="KJS88" s="790"/>
      <c r="KJT88" s="790"/>
      <c r="KJU88" s="790"/>
      <c r="KJV88" s="790"/>
      <c r="KJW88" s="790"/>
      <c r="KJX88" s="790"/>
      <c r="KJY88" s="790"/>
      <c r="KJZ88" s="790"/>
      <c r="KKA88" s="790"/>
      <c r="KKB88" s="790"/>
      <c r="KKC88" s="790"/>
      <c r="KKD88" s="790"/>
      <c r="KKE88" s="790"/>
      <c r="KKF88" s="790"/>
      <c r="KKG88" s="790"/>
      <c r="KKH88" s="790"/>
      <c r="KKI88" s="790"/>
      <c r="KKJ88" s="790"/>
      <c r="KKK88" s="790"/>
      <c r="KKL88" s="790"/>
      <c r="KKM88" s="790"/>
      <c r="KKN88" s="790"/>
      <c r="KKO88" s="790"/>
      <c r="KKP88" s="790"/>
      <c r="KKQ88" s="790"/>
      <c r="KKR88" s="790"/>
      <c r="KKS88" s="790"/>
      <c r="KKT88" s="790"/>
      <c r="KKU88" s="790"/>
      <c r="KKV88" s="790"/>
      <c r="KKW88" s="790"/>
      <c r="KKX88" s="790"/>
      <c r="KKY88" s="790"/>
      <c r="KKZ88" s="790"/>
      <c r="KLA88" s="790"/>
      <c r="KLB88" s="790"/>
      <c r="KLC88" s="790"/>
      <c r="KLD88" s="790"/>
      <c r="KLE88" s="790"/>
      <c r="KLF88" s="790"/>
      <c r="KLG88" s="790"/>
      <c r="KLH88" s="790"/>
      <c r="KLI88" s="790"/>
      <c r="KLJ88" s="790"/>
      <c r="KLK88" s="790"/>
      <c r="KLL88" s="790"/>
      <c r="KLM88" s="790"/>
      <c r="KLN88" s="790"/>
      <c r="KLO88" s="790"/>
      <c r="KLP88" s="790"/>
      <c r="KLQ88" s="790"/>
      <c r="KLR88" s="790"/>
      <c r="KLS88" s="790"/>
      <c r="KLT88" s="790"/>
      <c r="KLU88" s="790"/>
      <c r="KLV88" s="790"/>
      <c r="KLW88" s="790"/>
      <c r="KLX88" s="790"/>
      <c r="KLY88" s="790"/>
      <c r="KLZ88" s="790"/>
      <c r="KMA88" s="790"/>
      <c r="KMB88" s="790"/>
      <c r="KMC88" s="790"/>
      <c r="KMD88" s="790"/>
      <c r="KME88" s="790"/>
      <c r="KMF88" s="790"/>
      <c r="KMG88" s="790"/>
      <c r="KMH88" s="790"/>
      <c r="KMI88" s="790"/>
      <c r="KMJ88" s="790"/>
      <c r="KMK88" s="790"/>
      <c r="KML88" s="790"/>
      <c r="KMM88" s="790"/>
      <c r="KMN88" s="790"/>
      <c r="KMO88" s="790"/>
      <c r="KMP88" s="790"/>
      <c r="KMQ88" s="790"/>
      <c r="KMR88" s="790"/>
      <c r="KMS88" s="790"/>
      <c r="KMT88" s="790"/>
      <c r="KMU88" s="790"/>
      <c r="KMV88" s="790"/>
      <c r="KMW88" s="790"/>
      <c r="KMX88" s="790"/>
      <c r="KMY88" s="790"/>
      <c r="KMZ88" s="790"/>
      <c r="KNA88" s="790"/>
      <c r="KNB88" s="790"/>
      <c r="KNC88" s="790"/>
      <c r="KND88" s="790"/>
      <c r="KNE88" s="790"/>
      <c r="KNF88" s="790"/>
      <c r="KNG88" s="790"/>
      <c r="KNH88" s="790"/>
      <c r="KNI88" s="790"/>
      <c r="KNJ88" s="790"/>
      <c r="KNK88" s="790"/>
      <c r="KNL88" s="790"/>
      <c r="KNM88" s="790"/>
      <c r="KNN88" s="790"/>
      <c r="KNO88" s="790"/>
      <c r="KNP88" s="790"/>
      <c r="KNQ88" s="790"/>
      <c r="KNR88" s="790"/>
      <c r="KNS88" s="790"/>
      <c r="KNT88" s="790"/>
      <c r="KNU88" s="790"/>
      <c r="KNV88" s="790"/>
      <c r="KNW88" s="790"/>
      <c r="KNX88" s="790"/>
      <c r="KNY88" s="790"/>
      <c r="KNZ88" s="790"/>
      <c r="KOA88" s="790"/>
      <c r="KOB88" s="790"/>
      <c r="KOC88" s="790"/>
      <c r="KOD88" s="790"/>
      <c r="KOE88" s="790"/>
      <c r="KOF88" s="790"/>
      <c r="KOG88" s="790"/>
      <c r="KOH88" s="790"/>
      <c r="KOI88" s="790"/>
      <c r="KOJ88" s="790"/>
      <c r="KOK88" s="790"/>
      <c r="KOL88" s="790"/>
      <c r="KOM88" s="790"/>
      <c r="KON88" s="790"/>
      <c r="KOO88" s="790"/>
      <c r="KOP88" s="790"/>
      <c r="KOQ88" s="790"/>
      <c r="KOR88" s="790"/>
      <c r="KOS88" s="790"/>
      <c r="KOT88" s="790"/>
      <c r="KOU88" s="790"/>
      <c r="KOV88" s="790"/>
      <c r="KOW88" s="790"/>
      <c r="KOX88" s="790"/>
      <c r="KOY88" s="790"/>
      <c r="KOZ88" s="790"/>
      <c r="KPA88" s="790"/>
      <c r="KPB88" s="790"/>
      <c r="KPC88" s="790"/>
      <c r="KPD88" s="790"/>
      <c r="KPE88" s="790"/>
      <c r="KPF88" s="790"/>
      <c r="KPG88" s="790"/>
      <c r="KPH88" s="790"/>
      <c r="KPI88" s="790"/>
      <c r="KPJ88" s="790"/>
      <c r="KPK88" s="790"/>
      <c r="KPL88" s="790"/>
      <c r="KPM88" s="790"/>
      <c r="KPN88" s="790"/>
      <c r="KPO88" s="790"/>
      <c r="KPP88" s="790"/>
      <c r="KPQ88" s="790"/>
      <c r="KPR88" s="790"/>
      <c r="KPS88" s="790"/>
      <c r="KPT88" s="790"/>
      <c r="KPU88" s="790"/>
      <c r="KPV88" s="790"/>
      <c r="KPW88" s="790"/>
      <c r="KPX88" s="790"/>
      <c r="KPY88" s="790"/>
      <c r="KPZ88" s="790"/>
      <c r="KQA88" s="790"/>
      <c r="KQB88" s="790"/>
      <c r="KQC88" s="790"/>
      <c r="KQD88" s="790"/>
      <c r="KQE88" s="790"/>
      <c r="KQF88" s="790"/>
      <c r="KQG88" s="790"/>
      <c r="KQH88" s="790"/>
      <c r="KQI88" s="790"/>
      <c r="KQJ88" s="790"/>
      <c r="KQK88" s="790"/>
      <c r="KQL88" s="790"/>
      <c r="KQM88" s="790"/>
      <c r="KQN88" s="790"/>
      <c r="KQO88" s="790"/>
      <c r="KQP88" s="790"/>
      <c r="KQQ88" s="790"/>
      <c r="KQR88" s="790"/>
      <c r="KQS88" s="790"/>
      <c r="KQT88" s="790"/>
      <c r="KQU88" s="790"/>
      <c r="KQV88" s="790"/>
      <c r="KQW88" s="790"/>
      <c r="KQX88" s="790"/>
      <c r="KQY88" s="790"/>
      <c r="KQZ88" s="790"/>
      <c r="KRA88" s="790"/>
      <c r="KRB88" s="790"/>
      <c r="KRC88" s="790"/>
      <c r="KRD88" s="790"/>
      <c r="KRE88" s="790"/>
      <c r="KRF88" s="790"/>
      <c r="KRG88" s="790"/>
      <c r="KRH88" s="790"/>
      <c r="KRI88" s="790"/>
      <c r="KRJ88" s="790"/>
      <c r="KRK88" s="790"/>
      <c r="KRL88" s="790"/>
      <c r="KRM88" s="790"/>
      <c r="KRN88" s="790"/>
      <c r="KRO88" s="790"/>
      <c r="KRP88" s="790"/>
      <c r="KRQ88" s="790"/>
      <c r="KRR88" s="790"/>
      <c r="KRS88" s="790"/>
      <c r="KRT88" s="790"/>
      <c r="KRU88" s="790"/>
      <c r="KRV88" s="790"/>
      <c r="KRW88" s="790"/>
      <c r="KRX88" s="790"/>
      <c r="KRY88" s="790"/>
      <c r="KRZ88" s="790"/>
      <c r="KSA88" s="790"/>
      <c r="KSB88" s="790"/>
      <c r="KSC88" s="790"/>
      <c r="KSD88" s="790"/>
      <c r="KSE88" s="790"/>
      <c r="KSF88" s="790"/>
      <c r="KSG88" s="790"/>
      <c r="KSH88" s="790"/>
      <c r="KSI88" s="790"/>
      <c r="KSJ88" s="790"/>
      <c r="KSK88" s="790"/>
      <c r="KSL88" s="790"/>
      <c r="KSM88" s="790"/>
      <c r="KSN88" s="790"/>
      <c r="KSO88" s="790"/>
      <c r="KSP88" s="790"/>
      <c r="KSQ88" s="790"/>
      <c r="KSR88" s="790"/>
      <c r="KSS88" s="790"/>
      <c r="KST88" s="790"/>
      <c r="KSU88" s="790"/>
      <c r="KSV88" s="790"/>
      <c r="KSW88" s="790"/>
      <c r="KSX88" s="790"/>
      <c r="KSY88" s="790"/>
      <c r="KSZ88" s="790"/>
      <c r="KTA88" s="790"/>
      <c r="KTB88" s="790"/>
      <c r="KTC88" s="790"/>
      <c r="KTD88" s="790"/>
      <c r="KTE88" s="790"/>
      <c r="KTF88" s="790"/>
      <c r="KTG88" s="790"/>
      <c r="KTH88" s="790"/>
      <c r="KTI88" s="790"/>
      <c r="KTJ88" s="790"/>
      <c r="KTK88" s="790"/>
      <c r="KTL88" s="790"/>
      <c r="KTM88" s="790"/>
      <c r="KTN88" s="790"/>
      <c r="KTO88" s="790"/>
      <c r="KTP88" s="790"/>
      <c r="KTQ88" s="790"/>
      <c r="KTR88" s="790"/>
      <c r="KTS88" s="790"/>
      <c r="KTT88" s="790"/>
      <c r="KTU88" s="790"/>
      <c r="KTV88" s="790"/>
      <c r="KTW88" s="790"/>
      <c r="KTX88" s="790"/>
      <c r="KTY88" s="790"/>
      <c r="KTZ88" s="790"/>
      <c r="KUA88" s="790"/>
      <c r="KUB88" s="790"/>
      <c r="KUC88" s="790"/>
      <c r="KUD88" s="790"/>
      <c r="KUE88" s="790"/>
      <c r="KUF88" s="790"/>
      <c r="KUG88" s="790"/>
      <c r="KUH88" s="790"/>
      <c r="KUI88" s="790"/>
      <c r="KUJ88" s="790"/>
      <c r="KUK88" s="790"/>
      <c r="KUL88" s="790"/>
      <c r="KUM88" s="790"/>
      <c r="KUN88" s="790"/>
      <c r="KUO88" s="790"/>
      <c r="KUP88" s="790"/>
      <c r="KUQ88" s="790"/>
      <c r="KUR88" s="790"/>
      <c r="KUS88" s="790"/>
      <c r="KUT88" s="790"/>
      <c r="KUU88" s="790"/>
      <c r="KUV88" s="790"/>
      <c r="KUW88" s="790"/>
      <c r="KUX88" s="790"/>
      <c r="KUY88" s="790"/>
      <c r="KUZ88" s="790"/>
      <c r="KVA88" s="790"/>
      <c r="KVB88" s="790"/>
      <c r="KVC88" s="790"/>
      <c r="KVD88" s="790"/>
      <c r="KVE88" s="790"/>
      <c r="KVF88" s="790"/>
      <c r="KVG88" s="790"/>
      <c r="KVH88" s="790"/>
      <c r="KVI88" s="790"/>
      <c r="KVJ88" s="790"/>
      <c r="KVK88" s="790"/>
      <c r="KVL88" s="790"/>
      <c r="KVM88" s="790"/>
      <c r="KVN88" s="790"/>
      <c r="KVO88" s="790"/>
      <c r="KVP88" s="790"/>
      <c r="KVQ88" s="790"/>
      <c r="KVR88" s="790"/>
      <c r="KVS88" s="790"/>
      <c r="KVT88" s="790"/>
      <c r="KVU88" s="790"/>
      <c r="KVV88" s="790"/>
      <c r="KVW88" s="790"/>
      <c r="KVX88" s="790"/>
      <c r="KVY88" s="790"/>
      <c r="KVZ88" s="790"/>
      <c r="KWA88" s="790"/>
      <c r="KWB88" s="790"/>
      <c r="KWC88" s="790"/>
      <c r="KWD88" s="790"/>
      <c r="KWE88" s="790"/>
      <c r="KWF88" s="790"/>
      <c r="KWG88" s="790"/>
      <c r="KWH88" s="790"/>
      <c r="KWI88" s="790"/>
      <c r="KWJ88" s="790"/>
      <c r="KWK88" s="790"/>
      <c r="KWL88" s="790"/>
      <c r="KWM88" s="790"/>
      <c r="KWN88" s="790"/>
      <c r="KWO88" s="790"/>
      <c r="KWP88" s="790"/>
      <c r="KWQ88" s="790"/>
      <c r="KWR88" s="790"/>
      <c r="KWS88" s="790"/>
      <c r="KWT88" s="790"/>
      <c r="KWU88" s="790"/>
      <c r="KWV88" s="790"/>
      <c r="KWW88" s="790"/>
      <c r="KWX88" s="790"/>
      <c r="KWY88" s="790"/>
      <c r="KWZ88" s="790"/>
      <c r="KXA88" s="790"/>
      <c r="KXB88" s="790"/>
      <c r="KXC88" s="790"/>
      <c r="KXD88" s="790"/>
      <c r="KXE88" s="790"/>
      <c r="KXF88" s="790"/>
      <c r="KXG88" s="790"/>
      <c r="KXH88" s="790"/>
      <c r="KXI88" s="790"/>
      <c r="KXJ88" s="790"/>
      <c r="KXK88" s="790"/>
      <c r="KXL88" s="790"/>
      <c r="KXM88" s="790"/>
      <c r="KXN88" s="790"/>
      <c r="KXO88" s="790"/>
      <c r="KXP88" s="790"/>
      <c r="KXQ88" s="790"/>
      <c r="KXR88" s="790"/>
      <c r="KXS88" s="790"/>
      <c r="KXT88" s="790"/>
      <c r="KXU88" s="790"/>
      <c r="KXV88" s="790"/>
      <c r="KXW88" s="790"/>
      <c r="KXX88" s="790"/>
      <c r="KXY88" s="790"/>
      <c r="KXZ88" s="790"/>
      <c r="KYA88" s="790"/>
      <c r="KYB88" s="790"/>
      <c r="KYC88" s="790"/>
      <c r="KYD88" s="790"/>
      <c r="KYE88" s="790"/>
      <c r="KYF88" s="790"/>
      <c r="KYG88" s="790"/>
      <c r="KYH88" s="790"/>
      <c r="KYI88" s="790"/>
      <c r="KYJ88" s="790"/>
      <c r="KYK88" s="790"/>
      <c r="KYL88" s="790"/>
      <c r="KYM88" s="790"/>
      <c r="KYN88" s="790"/>
      <c r="KYO88" s="790"/>
      <c r="KYP88" s="790"/>
      <c r="KYQ88" s="790"/>
      <c r="KYR88" s="790"/>
      <c r="KYS88" s="790"/>
      <c r="KYT88" s="790"/>
      <c r="KYU88" s="790"/>
      <c r="KYV88" s="790"/>
      <c r="KYW88" s="790"/>
      <c r="KYX88" s="790"/>
      <c r="KYY88" s="790"/>
      <c r="KYZ88" s="790"/>
      <c r="KZA88" s="790"/>
      <c r="KZB88" s="790"/>
      <c r="KZC88" s="790"/>
      <c r="KZD88" s="790"/>
      <c r="KZE88" s="790"/>
      <c r="KZF88" s="790"/>
      <c r="KZG88" s="790"/>
      <c r="KZH88" s="790"/>
      <c r="KZI88" s="790"/>
      <c r="KZJ88" s="790"/>
      <c r="KZK88" s="790"/>
      <c r="KZL88" s="790"/>
      <c r="KZM88" s="790"/>
      <c r="KZN88" s="790"/>
      <c r="KZO88" s="790"/>
      <c r="KZP88" s="790"/>
      <c r="KZQ88" s="790"/>
      <c r="KZR88" s="790"/>
      <c r="KZS88" s="790"/>
      <c r="KZT88" s="790"/>
      <c r="KZU88" s="790"/>
      <c r="KZV88" s="790"/>
      <c r="KZW88" s="790"/>
      <c r="KZX88" s="790"/>
      <c r="KZY88" s="790"/>
      <c r="KZZ88" s="790"/>
      <c r="LAA88" s="790"/>
      <c r="LAB88" s="790"/>
      <c r="LAC88" s="790"/>
      <c r="LAD88" s="790"/>
      <c r="LAE88" s="790"/>
      <c r="LAF88" s="790"/>
      <c r="LAG88" s="790"/>
      <c r="LAH88" s="790"/>
      <c r="LAI88" s="790"/>
      <c r="LAJ88" s="790"/>
      <c r="LAK88" s="790"/>
      <c r="LAL88" s="790"/>
      <c r="LAM88" s="790"/>
      <c r="LAN88" s="790"/>
      <c r="LAO88" s="790"/>
      <c r="LAP88" s="790"/>
      <c r="LAQ88" s="790"/>
      <c r="LAR88" s="790"/>
      <c r="LAS88" s="790"/>
      <c r="LAT88" s="790"/>
      <c r="LAU88" s="790"/>
      <c r="LAV88" s="790"/>
      <c r="LAW88" s="790"/>
      <c r="LAX88" s="790"/>
      <c r="LAY88" s="790"/>
      <c r="LAZ88" s="790"/>
      <c r="LBA88" s="790"/>
      <c r="LBB88" s="790"/>
      <c r="LBC88" s="790"/>
      <c r="LBD88" s="790"/>
      <c r="LBE88" s="790"/>
      <c r="LBF88" s="790"/>
      <c r="LBG88" s="790"/>
      <c r="LBH88" s="790"/>
      <c r="LBI88" s="790"/>
      <c r="LBJ88" s="790"/>
      <c r="LBK88" s="790"/>
      <c r="LBL88" s="790"/>
      <c r="LBM88" s="790"/>
      <c r="LBN88" s="790"/>
      <c r="LBO88" s="790"/>
      <c r="LBP88" s="790"/>
      <c r="LBQ88" s="790"/>
      <c r="LBR88" s="790"/>
      <c r="LBS88" s="790"/>
      <c r="LBT88" s="790"/>
      <c r="LBU88" s="790"/>
      <c r="LBV88" s="790"/>
      <c r="LBW88" s="790"/>
      <c r="LBX88" s="790"/>
      <c r="LBY88" s="790"/>
      <c r="LBZ88" s="790"/>
      <c r="LCA88" s="790"/>
      <c r="LCB88" s="790"/>
      <c r="LCC88" s="790"/>
      <c r="LCD88" s="790"/>
      <c r="LCE88" s="790"/>
      <c r="LCF88" s="790"/>
      <c r="LCG88" s="790"/>
      <c r="LCH88" s="790"/>
      <c r="LCI88" s="790"/>
      <c r="LCJ88" s="790"/>
      <c r="LCK88" s="790"/>
      <c r="LCL88" s="790"/>
      <c r="LCM88" s="790"/>
      <c r="LCN88" s="790"/>
      <c r="LCO88" s="790"/>
      <c r="LCP88" s="790"/>
      <c r="LCQ88" s="790"/>
      <c r="LCR88" s="790"/>
      <c r="LCS88" s="790"/>
      <c r="LCT88" s="790"/>
      <c r="LCU88" s="790"/>
      <c r="LCV88" s="790"/>
      <c r="LCW88" s="790"/>
      <c r="LCX88" s="790"/>
      <c r="LCY88" s="790"/>
      <c r="LCZ88" s="790"/>
      <c r="LDA88" s="790"/>
      <c r="LDB88" s="790"/>
      <c r="LDC88" s="790"/>
      <c r="LDD88" s="790"/>
      <c r="LDE88" s="790"/>
      <c r="LDF88" s="790"/>
      <c r="LDG88" s="790"/>
      <c r="LDH88" s="790"/>
      <c r="LDI88" s="790"/>
      <c r="LDJ88" s="790"/>
      <c r="LDK88" s="790"/>
      <c r="LDL88" s="790"/>
      <c r="LDM88" s="790"/>
      <c r="LDN88" s="790"/>
      <c r="LDO88" s="790"/>
      <c r="LDP88" s="790"/>
      <c r="LDQ88" s="790"/>
      <c r="LDR88" s="790"/>
      <c r="LDS88" s="790"/>
      <c r="LDT88" s="790"/>
      <c r="LDU88" s="790"/>
      <c r="LDV88" s="790"/>
      <c r="LDW88" s="790"/>
      <c r="LDX88" s="790"/>
      <c r="LDY88" s="790"/>
      <c r="LDZ88" s="790"/>
      <c r="LEA88" s="790"/>
      <c r="LEB88" s="790"/>
      <c r="LEC88" s="790"/>
      <c r="LED88" s="790"/>
      <c r="LEE88" s="790"/>
      <c r="LEF88" s="790"/>
      <c r="LEG88" s="790"/>
      <c r="LEH88" s="790"/>
      <c r="LEI88" s="790"/>
      <c r="LEJ88" s="790"/>
      <c r="LEK88" s="790"/>
      <c r="LEL88" s="790"/>
      <c r="LEM88" s="790"/>
      <c r="LEN88" s="790"/>
      <c r="LEO88" s="790"/>
      <c r="LEP88" s="790"/>
      <c r="LEQ88" s="790"/>
      <c r="LER88" s="790"/>
      <c r="LES88" s="790"/>
      <c r="LET88" s="790"/>
      <c r="LEU88" s="790"/>
      <c r="LEV88" s="790"/>
      <c r="LEW88" s="790"/>
      <c r="LEX88" s="790"/>
      <c r="LEY88" s="790"/>
      <c r="LEZ88" s="790"/>
      <c r="LFA88" s="790"/>
      <c r="LFB88" s="790"/>
      <c r="LFC88" s="790"/>
      <c r="LFD88" s="790"/>
      <c r="LFE88" s="790"/>
      <c r="LFF88" s="790"/>
      <c r="LFG88" s="790"/>
      <c r="LFH88" s="790"/>
      <c r="LFI88" s="790"/>
      <c r="LFJ88" s="790"/>
      <c r="LFK88" s="790"/>
      <c r="LFL88" s="790"/>
      <c r="LFM88" s="790"/>
      <c r="LFN88" s="790"/>
      <c r="LFO88" s="790"/>
      <c r="LFP88" s="790"/>
      <c r="LFQ88" s="790"/>
      <c r="LFR88" s="790"/>
      <c r="LFS88" s="790"/>
      <c r="LFT88" s="790"/>
      <c r="LFU88" s="790"/>
      <c r="LFV88" s="790"/>
      <c r="LFW88" s="790"/>
      <c r="LFX88" s="790"/>
      <c r="LFY88" s="790"/>
      <c r="LFZ88" s="790"/>
      <c r="LGA88" s="790"/>
      <c r="LGB88" s="790"/>
      <c r="LGC88" s="790"/>
      <c r="LGD88" s="790"/>
      <c r="LGE88" s="790"/>
      <c r="LGF88" s="790"/>
      <c r="LGG88" s="790"/>
      <c r="LGH88" s="790"/>
      <c r="LGI88" s="790"/>
      <c r="LGJ88" s="790"/>
      <c r="LGK88" s="790"/>
      <c r="LGL88" s="790"/>
      <c r="LGM88" s="790"/>
      <c r="LGN88" s="790"/>
      <c r="LGO88" s="790"/>
      <c r="LGP88" s="790"/>
      <c r="LGQ88" s="790"/>
      <c r="LGR88" s="790"/>
      <c r="LGS88" s="790"/>
      <c r="LGT88" s="790"/>
      <c r="LGU88" s="790"/>
      <c r="LGV88" s="790"/>
      <c r="LGW88" s="790"/>
      <c r="LGX88" s="790"/>
      <c r="LGY88" s="790"/>
      <c r="LGZ88" s="790"/>
      <c r="LHA88" s="790"/>
      <c r="LHB88" s="790"/>
      <c r="LHC88" s="790"/>
      <c r="LHD88" s="790"/>
      <c r="LHE88" s="790"/>
      <c r="LHF88" s="790"/>
      <c r="LHG88" s="790"/>
      <c r="LHH88" s="790"/>
      <c r="LHI88" s="790"/>
      <c r="LHJ88" s="790"/>
      <c r="LHK88" s="790"/>
      <c r="LHL88" s="790"/>
      <c r="LHM88" s="790"/>
      <c r="LHN88" s="790"/>
      <c r="LHO88" s="790"/>
      <c r="LHP88" s="790"/>
      <c r="LHQ88" s="790"/>
      <c r="LHR88" s="790"/>
      <c r="LHS88" s="790"/>
      <c r="LHT88" s="790"/>
      <c r="LHU88" s="790"/>
      <c r="LHV88" s="790"/>
      <c r="LHW88" s="790"/>
      <c r="LHX88" s="790"/>
      <c r="LHY88" s="790"/>
      <c r="LHZ88" s="790"/>
      <c r="LIA88" s="790"/>
      <c r="LIB88" s="790"/>
      <c r="LIC88" s="790"/>
      <c r="LID88" s="790"/>
      <c r="LIE88" s="790"/>
      <c r="LIF88" s="790"/>
      <c r="LIG88" s="790"/>
      <c r="LIH88" s="790"/>
      <c r="LII88" s="790"/>
      <c r="LIJ88" s="790"/>
      <c r="LIK88" s="790"/>
      <c r="LIL88" s="790"/>
      <c r="LIM88" s="790"/>
      <c r="LIN88" s="790"/>
      <c r="LIO88" s="790"/>
      <c r="LIP88" s="790"/>
      <c r="LIQ88" s="790"/>
      <c r="LIR88" s="790"/>
      <c r="LIS88" s="790"/>
      <c r="LIT88" s="790"/>
      <c r="LIU88" s="790"/>
      <c r="LIV88" s="790"/>
      <c r="LIW88" s="790"/>
      <c r="LIX88" s="790"/>
      <c r="LIY88" s="790"/>
      <c r="LIZ88" s="790"/>
      <c r="LJA88" s="790"/>
      <c r="LJB88" s="790"/>
      <c r="LJC88" s="790"/>
      <c r="LJD88" s="790"/>
      <c r="LJE88" s="790"/>
      <c r="LJF88" s="790"/>
      <c r="LJG88" s="790"/>
      <c r="LJH88" s="790"/>
      <c r="LJI88" s="790"/>
      <c r="LJJ88" s="790"/>
      <c r="LJK88" s="790"/>
      <c r="LJL88" s="790"/>
      <c r="LJM88" s="790"/>
      <c r="LJN88" s="790"/>
      <c r="LJO88" s="790"/>
      <c r="LJP88" s="790"/>
      <c r="LJQ88" s="790"/>
      <c r="LJR88" s="790"/>
      <c r="LJS88" s="790"/>
      <c r="LJT88" s="790"/>
      <c r="LJU88" s="790"/>
      <c r="LJV88" s="790"/>
      <c r="LJW88" s="790"/>
      <c r="LJX88" s="790"/>
      <c r="LJY88" s="790"/>
      <c r="LJZ88" s="790"/>
      <c r="LKA88" s="790"/>
      <c r="LKB88" s="790"/>
      <c r="LKC88" s="790"/>
      <c r="LKD88" s="790"/>
      <c r="LKE88" s="790"/>
      <c r="LKF88" s="790"/>
      <c r="LKG88" s="790"/>
      <c r="LKH88" s="790"/>
      <c r="LKI88" s="790"/>
      <c r="LKJ88" s="790"/>
      <c r="LKK88" s="790"/>
      <c r="LKL88" s="790"/>
      <c r="LKM88" s="790"/>
      <c r="LKN88" s="790"/>
      <c r="LKO88" s="790"/>
      <c r="LKP88" s="790"/>
      <c r="LKQ88" s="790"/>
      <c r="LKR88" s="790"/>
      <c r="LKS88" s="790"/>
      <c r="LKT88" s="790"/>
      <c r="LKU88" s="790"/>
      <c r="LKV88" s="790"/>
      <c r="LKW88" s="790"/>
      <c r="LKX88" s="790"/>
      <c r="LKY88" s="790"/>
      <c r="LKZ88" s="790"/>
      <c r="LLA88" s="790"/>
      <c r="LLB88" s="790"/>
      <c r="LLC88" s="790"/>
      <c r="LLD88" s="790"/>
      <c r="LLE88" s="790"/>
      <c r="LLF88" s="790"/>
      <c r="LLG88" s="790"/>
      <c r="LLH88" s="790"/>
      <c r="LLI88" s="790"/>
      <c r="LLJ88" s="790"/>
      <c r="LLK88" s="790"/>
      <c r="LLL88" s="790"/>
      <c r="LLM88" s="790"/>
      <c r="LLN88" s="790"/>
      <c r="LLO88" s="790"/>
      <c r="LLP88" s="790"/>
      <c r="LLQ88" s="790"/>
      <c r="LLR88" s="790"/>
      <c r="LLS88" s="790"/>
      <c r="LLT88" s="790"/>
      <c r="LLU88" s="790"/>
      <c r="LLV88" s="790"/>
      <c r="LLW88" s="790"/>
      <c r="LLX88" s="790"/>
      <c r="LLY88" s="790"/>
      <c r="LLZ88" s="790"/>
      <c r="LMA88" s="790"/>
      <c r="LMB88" s="790"/>
      <c r="LMC88" s="790"/>
      <c r="LMD88" s="790"/>
      <c r="LME88" s="790"/>
      <c r="LMF88" s="790"/>
      <c r="LMG88" s="790"/>
      <c r="LMH88" s="790"/>
      <c r="LMI88" s="790"/>
      <c r="LMJ88" s="790"/>
      <c r="LMK88" s="790"/>
      <c r="LML88" s="790"/>
      <c r="LMM88" s="790"/>
      <c r="LMN88" s="790"/>
      <c r="LMO88" s="790"/>
      <c r="LMP88" s="790"/>
      <c r="LMQ88" s="790"/>
      <c r="LMR88" s="790"/>
      <c r="LMS88" s="790"/>
      <c r="LMT88" s="790"/>
      <c r="LMU88" s="790"/>
      <c r="LMV88" s="790"/>
      <c r="LMW88" s="790"/>
      <c r="LMX88" s="790"/>
      <c r="LMY88" s="790"/>
      <c r="LMZ88" s="790"/>
      <c r="LNA88" s="790"/>
      <c r="LNB88" s="790"/>
      <c r="LNC88" s="790"/>
      <c r="LND88" s="790"/>
      <c r="LNE88" s="790"/>
      <c r="LNF88" s="790"/>
      <c r="LNG88" s="790"/>
      <c r="LNH88" s="790"/>
      <c r="LNI88" s="790"/>
      <c r="LNJ88" s="790"/>
      <c r="LNK88" s="790"/>
      <c r="LNL88" s="790"/>
      <c r="LNM88" s="790"/>
      <c r="LNN88" s="790"/>
      <c r="LNO88" s="790"/>
      <c r="LNP88" s="790"/>
      <c r="LNQ88" s="790"/>
      <c r="LNR88" s="790"/>
      <c r="LNS88" s="790"/>
      <c r="LNT88" s="790"/>
      <c r="LNU88" s="790"/>
      <c r="LNV88" s="790"/>
      <c r="LNW88" s="790"/>
      <c r="LNX88" s="790"/>
      <c r="LNY88" s="790"/>
      <c r="LNZ88" s="790"/>
      <c r="LOA88" s="790"/>
      <c r="LOB88" s="790"/>
      <c r="LOC88" s="790"/>
      <c r="LOD88" s="790"/>
      <c r="LOE88" s="790"/>
      <c r="LOF88" s="790"/>
      <c r="LOG88" s="790"/>
      <c r="LOH88" s="790"/>
      <c r="LOI88" s="790"/>
      <c r="LOJ88" s="790"/>
      <c r="LOK88" s="790"/>
      <c r="LOL88" s="790"/>
      <c r="LOM88" s="790"/>
      <c r="LON88" s="790"/>
      <c r="LOO88" s="790"/>
      <c r="LOP88" s="790"/>
      <c r="LOQ88" s="790"/>
      <c r="LOR88" s="790"/>
      <c r="LOS88" s="790"/>
      <c r="LOT88" s="790"/>
      <c r="LOU88" s="790"/>
      <c r="LOV88" s="790"/>
      <c r="LOW88" s="790"/>
      <c r="LOX88" s="790"/>
      <c r="LOY88" s="790"/>
      <c r="LOZ88" s="790"/>
      <c r="LPA88" s="790"/>
      <c r="LPB88" s="790"/>
      <c r="LPC88" s="790"/>
      <c r="LPD88" s="790"/>
      <c r="LPE88" s="790"/>
      <c r="LPF88" s="790"/>
      <c r="LPG88" s="790"/>
      <c r="LPH88" s="790"/>
      <c r="LPI88" s="790"/>
      <c r="LPJ88" s="790"/>
      <c r="LPK88" s="790"/>
      <c r="LPL88" s="790"/>
      <c r="LPM88" s="790"/>
      <c r="LPN88" s="790"/>
      <c r="LPO88" s="790"/>
      <c r="LPP88" s="790"/>
      <c r="LPQ88" s="790"/>
      <c r="LPR88" s="790"/>
      <c r="LPS88" s="790"/>
      <c r="LPT88" s="790"/>
      <c r="LPU88" s="790"/>
      <c r="LPV88" s="790"/>
      <c r="LPW88" s="790"/>
      <c r="LPX88" s="790"/>
      <c r="LPY88" s="790"/>
      <c r="LPZ88" s="790"/>
      <c r="LQA88" s="790"/>
      <c r="LQB88" s="790"/>
      <c r="LQC88" s="790"/>
      <c r="LQD88" s="790"/>
      <c r="LQE88" s="790"/>
      <c r="LQF88" s="790"/>
      <c r="LQG88" s="790"/>
      <c r="LQH88" s="790"/>
      <c r="LQI88" s="790"/>
      <c r="LQJ88" s="790"/>
      <c r="LQK88" s="790"/>
      <c r="LQL88" s="790"/>
      <c r="LQM88" s="790"/>
      <c r="LQN88" s="790"/>
      <c r="LQO88" s="790"/>
      <c r="LQP88" s="790"/>
      <c r="LQQ88" s="790"/>
      <c r="LQR88" s="790"/>
      <c r="LQS88" s="790"/>
      <c r="LQT88" s="790"/>
      <c r="LQU88" s="790"/>
      <c r="LQV88" s="790"/>
      <c r="LQW88" s="790"/>
      <c r="LQX88" s="790"/>
      <c r="LQY88" s="790"/>
      <c r="LQZ88" s="790"/>
      <c r="LRA88" s="790"/>
      <c r="LRB88" s="790"/>
      <c r="LRC88" s="790"/>
      <c r="LRD88" s="790"/>
      <c r="LRE88" s="790"/>
      <c r="LRF88" s="790"/>
      <c r="LRG88" s="790"/>
      <c r="LRH88" s="790"/>
      <c r="LRI88" s="790"/>
      <c r="LRJ88" s="790"/>
      <c r="LRK88" s="790"/>
      <c r="LRL88" s="790"/>
      <c r="LRM88" s="790"/>
      <c r="LRN88" s="790"/>
      <c r="LRO88" s="790"/>
      <c r="LRP88" s="790"/>
      <c r="LRQ88" s="790"/>
      <c r="LRR88" s="790"/>
      <c r="LRS88" s="790"/>
      <c r="LRT88" s="790"/>
      <c r="LRU88" s="790"/>
      <c r="LRV88" s="790"/>
      <c r="LRW88" s="790"/>
      <c r="LRX88" s="790"/>
      <c r="LRY88" s="790"/>
      <c r="LRZ88" s="790"/>
      <c r="LSA88" s="790"/>
      <c r="LSB88" s="790"/>
      <c r="LSC88" s="790"/>
      <c r="LSD88" s="790"/>
      <c r="LSE88" s="790"/>
      <c r="LSF88" s="790"/>
      <c r="LSG88" s="790"/>
      <c r="LSH88" s="790"/>
      <c r="LSI88" s="790"/>
      <c r="LSJ88" s="790"/>
      <c r="LSK88" s="790"/>
      <c r="LSL88" s="790"/>
      <c r="LSM88" s="790"/>
      <c r="LSN88" s="790"/>
      <c r="LSO88" s="790"/>
      <c r="LSP88" s="790"/>
      <c r="LSQ88" s="790"/>
      <c r="LSR88" s="790"/>
      <c r="LSS88" s="790"/>
      <c r="LST88" s="790"/>
      <c r="LSU88" s="790"/>
      <c r="LSV88" s="790"/>
      <c r="LSW88" s="790"/>
      <c r="LSX88" s="790"/>
      <c r="LSY88" s="790"/>
      <c r="LSZ88" s="790"/>
      <c r="LTA88" s="790"/>
      <c r="LTB88" s="790"/>
      <c r="LTC88" s="790"/>
      <c r="LTD88" s="790"/>
      <c r="LTE88" s="790"/>
      <c r="LTF88" s="790"/>
      <c r="LTG88" s="790"/>
      <c r="LTH88" s="790"/>
      <c r="LTI88" s="790"/>
      <c r="LTJ88" s="790"/>
      <c r="LTK88" s="790"/>
      <c r="LTL88" s="790"/>
      <c r="LTM88" s="790"/>
      <c r="LTN88" s="790"/>
      <c r="LTO88" s="790"/>
      <c r="LTP88" s="790"/>
      <c r="LTQ88" s="790"/>
      <c r="LTR88" s="790"/>
      <c r="LTS88" s="790"/>
      <c r="LTT88" s="790"/>
      <c r="LTU88" s="790"/>
      <c r="LTV88" s="790"/>
      <c r="LTW88" s="790"/>
      <c r="LTX88" s="790"/>
      <c r="LTY88" s="790"/>
      <c r="LTZ88" s="790"/>
      <c r="LUA88" s="790"/>
      <c r="LUB88" s="790"/>
      <c r="LUC88" s="790"/>
      <c r="LUD88" s="790"/>
      <c r="LUE88" s="790"/>
      <c r="LUF88" s="790"/>
      <c r="LUG88" s="790"/>
      <c r="LUH88" s="790"/>
      <c r="LUI88" s="790"/>
      <c r="LUJ88" s="790"/>
      <c r="LUK88" s="790"/>
      <c r="LUL88" s="790"/>
      <c r="LUM88" s="790"/>
      <c r="LUN88" s="790"/>
      <c r="LUO88" s="790"/>
      <c r="LUP88" s="790"/>
      <c r="LUQ88" s="790"/>
      <c r="LUR88" s="790"/>
      <c r="LUS88" s="790"/>
      <c r="LUT88" s="790"/>
      <c r="LUU88" s="790"/>
      <c r="LUV88" s="790"/>
      <c r="LUW88" s="790"/>
      <c r="LUX88" s="790"/>
      <c r="LUY88" s="790"/>
      <c r="LUZ88" s="790"/>
      <c r="LVA88" s="790"/>
      <c r="LVB88" s="790"/>
      <c r="LVC88" s="790"/>
      <c r="LVD88" s="790"/>
      <c r="LVE88" s="790"/>
      <c r="LVF88" s="790"/>
      <c r="LVG88" s="790"/>
      <c r="LVH88" s="790"/>
      <c r="LVI88" s="790"/>
      <c r="LVJ88" s="790"/>
      <c r="LVK88" s="790"/>
      <c r="LVL88" s="790"/>
      <c r="LVM88" s="790"/>
      <c r="LVN88" s="790"/>
      <c r="LVO88" s="790"/>
      <c r="LVP88" s="790"/>
      <c r="LVQ88" s="790"/>
      <c r="LVR88" s="790"/>
      <c r="LVS88" s="790"/>
      <c r="LVT88" s="790"/>
      <c r="LVU88" s="790"/>
      <c r="LVV88" s="790"/>
      <c r="LVW88" s="790"/>
      <c r="LVX88" s="790"/>
      <c r="LVY88" s="790"/>
      <c r="LVZ88" s="790"/>
      <c r="LWA88" s="790"/>
      <c r="LWB88" s="790"/>
      <c r="LWC88" s="790"/>
      <c r="LWD88" s="790"/>
      <c r="LWE88" s="790"/>
      <c r="LWF88" s="790"/>
      <c r="LWG88" s="790"/>
      <c r="LWH88" s="790"/>
      <c r="LWI88" s="790"/>
      <c r="LWJ88" s="790"/>
      <c r="LWK88" s="790"/>
      <c r="LWL88" s="790"/>
      <c r="LWM88" s="790"/>
      <c r="LWN88" s="790"/>
      <c r="LWO88" s="790"/>
      <c r="LWP88" s="790"/>
      <c r="LWQ88" s="790"/>
      <c r="LWR88" s="790"/>
      <c r="LWS88" s="790"/>
      <c r="LWT88" s="790"/>
      <c r="LWU88" s="790"/>
      <c r="LWV88" s="790"/>
      <c r="LWW88" s="790"/>
      <c r="LWX88" s="790"/>
      <c r="LWY88" s="790"/>
      <c r="LWZ88" s="790"/>
      <c r="LXA88" s="790"/>
      <c r="LXB88" s="790"/>
      <c r="LXC88" s="790"/>
      <c r="LXD88" s="790"/>
      <c r="LXE88" s="790"/>
      <c r="LXF88" s="790"/>
      <c r="LXG88" s="790"/>
      <c r="LXH88" s="790"/>
      <c r="LXI88" s="790"/>
      <c r="LXJ88" s="790"/>
      <c r="LXK88" s="790"/>
      <c r="LXL88" s="790"/>
      <c r="LXM88" s="790"/>
      <c r="LXN88" s="790"/>
      <c r="LXO88" s="790"/>
      <c r="LXP88" s="790"/>
      <c r="LXQ88" s="790"/>
      <c r="LXR88" s="790"/>
      <c r="LXS88" s="790"/>
      <c r="LXT88" s="790"/>
      <c r="LXU88" s="790"/>
      <c r="LXV88" s="790"/>
      <c r="LXW88" s="790"/>
      <c r="LXX88" s="790"/>
      <c r="LXY88" s="790"/>
      <c r="LXZ88" s="790"/>
      <c r="LYA88" s="790"/>
      <c r="LYB88" s="790"/>
      <c r="LYC88" s="790"/>
      <c r="LYD88" s="790"/>
      <c r="LYE88" s="790"/>
      <c r="LYF88" s="790"/>
      <c r="LYG88" s="790"/>
      <c r="LYH88" s="790"/>
      <c r="LYI88" s="790"/>
      <c r="LYJ88" s="790"/>
      <c r="LYK88" s="790"/>
      <c r="LYL88" s="790"/>
      <c r="LYM88" s="790"/>
      <c r="LYN88" s="790"/>
      <c r="LYO88" s="790"/>
      <c r="LYP88" s="790"/>
      <c r="LYQ88" s="790"/>
      <c r="LYR88" s="790"/>
      <c r="LYS88" s="790"/>
      <c r="LYT88" s="790"/>
      <c r="LYU88" s="790"/>
      <c r="LYV88" s="790"/>
      <c r="LYW88" s="790"/>
      <c r="LYX88" s="790"/>
      <c r="LYY88" s="790"/>
      <c r="LYZ88" s="790"/>
      <c r="LZA88" s="790"/>
      <c r="LZB88" s="790"/>
      <c r="LZC88" s="790"/>
      <c r="LZD88" s="790"/>
      <c r="LZE88" s="790"/>
      <c r="LZF88" s="790"/>
      <c r="LZG88" s="790"/>
      <c r="LZH88" s="790"/>
      <c r="LZI88" s="790"/>
      <c r="LZJ88" s="790"/>
      <c r="LZK88" s="790"/>
      <c r="LZL88" s="790"/>
      <c r="LZM88" s="790"/>
      <c r="LZN88" s="790"/>
      <c r="LZO88" s="790"/>
      <c r="LZP88" s="790"/>
      <c r="LZQ88" s="790"/>
      <c r="LZR88" s="790"/>
      <c r="LZS88" s="790"/>
      <c r="LZT88" s="790"/>
      <c r="LZU88" s="790"/>
      <c r="LZV88" s="790"/>
      <c r="LZW88" s="790"/>
      <c r="LZX88" s="790"/>
      <c r="LZY88" s="790"/>
      <c r="LZZ88" s="790"/>
      <c r="MAA88" s="790"/>
      <c r="MAB88" s="790"/>
      <c r="MAC88" s="790"/>
      <c r="MAD88" s="790"/>
      <c r="MAE88" s="790"/>
      <c r="MAF88" s="790"/>
      <c r="MAG88" s="790"/>
      <c r="MAH88" s="790"/>
      <c r="MAI88" s="790"/>
      <c r="MAJ88" s="790"/>
      <c r="MAK88" s="790"/>
      <c r="MAL88" s="790"/>
      <c r="MAM88" s="790"/>
      <c r="MAN88" s="790"/>
      <c r="MAO88" s="790"/>
      <c r="MAP88" s="790"/>
      <c r="MAQ88" s="790"/>
      <c r="MAR88" s="790"/>
      <c r="MAS88" s="790"/>
      <c r="MAT88" s="790"/>
      <c r="MAU88" s="790"/>
      <c r="MAV88" s="790"/>
      <c r="MAW88" s="790"/>
      <c r="MAX88" s="790"/>
      <c r="MAY88" s="790"/>
      <c r="MAZ88" s="790"/>
      <c r="MBA88" s="790"/>
      <c r="MBB88" s="790"/>
      <c r="MBC88" s="790"/>
      <c r="MBD88" s="790"/>
      <c r="MBE88" s="790"/>
      <c r="MBF88" s="790"/>
      <c r="MBG88" s="790"/>
      <c r="MBH88" s="790"/>
      <c r="MBI88" s="790"/>
      <c r="MBJ88" s="790"/>
      <c r="MBK88" s="790"/>
      <c r="MBL88" s="790"/>
      <c r="MBM88" s="790"/>
      <c r="MBN88" s="790"/>
      <c r="MBO88" s="790"/>
      <c r="MBP88" s="790"/>
      <c r="MBQ88" s="790"/>
      <c r="MBR88" s="790"/>
      <c r="MBS88" s="790"/>
      <c r="MBT88" s="790"/>
      <c r="MBU88" s="790"/>
      <c r="MBV88" s="790"/>
      <c r="MBW88" s="790"/>
      <c r="MBX88" s="790"/>
      <c r="MBY88" s="790"/>
      <c r="MBZ88" s="790"/>
      <c r="MCA88" s="790"/>
      <c r="MCB88" s="790"/>
      <c r="MCC88" s="790"/>
      <c r="MCD88" s="790"/>
      <c r="MCE88" s="790"/>
      <c r="MCF88" s="790"/>
      <c r="MCG88" s="790"/>
      <c r="MCH88" s="790"/>
      <c r="MCI88" s="790"/>
      <c r="MCJ88" s="790"/>
      <c r="MCK88" s="790"/>
      <c r="MCL88" s="790"/>
      <c r="MCM88" s="790"/>
      <c r="MCN88" s="790"/>
      <c r="MCO88" s="790"/>
      <c r="MCP88" s="790"/>
      <c r="MCQ88" s="790"/>
      <c r="MCR88" s="790"/>
      <c r="MCS88" s="790"/>
      <c r="MCT88" s="790"/>
      <c r="MCU88" s="790"/>
      <c r="MCV88" s="790"/>
      <c r="MCW88" s="790"/>
      <c r="MCX88" s="790"/>
      <c r="MCY88" s="790"/>
      <c r="MCZ88" s="790"/>
      <c r="MDA88" s="790"/>
      <c r="MDB88" s="790"/>
      <c r="MDC88" s="790"/>
      <c r="MDD88" s="790"/>
      <c r="MDE88" s="790"/>
      <c r="MDF88" s="790"/>
      <c r="MDG88" s="790"/>
      <c r="MDH88" s="790"/>
      <c r="MDI88" s="790"/>
      <c r="MDJ88" s="790"/>
      <c r="MDK88" s="790"/>
      <c r="MDL88" s="790"/>
      <c r="MDM88" s="790"/>
      <c r="MDN88" s="790"/>
      <c r="MDO88" s="790"/>
      <c r="MDP88" s="790"/>
      <c r="MDQ88" s="790"/>
      <c r="MDR88" s="790"/>
      <c r="MDS88" s="790"/>
      <c r="MDT88" s="790"/>
      <c r="MDU88" s="790"/>
      <c r="MDV88" s="790"/>
      <c r="MDW88" s="790"/>
      <c r="MDX88" s="790"/>
      <c r="MDY88" s="790"/>
      <c r="MDZ88" s="790"/>
      <c r="MEA88" s="790"/>
      <c r="MEB88" s="790"/>
      <c r="MEC88" s="790"/>
      <c r="MED88" s="790"/>
      <c r="MEE88" s="790"/>
      <c r="MEF88" s="790"/>
      <c r="MEG88" s="790"/>
      <c r="MEH88" s="790"/>
      <c r="MEI88" s="790"/>
      <c r="MEJ88" s="790"/>
      <c r="MEK88" s="790"/>
      <c r="MEL88" s="790"/>
      <c r="MEM88" s="790"/>
      <c r="MEN88" s="790"/>
      <c r="MEO88" s="790"/>
      <c r="MEP88" s="790"/>
      <c r="MEQ88" s="790"/>
      <c r="MER88" s="790"/>
      <c r="MES88" s="790"/>
      <c r="MET88" s="790"/>
      <c r="MEU88" s="790"/>
      <c r="MEV88" s="790"/>
      <c r="MEW88" s="790"/>
      <c r="MEX88" s="790"/>
      <c r="MEY88" s="790"/>
      <c r="MEZ88" s="790"/>
      <c r="MFA88" s="790"/>
      <c r="MFB88" s="790"/>
      <c r="MFC88" s="790"/>
      <c r="MFD88" s="790"/>
      <c r="MFE88" s="790"/>
      <c r="MFF88" s="790"/>
      <c r="MFG88" s="790"/>
      <c r="MFH88" s="790"/>
      <c r="MFI88" s="790"/>
      <c r="MFJ88" s="790"/>
      <c r="MFK88" s="790"/>
      <c r="MFL88" s="790"/>
      <c r="MFM88" s="790"/>
      <c r="MFN88" s="790"/>
      <c r="MFO88" s="790"/>
      <c r="MFP88" s="790"/>
      <c r="MFQ88" s="790"/>
      <c r="MFR88" s="790"/>
      <c r="MFS88" s="790"/>
      <c r="MFT88" s="790"/>
      <c r="MFU88" s="790"/>
      <c r="MFV88" s="790"/>
      <c r="MFW88" s="790"/>
      <c r="MFX88" s="790"/>
      <c r="MFY88" s="790"/>
      <c r="MFZ88" s="790"/>
      <c r="MGA88" s="790"/>
      <c r="MGB88" s="790"/>
      <c r="MGC88" s="790"/>
      <c r="MGD88" s="790"/>
      <c r="MGE88" s="790"/>
      <c r="MGF88" s="790"/>
      <c r="MGG88" s="790"/>
      <c r="MGH88" s="790"/>
      <c r="MGI88" s="790"/>
      <c r="MGJ88" s="790"/>
      <c r="MGK88" s="790"/>
      <c r="MGL88" s="790"/>
      <c r="MGM88" s="790"/>
      <c r="MGN88" s="790"/>
      <c r="MGO88" s="790"/>
      <c r="MGP88" s="790"/>
      <c r="MGQ88" s="790"/>
      <c r="MGR88" s="790"/>
      <c r="MGS88" s="790"/>
      <c r="MGT88" s="790"/>
      <c r="MGU88" s="790"/>
      <c r="MGV88" s="790"/>
      <c r="MGW88" s="790"/>
      <c r="MGX88" s="790"/>
      <c r="MGY88" s="790"/>
      <c r="MGZ88" s="790"/>
      <c r="MHA88" s="790"/>
      <c r="MHB88" s="790"/>
      <c r="MHC88" s="790"/>
      <c r="MHD88" s="790"/>
      <c r="MHE88" s="790"/>
      <c r="MHF88" s="790"/>
      <c r="MHG88" s="790"/>
      <c r="MHH88" s="790"/>
      <c r="MHI88" s="790"/>
      <c r="MHJ88" s="790"/>
      <c r="MHK88" s="790"/>
      <c r="MHL88" s="790"/>
      <c r="MHM88" s="790"/>
      <c r="MHN88" s="790"/>
      <c r="MHO88" s="790"/>
      <c r="MHP88" s="790"/>
      <c r="MHQ88" s="790"/>
      <c r="MHR88" s="790"/>
      <c r="MHS88" s="790"/>
      <c r="MHT88" s="790"/>
      <c r="MHU88" s="790"/>
      <c r="MHV88" s="790"/>
      <c r="MHW88" s="790"/>
      <c r="MHX88" s="790"/>
      <c r="MHY88" s="790"/>
      <c r="MHZ88" s="790"/>
      <c r="MIA88" s="790"/>
      <c r="MIB88" s="790"/>
      <c r="MIC88" s="790"/>
      <c r="MID88" s="790"/>
      <c r="MIE88" s="790"/>
      <c r="MIF88" s="790"/>
      <c r="MIG88" s="790"/>
      <c r="MIH88" s="790"/>
      <c r="MII88" s="790"/>
      <c r="MIJ88" s="790"/>
      <c r="MIK88" s="790"/>
      <c r="MIL88" s="790"/>
      <c r="MIM88" s="790"/>
      <c r="MIN88" s="790"/>
      <c r="MIO88" s="790"/>
      <c r="MIP88" s="790"/>
      <c r="MIQ88" s="790"/>
      <c r="MIR88" s="790"/>
      <c r="MIS88" s="790"/>
      <c r="MIT88" s="790"/>
      <c r="MIU88" s="790"/>
      <c r="MIV88" s="790"/>
      <c r="MIW88" s="790"/>
      <c r="MIX88" s="790"/>
      <c r="MIY88" s="790"/>
      <c r="MIZ88" s="790"/>
      <c r="MJA88" s="790"/>
      <c r="MJB88" s="790"/>
      <c r="MJC88" s="790"/>
      <c r="MJD88" s="790"/>
      <c r="MJE88" s="790"/>
      <c r="MJF88" s="790"/>
      <c r="MJG88" s="790"/>
      <c r="MJH88" s="790"/>
      <c r="MJI88" s="790"/>
      <c r="MJJ88" s="790"/>
      <c r="MJK88" s="790"/>
      <c r="MJL88" s="790"/>
      <c r="MJM88" s="790"/>
      <c r="MJN88" s="790"/>
      <c r="MJO88" s="790"/>
      <c r="MJP88" s="790"/>
      <c r="MJQ88" s="790"/>
      <c r="MJR88" s="790"/>
      <c r="MJS88" s="790"/>
      <c r="MJT88" s="790"/>
      <c r="MJU88" s="790"/>
      <c r="MJV88" s="790"/>
      <c r="MJW88" s="790"/>
      <c r="MJX88" s="790"/>
      <c r="MJY88" s="790"/>
      <c r="MJZ88" s="790"/>
      <c r="MKA88" s="790"/>
      <c r="MKB88" s="790"/>
      <c r="MKC88" s="790"/>
      <c r="MKD88" s="790"/>
      <c r="MKE88" s="790"/>
      <c r="MKF88" s="790"/>
      <c r="MKG88" s="790"/>
      <c r="MKH88" s="790"/>
      <c r="MKI88" s="790"/>
      <c r="MKJ88" s="790"/>
      <c r="MKK88" s="790"/>
      <c r="MKL88" s="790"/>
      <c r="MKM88" s="790"/>
      <c r="MKN88" s="790"/>
      <c r="MKO88" s="790"/>
      <c r="MKP88" s="790"/>
      <c r="MKQ88" s="790"/>
      <c r="MKR88" s="790"/>
      <c r="MKS88" s="790"/>
      <c r="MKT88" s="790"/>
      <c r="MKU88" s="790"/>
      <c r="MKV88" s="790"/>
      <c r="MKW88" s="790"/>
      <c r="MKX88" s="790"/>
      <c r="MKY88" s="790"/>
      <c r="MKZ88" s="790"/>
      <c r="MLA88" s="790"/>
      <c r="MLB88" s="790"/>
      <c r="MLC88" s="790"/>
      <c r="MLD88" s="790"/>
      <c r="MLE88" s="790"/>
      <c r="MLF88" s="790"/>
      <c r="MLG88" s="790"/>
      <c r="MLH88" s="790"/>
      <c r="MLI88" s="790"/>
      <c r="MLJ88" s="790"/>
      <c r="MLK88" s="790"/>
      <c r="MLL88" s="790"/>
      <c r="MLM88" s="790"/>
      <c r="MLN88" s="790"/>
      <c r="MLO88" s="790"/>
      <c r="MLP88" s="790"/>
      <c r="MLQ88" s="790"/>
      <c r="MLR88" s="790"/>
      <c r="MLS88" s="790"/>
      <c r="MLT88" s="790"/>
      <c r="MLU88" s="790"/>
      <c r="MLV88" s="790"/>
      <c r="MLW88" s="790"/>
      <c r="MLX88" s="790"/>
      <c r="MLY88" s="790"/>
      <c r="MLZ88" s="790"/>
      <c r="MMA88" s="790"/>
      <c r="MMB88" s="790"/>
      <c r="MMC88" s="790"/>
      <c r="MMD88" s="790"/>
      <c r="MME88" s="790"/>
      <c r="MMF88" s="790"/>
      <c r="MMG88" s="790"/>
      <c r="MMH88" s="790"/>
      <c r="MMI88" s="790"/>
      <c r="MMJ88" s="790"/>
      <c r="MMK88" s="790"/>
      <c r="MML88" s="790"/>
      <c r="MMM88" s="790"/>
      <c r="MMN88" s="790"/>
      <c r="MMO88" s="790"/>
      <c r="MMP88" s="790"/>
      <c r="MMQ88" s="790"/>
      <c r="MMR88" s="790"/>
      <c r="MMS88" s="790"/>
      <c r="MMT88" s="790"/>
      <c r="MMU88" s="790"/>
      <c r="MMV88" s="790"/>
      <c r="MMW88" s="790"/>
      <c r="MMX88" s="790"/>
      <c r="MMY88" s="790"/>
      <c r="MMZ88" s="790"/>
      <c r="MNA88" s="790"/>
      <c r="MNB88" s="790"/>
      <c r="MNC88" s="790"/>
      <c r="MND88" s="790"/>
      <c r="MNE88" s="790"/>
      <c r="MNF88" s="790"/>
      <c r="MNG88" s="790"/>
      <c r="MNH88" s="790"/>
      <c r="MNI88" s="790"/>
      <c r="MNJ88" s="790"/>
      <c r="MNK88" s="790"/>
      <c r="MNL88" s="790"/>
      <c r="MNM88" s="790"/>
      <c r="MNN88" s="790"/>
      <c r="MNO88" s="790"/>
      <c r="MNP88" s="790"/>
      <c r="MNQ88" s="790"/>
      <c r="MNR88" s="790"/>
      <c r="MNS88" s="790"/>
      <c r="MNT88" s="790"/>
      <c r="MNU88" s="790"/>
      <c r="MNV88" s="790"/>
      <c r="MNW88" s="790"/>
      <c r="MNX88" s="790"/>
      <c r="MNY88" s="790"/>
      <c r="MNZ88" s="790"/>
      <c r="MOA88" s="790"/>
      <c r="MOB88" s="790"/>
      <c r="MOC88" s="790"/>
      <c r="MOD88" s="790"/>
      <c r="MOE88" s="790"/>
      <c r="MOF88" s="790"/>
      <c r="MOG88" s="790"/>
      <c r="MOH88" s="790"/>
      <c r="MOI88" s="790"/>
      <c r="MOJ88" s="790"/>
      <c r="MOK88" s="790"/>
      <c r="MOL88" s="790"/>
      <c r="MOM88" s="790"/>
      <c r="MON88" s="790"/>
      <c r="MOO88" s="790"/>
      <c r="MOP88" s="790"/>
      <c r="MOQ88" s="790"/>
      <c r="MOR88" s="790"/>
      <c r="MOS88" s="790"/>
      <c r="MOT88" s="790"/>
      <c r="MOU88" s="790"/>
      <c r="MOV88" s="790"/>
      <c r="MOW88" s="790"/>
      <c r="MOX88" s="790"/>
      <c r="MOY88" s="790"/>
      <c r="MOZ88" s="790"/>
      <c r="MPA88" s="790"/>
      <c r="MPB88" s="790"/>
      <c r="MPC88" s="790"/>
      <c r="MPD88" s="790"/>
      <c r="MPE88" s="790"/>
      <c r="MPF88" s="790"/>
      <c r="MPG88" s="790"/>
      <c r="MPH88" s="790"/>
      <c r="MPI88" s="790"/>
      <c r="MPJ88" s="790"/>
      <c r="MPK88" s="790"/>
      <c r="MPL88" s="790"/>
      <c r="MPM88" s="790"/>
      <c r="MPN88" s="790"/>
      <c r="MPO88" s="790"/>
      <c r="MPP88" s="790"/>
      <c r="MPQ88" s="790"/>
      <c r="MPR88" s="790"/>
      <c r="MPS88" s="790"/>
      <c r="MPT88" s="790"/>
      <c r="MPU88" s="790"/>
      <c r="MPV88" s="790"/>
      <c r="MPW88" s="790"/>
      <c r="MPX88" s="790"/>
      <c r="MPY88" s="790"/>
      <c r="MPZ88" s="790"/>
      <c r="MQA88" s="790"/>
      <c r="MQB88" s="790"/>
      <c r="MQC88" s="790"/>
      <c r="MQD88" s="790"/>
      <c r="MQE88" s="790"/>
      <c r="MQF88" s="790"/>
      <c r="MQG88" s="790"/>
      <c r="MQH88" s="790"/>
      <c r="MQI88" s="790"/>
      <c r="MQJ88" s="790"/>
      <c r="MQK88" s="790"/>
      <c r="MQL88" s="790"/>
      <c r="MQM88" s="790"/>
      <c r="MQN88" s="790"/>
      <c r="MQO88" s="790"/>
      <c r="MQP88" s="790"/>
      <c r="MQQ88" s="790"/>
      <c r="MQR88" s="790"/>
      <c r="MQS88" s="790"/>
      <c r="MQT88" s="790"/>
      <c r="MQU88" s="790"/>
      <c r="MQV88" s="790"/>
      <c r="MQW88" s="790"/>
      <c r="MQX88" s="790"/>
      <c r="MQY88" s="790"/>
      <c r="MQZ88" s="790"/>
      <c r="MRA88" s="790"/>
      <c r="MRB88" s="790"/>
      <c r="MRC88" s="790"/>
      <c r="MRD88" s="790"/>
      <c r="MRE88" s="790"/>
      <c r="MRF88" s="790"/>
      <c r="MRG88" s="790"/>
      <c r="MRH88" s="790"/>
      <c r="MRI88" s="790"/>
      <c r="MRJ88" s="790"/>
      <c r="MRK88" s="790"/>
      <c r="MRL88" s="790"/>
      <c r="MRM88" s="790"/>
      <c r="MRN88" s="790"/>
      <c r="MRO88" s="790"/>
      <c r="MRP88" s="790"/>
      <c r="MRQ88" s="790"/>
      <c r="MRR88" s="790"/>
      <c r="MRS88" s="790"/>
      <c r="MRT88" s="790"/>
      <c r="MRU88" s="790"/>
      <c r="MRV88" s="790"/>
      <c r="MRW88" s="790"/>
      <c r="MRX88" s="790"/>
      <c r="MRY88" s="790"/>
      <c r="MRZ88" s="790"/>
      <c r="MSA88" s="790"/>
      <c r="MSB88" s="790"/>
      <c r="MSC88" s="790"/>
      <c r="MSD88" s="790"/>
      <c r="MSE88" s="790"/>
      <c r="MSF88" s="790"/>
      <c r="MSG88" s="790"/>
      <c r="MSH88" s="790"/>
      <c r="MSI88" s="790"/>
      <c r="MSJ88" s="790"/>
      <c r="MSK88" s="790"/>
      <c r="MSL88" s="790"/>
      <c r="MSM88" s="790"/>
      <c r="MSN88" s="790"/>
      <c r="MSO88" s="790"/>
      <c r="MSP88" s="790"/>
      <c r="MSQ88" s="790"/>
      <c r="MSR88" s="790"/>
      <c r="MSS88" s="790"/>
      <c r="MST88" s="790"/>
      <c r="MSU88" s="790"/>
      <c r="MSV88" s="790"/>
      <c r="MSW88" s="790"/>
      <c r="MSX88" s="790"/>
      <c r="MSY88" s="790"/>
      <c r="MSZ88" s="790"/>
      <c r="MTA88" s="790"/>
      <c r="MTB88" s="790"/>
      <c r="MTC88" s="790"/>
      <c r="MTD88" s="790"/>
      <c r="MTE88" s="790"/>
      <c r="MTF88" s="790"/>
      <c r="MTG88" s="790"/>
      <c r="MTH88" s="790"/>
      <c r="MTI88" s="790"/>
      <c r="MTJ88" s="790"/>
      <c r="MTK88" s="790"/>
      <c r="MTL88" s="790"/>
      <c r="MTM88" s="790"/>
      <c r="MTN88" s="790"/>
      <c r="MTO88" s="790"/>
      <c r="MTP88" s="790"/>
      <c r="MTQ88" s="790"/>
      <c r="MTR88" s="790"/>
      <c r="MTS88" s="790"/>
      <c r="MTT88" s="790"/>
      <c r="MTU88" s="790"/>
      <c r="MTV88" s="790"/>
      <c r="MTW88" s="790"/>
      <c r="MTX88" s="790"/>
      <c r="MTY88" s="790"/>
      <c r="MTZ88" s="790"/>
      <c r="MUA88" s="790"/>
      <c r="MUB88" s="790"/>
      <c r="MUC88" s="790"/>
      <c r="MUD88" s="790"/>
      <c r="MUE88" s="790"/>
      <c r="MUF88" s="790"/>
      <c r="MUG88" s="790"/>
      <c r="MUH88" s="790"/>
      <c r="MUI88" s="790"/>
      <c r="MUJ88" s="790"/>
      <c r="MUK88" s="790"/>
      <c r="MUL88" s="790"/>
      <c r="MUM88" s="790"/>
      <c r="MUN88" s="790"/>
      <c r="MUO88" s="790"/>
      <c r="MUP88" s="790"/>
      <c r="MUQ88" s="790"/>
      <c r="MUR88" s="790"/>
      <c r="MUS88" s="790"/>
      <c r="MUT88" s="790"/>
      <c r="MUU88" s="790"/>
      <c r="MUV88" s="790"/>
      <c r="MUW88" s="790"/>
      <c r="MUX88" s="790"/>
      <c r="MUY88" s="790"/>
      <c r="MUZ88" s="790"/>
      <c r="MVA88" s="790"/>
      <c r="MVB88" s="790"/>
      <c r="MVC88" s="790"/>
      <c r="MVD88" s="790"/>
      <c r="MVE88" s="790"/>
      <c r="MVF88" s="790"/>
      <c r="MVG88" s="790"/>
      <c r="MVH88" s="790"/>
      <c r="MVI88" s="790"/>
      <c r="MVJ88" s="790"/>
      <c r="MVK88" s="790"/>
      <c r="MVL88" s="790"/>
      <c r="MVM88" s="790"/>
      <c r="MVN88" s="790"/>
      <c r="MVO88" s="790"/>
      <c r="MVP88" s="790"/>
      <c r="MVQ88" s="790"/>
      <c r="MVR88" s="790"/>
      <c r="MVS88" s="790"/>
      <c r="MVT88" s="790"/>
      <c r="MVU88" s="790"/>
      <c r="MVV88" s="790"/>
      <c r="MVW88" s="790"/>
      <c r="MVX88" s="790"/>
      <c r="MVY88" s="790"/>
      <c r="MVZ88" s="790"/>
      <c r="MWA88" s="790"/>
      <c r="MWB88" s="790"/>
      <c r="MWC88" s="790"/>
      <c r="MWD88" s="790"/>
      <c r="MWE88" s="790"/>
      <c r="MWF88" s="790"/>
      <c r="MWG88" s="790"/>
      <c r="MWH88" s="790"/>
      <c r="MWI88" s="790"/>
      <c r="MWJ88" s="790"/>
      <c r="MWK88" s="790"/>
      <c r="MWL88" s="790"/>
      <c r="MWM88" s="790"/>
      <c r="MWN88" s="790"/>
      <c r="MWO88" s="790"/>
      <c r="MWP88" s="790"/>
      <c r="MWQ88" s="790"/>
      <c r="MWR88" s="790"/>
      <c r="MWS88" s="790"/>
      <c r="MWT88" s="790"/>
      <c r="MWU88" s="790"/>
      <c r="MWV88" s="790"/>
      <c r="MWW88" s="790"/>
      <c r="MWX88" s="790"/>
      <c r="MWY88" s="790"/>
      <c r="MWZ88" s="790"/>
      <c r="MXA88" s="790"/>
      <c r="MXB88" s="790"/>
      <c r="MXC88" s="790"/>
      <c r="MXD88" s="790"/>
      <c r="MXE88" s="790"/>
      <c r="MXF88" s="790"/>
      <c r="MXG88" s="790"/>
      <c r="MXH88" s="790"/>
      <c r="MXI88" s="790"/>
      <c r="MXJ88" s="790"/>
      <c r="MXK88" s="790"/>
      <c r="MXL88" s="790"/>
      <c r="MXM88" s="790"/>
      <c r="MXN88" s="790"/>
      <c r="MXO88" s="790"/>
      <c r="MXP88" s="790"/>
      <c r="MXQ88" s="790"/>
      <c r="MXR88" s="790"/>
      <c r="MXS88" s="790"/>
      <c r="MXT88" s="790"/>
      <c r="MXU88" s="790"/>
      <c r="MXV88" s="790"/>
      <c r="MXW88" s="790"/>
      <c r="MXX88" s="790"/>
      <c r="MXY88" s="790"/>
      <c r="MXZ88" s="790"/>
      <c r="MYA88" s="790"/>
      <c r="MYB88" s="790"/>
      <c r="MYC88" s="790"/>
      <c r="MYD88" s="790"/>
      <c r="MYE88" s="790"/>
      <c r="MYF88" s="790"/>
      <c r="MYG88" s="790"/>
      <c r="MYH88" s="790"/>
      <c r="MYI88" s="790"/>
      <c r="MYJ88" s="790"/>
      <c r="MYK88" s="790"/>
      <c r="MYL88" s="790"/>
      <c r="MYM88" s="790"/>
      <c r="MYN88" s="790"/>
      <c r="MYO88" s="790"/>
      <c r="MYP88" s="790"/>
      <c r="MYQ88" s="790"/>
      <c r="MYR88" s="790"/>
      <c r="MYS88" s="790"/>
      <c r="MYT88" s="790"/>
      <c r="MYU88" s="790"/>
      <c r="MYV88" s="790"/>
      <c r="MYW88" s="790"/>
      <c r="MYX88" s="790"/>
      <c r="MYY88" s="790"/>
      <c r="MYZ88" s="790"/>
      <c r="MZA88" s="790"/>
      <c r="MZB88" s="790"/>
      <c r="MZC88" s="790"/>
      <c r="MZD88" s="790"/>
      <c r="MZE88" s="790"/>
      <c r="MZF88" s="790"/>
      <c r="MZG88" s="790"/>
      <c r="MZH88" s="790"/>
      <c r="MZI88" s="790"/>
      <c r="MZJ88" s="790"/>
      <c r="MZK88" s="790"/>
      <c r="MZL88" s="790"/>
      <c r="MZM88" s="790"/>
      <c r="MZN88" s="790"/>
      <c r="MZO88" s="790"/>
      <c r="MZP88" s="790"/>
      <c r="MZQ88" s="790"/>
      <c r="MZR88" s="790"/>
      <c r="MZS88" s="790"/>
      <c r="MZT88" s="790"/>
      <c r="MZU88" s="790"/>
      <c r="MZV88" s="790"/>
      <c r="MZW88" s="790"/>
      <c r="MZX88" s="790"/>
      <c r="MZY88" s="790"/>
      <c r="MZZ88" s="790"/>
      <c r="NAA88" s="790"/>
      <c r="NAB88" s="790"/>
      <c r="NAC88" s="790"/>
      <c r="NAD88" s="790"/>
      <c r="NAE88" s="790"/>
      <c r="NAF88" s="790"/>
      <c r="NAG88" s="790"/>
      <c r="NAH88" s="790"/>
      <c r="NAI88" s="790"/>
      <c r="NAJ88" s="790"/>
      <c r="NAK88" s="790"/>
      <c r="NAL88" s="790"/>
      <c r="NAM88" s="790"/>
      <c r="NAN88" s="790"/>
      <c r="NAO88" s="790"/>
      <c r="NAP88" s="790"/>
      <c r="NAQ88" s="790"/>
      <c r="NAR88" s="790"/>
      <c r="NAS88" s="790"/>
      <c r="NAT88" s="790"/>
      <c r="NAU88" s="790"/>
      <c r="NAV88" s="790"/>
      <c r="NAW88" s="790"/>
      <c r="NAX88" s="790"/>
      <c r="NAY88" s="790"/>
      <c r="NAZ88" s="790"/>
      <c r="NBA88" s="790"/>
      <c r="NBB88" s="790"/>
      <c r="NBC88" s="790"/>
      <c r="NBD88" s="790"/>
      <c r="NBE88" s="790"/>
      <c r="NBF88" s="790"/>
      <c r="NBG88" s="790"/>
      <c r="NBH88" s="790"/>
      <c r="NBI88" s="790"/>
      <c r="NBJ88" s="790"/>
      <c r="NBK88" s="790"/>
      <c r="NBL88" s="790"/>
      <c r="NBM88" s="790"/>
      <c r="NBN88" s="790"/>
      <c r="NBO88" s="790"/>
      <c r="NBP88" s="790"/>
      <c r="NBQ88" s="790"/>
      <c r="NBR88" s="790"/>
      <c r="NBS88" s="790"/>
      <c r="NBT88" s="790"/>
      <c r="NBU88" s="790"/>
      <c r="NBV88" s="790"/>
      <c r="NBW88" s="790"/>
      <c r="NBX88" s="790"/>
      <c r="NBY88" s="790"/>
      <c r="NBZ88" s="790"/>
      <c r="NCA88" s="790"/>
      <c r="NCB88" s="790"/>
      <c r="NCC88" s="790"/>
      <c r="NCD88" s="790"/>
      <c r="NCE88" s="790"/>
      <c r="NCF88" s="790"/>
      <c r="NCG88" s="790"/>
      <c r="NCH88" s="790"/>
      <c r="NCI88" s="790"/>
      <c r="NCJ88" s="790"/>
      <c r="NCK88" s="790"/>
      <c r="NCL88" s="790"/>
      <c r="NCM88" s="790"/>
      <c r="NCN88" s="790"/>
      <c r="NCO88" s="790"/>
      <c r="NCP88" s="790"/>
      <c r="NCQ88" s="790"/>
      <c r="NCR88" s="790"/>
      <c r="NCS88" s="790"/>
      <c r="NCT88" s="790"/>
      <c r="NCU88" s="790"/>
      <c r="NCV88" s="790"/>
      <c r="NCW88" s="790"/>
      <c r="NCX88" s="790"/>
      <c r="NCY88" s="790"/>
      <c r="NCZ88" s="790"/>
      <c r="NDA88" s="790"/>
      <c r="NDB88" s="790"/>
      <c r="NDC88" s="790"/>
      <c r="NDD88" s="790"/>
      <c r="NDE88" s="790"/>
      <c r="NDF88" s="790"/>
      <c r="NDG88" s="790"/>
      <c r="NDH88" s="790"/>
      <c r="NDI88" s="790"/>
      <c r="NDJ88" s="790"/>
      <c r="NDK88" s="790"/>
      <c r="NDL88" s="790"/>
      <c r="NDM88" s="790"/>
      <c r="NDN88" s="790"/>
      <c r="NDO88" s="790"/>
      <c r="NDP88" s="790"/>
      <c r="NDQ88" s="790"/>
      <c r="NDR88" s="790"/>
      <c r="NDS88" s="790"/>
      <c r="NDT88" s="790"/>
      <c r="NDU88" s="790"/>
      <c r="NDV88" s="790"/>
      <c r="NDW88" s="790"/>
      <c r="NDX88" s="790"/>
      <c r="NDY88" s="790"/>
      <c r="NDZ88" s="790"/>
      <c r="NEA88" s="790"/>
      <c r="NEB88" s="790"/>
      <c r="NEC88" s="790"/>
      <c r="NED88" s="790"/>
      <c r="NEE88" s="790"/>
      <c r="NEF88" s="790"/>
      <c r="NEG88" s="790"/>
      <c r="NEH88" s="790"/>
      <c r="NEI88" s="790"/>
      <c r="NEJ88" s="790"/>
      <c r="NEK88" s="790"/>
      <c r="NEL88" s="790"/>
      <c r="NEM88" s="790"/>
      <c r="NEN88" s="790"/>
      <c r="NEO88" s="790"/>
      <c r="NEP88" s="790"/>
      <c r="NEQ88" s="790"/>
      <c r="NER88" s="790"/>
      <c r="NES88" s="790"/>
      <c r="NET88" s="790"/>
      <c r="NEU88" s="790"/>
      <c r="NEV88" s="790"/>
      <c r="NEW88" s="790"/>
      <c r="NEX88" s="790"/>
      <c r="NEY88" s="790"/>
      <c r="NEZ88" s="790"/>
      <c r="NFA88" s="790"/>
      <c r="NFB88" s="790"/>
      <c r="NFC88" s="790"/>
      <c r="NFD88" s="790"/>
      <c r="NFE88" s="790"/>
      <c r="NFF88" s="790"/>
      <c r="NFG88" s="790"/>
      <c r="NFH88" s="790"/>
      <c r="NFI88" s="790"/>
      <c r="NFJ88" s="790"/>
      <c r="NFK88" s="790"/>
      <c r="NFL88" s="790"/>
      <c r="NFM88" s="790"/>
      <c r="NFN88" s="790"/>
      <c r="NFO88" s="790"/>
      <c r="NFP88" s="790"/>
      <c r="NFQ88" s="790"/>
      <c r="NFR88" s="790"/>
      <c r="NFS88" s="790"/>
      <c r="NFT88" s="790"/>
      <c r="NFU88" s="790"/>
      <c r="NFV88" s="790"/>
      <c r="NFW88" s="790"/>
      <c r="NFX88" s="790"/>
      <c r="NFY88" s="790"/>
      <c r="NFZ88" s="790"/>
      <c r="NGA88" s="790"/>
      <c r="NGB88" s="790"/>
      <c r="NGC88" s="790"/>
      <c r="NGD88" s="790"/>
      <c r="NGE88" s="790"/>
      <c r="NGF88" s="790"/>
      <c r="NGG88" s="790"/>
      <c r="NGH88" s="790"/>
      <c r="NGI88" s="790"/>
      <c r="NGJ88" s="790"/>
      <c r="NGK88" s="790"/>
      <c r="NGL88" s="790"/>
      <c r="NGM88" s="790"/>
      <c r="NGN88" s="790"/>
      <c r="NGO88" s="790"/>
      <c r="NGP88" s="790"/>
      <c r="NGQ88" s="790"/>
      <c r="NGR88" s="790"/>
      <c r="NGS88" s="790"/>
      <c r="NGT88" s="790"/>
      <c r="NGU88" s="790"/>
      <c r="NGV88" s="790"/>
      <c r="NGW88" s="790"/>
      <c r="NGX88" s="790"/>
      <c r="NGY88" s="790"/>
      <c r="NGZ88" s="790"/>
      <c r="NHA88" s="790"/>
      <c r="NHB88" s="790"/>
      <c r="NHC88" s="790"/>
      <c r="NHD88" s="790"/>
      <c r="NHE88" s="790"/>
      <c r="NHF88" s="790"/>
      <c r="NHG88" s="790"/>
      <c r="NHH88" s="790"/>
      <c r="NHI88" s="790"/>
      <c r="NHJ88" s="790"/>
      <c r="NHK88" s="790"/>
      <c r="NHL88" s="790"/>
      <c r="NHM88" s="790"/>
      <c r="NHN88" s="790"/>
      <c r="NHO88" s="790"/>
      <c r="NHP88" s="790"/>
      <c r="NHQ88" s="790"/>
      <c r="NHR88" s="790"/>
      <c r="NHS88" s="790"/>
      <c r="NHT88" s="790"/>
      <c r="NHU88" s="790"/>
      <c r="NHV88" s="790"/>
      <c r="NHW88" s="790"/>
      <c r="NHX88" s="790"/>
      <c r="NHY88" s="790"/>
      <c r="NHZ88" s="790"/>
      <c r="NIA88" s="790"/>
      <c r="NIB88" s="790"/>
      <c r="NIC88" s="790"/>
      <c r="NID88" s="790"/>
      <c r="NIE88" s="790"/>
      <c r="NIF88" s="790"/>
      <c r="NIG88" s="790"/>
      <c r="NIH88" s="790"/>
      <c r="NII88" s="790"/>
      <c r="NIJ88" s="790"/>
      <c r="NIK88" s="790"/>
      <c r="NIL88" s="790"/>
      <c r="NIM88" s="790"/>
      <c r="NIN88" s="790"/>
      <c r="NIO88" s="790"/>
      <c r="NIP88" s="790"/>
      <c r="NIQ88" s="790"/>
      <c r="NIR88" s="790"/>
      <c r="NIS88" s="790"/>
      <c r="NIT88" s="790"/>
      <c r="NIU88" s="790"/>
      <c r="NIV88" s="790"/>
      <c r="NIW88" s="790"/>
      <c r="NIX88" s="790"/>
      <c r="NIY88" s="790"/>
      <c r="NIZ88" s="790"/>
      <c r="NJA88" s="790"/>
      <c r="NJB88" s="790"/>
      <c r="NJC88" s="790"/>
      <c r="NJD88" s="790"/>
      <c r="NJE88" s="790"/>
      <c r="NJF88" s="790"/>
      <c r="NJG88" s="790"/>
      <c r="NJH88" s="790"/>
      <c r="NJI88" s="790"/>
      <c r="NJJ88" s="790"/>
      <c r="NJK88" s="790"/>
      <c r="NJL88" s="790"/>
      <c r="NJM88" s="790"/>
      <c r="NJN88" s="790"/>
      <c r="NJO88" s="790"/>
      <c r="NJP88" s="790"/>
      <c r="NJQ88" s="790"/>
      <c r="NJR88" s="790"/>
      <c r="NJS88" s="790"/>
      <c r="NJT88" s="790"/>
      <c r="NJU88" s="790"/>
      <c r="NJV88" s="790"/>
      <c r="NJW88" s="790"/>
      <c r="NJX88" s="790"/>
      <c r="NJY88" s="790"/>
      <c r="NJZ88" s="790"/>
      <c r="NKA88" s="790"/>
      <c r="NKB88" s="790"/>
      <c r="NKC88" s="790"/>
      <c r="NKD88" s="790"/>
      <c r="NKE88" s="790"/>
      <c r="NKF88" s="790"/>
      <c r="NKG88" s="790"/>
      <c r="NKH88" s="790"/>
      <c r="NKI88" s="790"/>
      <c r="NKJ88" s="790"/>
      <c r="NKK88" s="790"/>
      <c r="NKL88" s="790"/>
      <c r="NKM88" s="790"/>
      <c r="NKN88" s="790"/>
      <c r="NKO88" s="790"/>
      <c r="NKP88" s="790"/>
      <c r="NKQ88" s="790"/>
      <c r="NKR88" s="790"/>
      <c r="NKS88" s="790"/>
      <c r="NKT88" s="790"/>
      <c r="NKU88" s="790"/>
      <c r="NKV88" s="790"/>
      <c r="NKW88" s="790"/>
      <c r="NKX88" s="790"/>
      <c r="NKY88" s="790"/>
      <c r="NKZ88" s="790"/>
      <c r="NLA88" s="790"/>
      <c r="NLB88" s="790"/>
      <c r="NLC88" s="790"/>
      <c r="NLD88" s="790"/>
      <c r="NLE88" s="790"/>
      <c r="NLF88" s="790"/>
      <c r="NLG88" s="790"/>
      <c r="NLH88" s="790"/>
      <c r="NLI88" s="790"/>
      <c r="NLJ88" s="790"/>
      <c r="NLK88" s="790"/>
      <c r="NLL88" s="790"/>
      <c r="NLM88" s="790"/>
      <c r="NLN88" s="790"/>
      <c r="NLO88" s="790"/>
      <c r="NLP88" s="790"/>
      <c r="NLQ88" s="790"/>
      <c r="NLR88" s="790"/>
      <c r="NLS88" s="790"/>
      <c r="NLT88" s="790"/>
      <c r="NLU88" s="790"/>
      <c r="NLV88" s="790"/>
      <c r="NLW88" s="790"/>
      <c r="NLX88" s="790"/>
      <c r="NLY88" s="790"/>
      <c r="NLZ88" s="790"/>
      <c r="NMA88" s="790"/>
      <c r="NMB88" s="790"/>
      <c r="NMC88" s="790"/>
      <c r="NMD88" s="790"/>
      <c r="NME88" s="790"/>
      <c r="NMF88" s="790"/>
      <c r="NMG88" s="790"/>
      <c r="NMH88" s="790"/>
      <c r="NMI88" s="790"/>
      <c r="NMJ88" s="790"/>
      <c r="NMK88" s="790"/>
      <c r="NML88" s="790"/>
      <c r="NMM88" s="790"/>
      <c r="NMN88" s="790"/>
      <c r="NMO88" s="790"/>
      <c r="NMP88" s="790"/>
      <c r="NMQ88" s="790"/>
      <c r="NMR88" s="790"/>
      <c r="NMS88" s="790"/>
      <c r="NMT88" s="790"/>
      <c r="NMU88" s="790"/>
      <c r="NMV88" s="790"/>
      <c r="NMW88" s="790"/>
      <c r="NMX88" s="790"/>
      <c r="NMY88" s="790"/>
      <c r="NMZ88" s="790"/>
      <c r="NNA88" s="790"/>
      <c r="NNB88" s="790"/>
      <c r="NNC88" s="790"/>
      <c r="NND88" s="790"/>
      <c r="NNE88" s="790"/>
      <c r="NNF88" s="790"/>
      <c r="NNG88" s="790"/>
      <c r="NNH88" s="790"/>
      <c r="NNI88" s="790"/>
      <c r="NNJ88" s="790"/>
      <c r="NNK88" s="790"/>
      <c r="NNL88" s="790"/>
      <c r="NNM88" s="790"/>
      <c r="NNN88" s="790"/>
      <c r="NNO88" s="790"/>
      <c r="NNP88" s="790"/>
      <c r="NNQ88" s="790"/>
      <c r="NNR88" s="790"/>
      <c r="NNS88" s="790"/>
      <c r="NNT88" s="790"/>
      <c r="NNU88" s="790"/>
      <c r="NNV88" s="790"/>
      <c r="NNW88" s="790"/>
      <c r="NNX88" s="790"/>
      <c r="NNY88" s="790"/>
      <c r="NNZ88" s="790"/>
      <c r="NOA88" s="790"/>
      <c r="NOB88" s="790"/>
      <c r="NOC88" s="790"/>
      <c r="NOD88" s="790"/>
      <c r="NOE88" s="790"/>
      <c r="NOF88" s="790"/>
      <c r="NOG88" s="790"/>
      <c r="NOH88" s="790"/>
      <c r="NOI88" s="790"/>
      <c r="NOJ88" s="790"/>
      <c r="NOK88" s="790"/>
      <c r="NOL88" s="790"/>
      <c r="NOM88" s="790"/>
      <c r="NON88" s="790"/>
      <c r="NOO88" s="790"/>
      <c r="NOP88" s="790"/>
      <c r="NOQ88" s="790"/>
      <c r="NOR88" s="790"/>
      <c r="NOS88" s="790"/>
      <c r="NOT88" s="790"/>
      <c r="NOU88" s="790"/>
      <c r="NOV88" s="790"/>
      <c r="NOW88" s="790"/>
      <c r="NOX88" s="790"/>
      <c r="NOY88" s="790"/>
      <c r="NOZ88" s="790"/>
      <c r="NPA88" s="790"/>
      <c r="NPB88" s="790"/>
      <c r="NPC88" s="790"/>
      <c r="NPD88" s="790"/>
      <c r="NPE88" s="790"/>
      <c r="NPF88" s="790"/>
      <c r="NPG88" s="790"/>
      <c r="NPH88" s="790"/>
      <c r="NPI88" s="790"/>
      <c r="NPJ88" s="790"/>
      <c r="NPK88" s="790"/>
      <c r="NPL88" s="790"/>
      <c r="NPM88" s="790"/>
      <c r="NPN88" s="790"/>
      <c r="NPO88" s="790"/>
      <c r="NPP88" s="790"/>
      <c r="NPQ88" s="790"/>
      <c r="NPR88" s="790"/>
      <c r="NPS88" s="790"/>
      <c r="NPT88" s="790"/>
      <c r="NPU88" s="790"/>
      <c r="NPV88" s="790"/>
      <c r="NPW88" s="790"/>
      <c r="NPX88" s="790"/>
      <c r="NPY88" s="790"/>
      <c r="NPZ88" s="790"/>
      <c r="NQA88" s="790"/>
      <c r="NQB88" s="790"/>
      <c r="NQC88" s="790"/>
      <c r="NQD88" s="790"/>
      <c r="NQE88" s="790"/>
      <c r="NQF88" s="790"/>
      <c r="NQG88" s="790"/>
      <c r="NQH88" s="790"/>
      <c r="NQI88" s="790"/>
      <c r="NQJ88" s="790"/>
      <c r="NQK88" s="790"/>
      <c r="NQL88" s="790"/>
      <c r="NQM88" s="790"/>
      <c r="NQN88" s="790"/>
      <c r="NQO88" s="790"/>
      <c r="NQP88" s="790"/>
      <c r="NQQ88" s="790"/>
      <c r="NQR88" s="790"/>
      <c r="NQS88" s="790"/>
      <c r="NQT88" s="790"/>
      <c r="NQU88" s="790"/>
      <c r="NQV88" s="790"/>
      <c r="NQW88" s="790"/>
      <c r="NQX88" s="790"/>
      <c r="NQY88" s="790"/>
      <c r="NQZ88" s="790"/>
      <c r="NRA88" s="790"/>
      <c r="NRB88" s="790"/>
      <c r="NRC88" s="790"/>
      <c r="NRD88" s="790"/>
      <c r="NRE88" s="790"/>
      <c r="NRF88" s="790"/>
      <c r="NRG88" s="790"/>
      <c r="NRH88" s="790"/>
      <c r="NRI88" s="790"/>
      <c r="NRJ88" s="790"/>
      <c r="NRK88" s="790"/>
      <c r="NRL88" s="790"/>
      <c r="NRM88" s="790"/>
      <c r="NRN88" s="790"/>
      <c r="NRO88" s="790"/>
      <c r="NRP88" s="790"/>
      <c r="NRQ88" s="790"/>
      <c r="NRR88" s="790"/>
      <c r="NRS88" s="790"/>
      <c r="NRT88" s="790"/>
      <c r="NRU88" s="790"/>
      <c r="NRV88" s="790"/>
      <c r="NRW88" s="790"/>
      <c r="NRX88" s="790"/>
      <c r="NRY88" s="790"/>
      <c r="NRZ88" s="790"/>
      <c r="NSA88" s="790"/>
      <c r="NSB88" s="790"/>
      <c r="NSC88" s="790"/>
      <c r="NSD88" s="790"/>
      <c r="NSE88" s="790"/>
      <c r="NSF88" s="790"/>
      <c r="NSG88" s="790"/>
      <c r="NSH88" s="790"/>
      <c r="NSI88" s="790"/>
      <c r="NSJ88" s="790"/>
      <c r="NSK88" s="790"/>
      <c r="NSL88" s="790"/>
      <c r="NSM88" s="790"/>
      <c r="NSN88" s="790"/>
      <c r="NSO88" s="790"/>
      <c r="NSP88" s="790"/>
      <c r="NSQ88" s="790"/>
      <c r="NSR88" s="790"/>
      <c r="NSS88" s="790"/>
      <c r="NST88" s="790"/>
      <c r="NSU88" s="790"/>
      <c r="NSV88" s="790"/>
      <c r="NSW88" s="790"/>
      <c r="NSX88" s="790"/>
      <c r="NSY88" s="790"/>
      <c r="NSZ88" s="790"/>
      <c r="NTA88" s="790"/>
      <c r="NTB88" s="790"/>
      <c r="NTC88" s="790"/>
      <c r="NTD88" s="790"/>
      <c r="NTE88" s="790"/>
      <c r="NTF88" s="790"/>
      <c r="NTG88" s="790"/>
      <c r="NTH88" s="790"/>
      <c r="NTI88" s="790"/>
      <c r="NTJ88" s="790"/>
      <c r="NTK88" s="790"/>
      <c r="NTL88" s="790"/>
      <c r="NTM88" s="790"/>
      <c r="NTN88" s="790"/>
      <c r="NTO88" s="790"/>
      <c r="NTP88" s="790"/>
      <c r="NTQ88" s="790"/>
      <c r="NTR88" s="790"/>
      <c r="NTS88" s="790"/>
      <c r="NTT88" s="790"/>
      <c r="NTU88" s="790"/>
      <c r="NTV88" s="790"/>
      <c r="NTW88" s="790"/>
      <c r="NTX88" s="790"/>
      <c r="NTY88" s="790"/>
      <c r="NTZ88" s="790"/>
      <c r="NUA88" s="790"/>
      <c r="NUB88" s="790"/>
      <c r="NUC88" s="790"/>
      <c r="NUD88" s="790"/>
      <c r="NUE88" s="790"/>
      <c r="NUF88" s="790"/>
      <c r="NUG88" s="790"/>
      <c r="NUH88" s="790"/>
      <c r="NUI88" s="790"/>
      <c r="NUJ88" s="790"/>
      <c r="NUK88" s="790"/>
      <c r="NUL88" s="790"/>
      <c r="NUM88" s="790"/>
      <c r="NUN88" s="790"/>
      <c r="NUO88" s="790"/>
      <c r="NUP88" s="790"/>
      <c r="NUQ88" s="790"/>
      <c r="NUR88" s="790"/>
      <c r="NUS88" s="790"/>
      <c r="NUT88" s="790"/>
      <c r="NUU88" s="790"/>
      <c r="NUV88" s="790"/>
      <c r="NUW88" s="790"/>
      <c r="NUX88" s="790"/>
      <c r="NUY88" s="790"/>
      <c r="NUZ88" s="790"/>
      <c r="NVA88" s="790"/>
      <c r="NVB88" s="790"/>
      <c r="NVC88" s="790"/>
      <c r="NVD88" s="790"/>
      <c r="NVE88" s="790"/>
      <c r="NVF88" s="790"/>
      <c r="NVG88" s="790"/>
      <c r="NVH88" s="790"/>
      <c r="NVI88" s="790"/>
      <c r="NVJ88" s="790"/>
      <c r="NVK88" s="790"/>
      <c r="NVL88" s="790"/>
      <c r="NVM88" s="790"/>
      <c r="NVN88" s="790"/>
      <c r="NVO88" s="790"/>
      <c r="NVP88" s="790"/>
      <c r="NVQ88" s="790"/>
      <c r="NVR88" s="790"/>
      <c r="NVS88" s="790"/>
      <c r="NVT88" s="790"/>
      <c r="NVU88" s="790"/>
      <c r="NVV88" s="790"/>
      <c r="NVW88" s="790"/>
      <c r="NVX88" s="790"/>
      <c r="NVY88" s="790"/>
      <c r="NVZ88" s="790"/>
      <c r="NWA88" s="790"/>
      <c r="NWB88" s="790"/>
      <c r="NWC88" s="790"/>
      <c r="NWD88" s="790"/>
      <c r="NWE88" s="790"/>
      <c r="NWF88" s="790"/>
      <c r="NWG88" s="790"/>
      <c r="NWH88" s="790"/>
      <c r="NWI88" s="790"/>
      <c r="NWJ88" s="790"/>
      <c r="NWK88" s="790"/>
      <c r="NWL88" s="790"/>
      <c r="NWM88" s="790"/>
      <c r="NWN88" s="790"/>
      <c r="NWO88" s="790"/>
      <c r="NWP88" s="790"/>
      <c r="NWQ88" s="790"/>
      <c r="NWR88" s="790"/>
      <c r="NWS88" s="790"/>
      <c r="NWT88" s="790"/>
      <c r="NWU88" s="790"/>
      <c r="NWV88" s="790"/>
      <c r="NWW88" s="790"/>
      <c r="NWX88" s="790"/>
      <c r="NWY88" s="790"/>
      <c r="NWZ88" s="790"/>
      <c r="NXA88" s="790"/>
      <c r="NXB88" s="790"/>
      <c r="NXC88" s="790"/>
      <c r="NXD88" s="790"/>
      <c r="NXE88" s="790"/>
      <c r="NXF88" s="790"/>
      <c r="NXG88" s="790"/>
      <c r="NXH88" s="790"/>
      <c r="NXI88" s="790"/>
      <c r="NXJ88" s="790"/>
      <c r="NXK88" s="790"/>
      <c r="NXL88" s="790"/>
      <c r="NXM88" s="790"/>
      <c r="NXN88" s="790"/>
      <c r="NXO88" s="790"/>
      <c r="NXP88" s="790"/>
      <c r="NXQ88" s="790"/>
      <c r="NXR88" s="790"/>
      <c r="NXS88" s="790"/>
      <c r="NXT88" s="790"/>
      <c r="NXU88" s="790"/>
      <c r="NXV88" s="790"/>
      <c r="NXW88" s="790"/>
      <c r="NXX88" s="790"/>
      <c r="NXY88" s="790"/>
      <c r="NXZ88" s="790"/>
      <c r="NYA88" s="790"/>
      <c r="NYB88" s="790"/>
      <c r="NYC88" s="790"/>
      <c r="NYD88" s="790"/>
      <c r="NYE88" s="790"/>
      <c r="NYF88" s="790"/>
      <c r="NYG88" s="790"/>
      <c r="NYH88" s="790"/>
      <c r="NYI88" s="790"/>
      <c r="NYJ88" s="790"/>
      <c r="NYK88" s="790"/>
      <c r="NYL88" s="790"/>
      <c r="NYM88" s="790"/>
      <c r="NYN88" s="790"/>
      <c r="NYO88" s="790"/>
      <c r="NYP88" s="790"/>
      <c r="NYQ88" s="790"/>
      <c r="NYR88" s="790"/>
      <c r="NYS88" s="790"/>
      <c r="NYT88" s="790"/>
      <c r="NYU88" s="790"/>
      <c r="NYV88" s="790"/>
      <c r="NYW88" s="790"/>
      <c r="NYX88" s="790"/>
      <c r="NYY88" s="790"/>
      <c r="NYZ88" s="790"/>
      <c r="NZA88" s="790"/>
      <c r="NZB88" s="790"/>
      <c r="NZC88" s="790"/>
      <c r="NZD88" s="790"/>
      <c r="NZE88" s="790"/>
      <c r="NZF88" s="790"/>
      <c r="NZG88" s="790"/>
      <c r="NZH88" s="790"/>
      <c r="NZI88" s="790"/>
      <c r="NZJ88" s="790"/>
      <c r="NZK88" s="790"/>
      <c r="NZL88" s="790"/>
      <c r="NZM88" s="790"/>
      <c r="NZN88" s="790"/>
      <c r="NZO88" s="790"/>
      <c r="NZP88" s="790"/>
      <c r="NZQ88" s="790"/>
      <c r="NZR88" s="790"/>
      <c r="NZS88" s="790"/>
      <c r="NZT88" s="790"/>
      <c r="NZU88" s="790"/>
      <c r="NZV88" s="790"/>
      <c r="NZW88" s="790"/>
      <c r="NZX88" s="790"/>
      <c r="NZY88" s="790"/>
      <c r="NZZ88" s="790"/>
      <c r="OAA88" s="790"/>
      <c r="OAB88" s="790"/>
      <c r="OAC88" s="790"/>
      <c r="OAD88" s="790"/>
      <c r="OAE88" s="790"/>
      <c r="OAF88" s="790"/>
      <c r="OAG88" s="790"/>
      <c r="OAH88" s="790"/>
      <c r="OAI88" s="790"/>
      <c r="OAJ88" s="790"/>
      <c r="OAK88" s="790"/>
      <c r="OAL88" s="790"/>
      <c r="OAM88" s="790"/>
      <c r="OAN88" s="790"/>
      <c r="OAO88" s="790"/>
      <c r="OAP88" s="790"/>
      <c r="OAQ88" s="790"/>
      <c r="OAR88" s="790"/>
      <c r="OAS88" s="790"/>
      <c r="OAT88" s="790"/>
      <c r="OAU88" s="790"/>
      <c r="OAV88" s="790"/>
      <c r="OAW88" s="790"/>
      <c r="OAX88" s="790"/>
      <c r="OAY88" s="790"/>
      <c r="OAZ88" s="790"/>
      <c r="OBA88" s="790"/>
      <c r="OBB88" s="790"/>
      <c r="OBC88" s="790"/>
      <c r="OBD88" s="790"/>
      <c r="OBE88" s="790"/>
      <c r="OBF88" s="790"/>
      <c r="OBG88" s="790"/>
      <c r="OBH88" s="790"/>
      <c r="OBI88" s="790"/>
      <c r="OBJ88" s="790"/>
      <c r="OBK88" s="790"/>
      <c r="OBL88" s="790"/>
      <c r="OBM88" s="790"/>
      <c r="OBN88" s="790"/>
      <c r="OBO88" s="790"/>
      <c r="OBP88" s="790"/>
      <c r="OBQ88" s="790"/>
      <c r="OBR88" s="790"/>
      <c r="OBS88" s="790"/>
      <c r="OBT88" s="790"/>
      <c r="OBU88" s="790"/>
      <c r="OBV88" s="790"/>
      <c r="OBW88" s="790"/>
      <c r="OBX88" s="790"/>
      <c r="OBY88" s="790"/>
      <c r="OBZ88" s="790"/>
      <c r="OCA88" s="790"/>
      <c r="OCB88" s="790"/>
      <c r="OCC88" s="790"/>
      <c r="OCD88" s="790"/>
      <c r="OCE88" s="790"/>
      <c r="OCF88" s="790"/>
      <c r="OCG88" s="790"/>
      <c r="OCH88" s="790"/>
      <c r="OCI88" s="790"/>
      <c r="OCJ88" s="790"/>
      <c r="OCK88" s="790"/>
      <c r="OCL88" s="790"/>
      <c r="OCM88" s="790"/>
      <c r="OCN88" s="790"/>
      <c r="OCO88" s="790"/>
      <c r="OCP88" s="790"/>
      <c r="OCQ88" s="790"/>
      <c r="OCR88" s="790"/>
      <c r="OCS88" s="790"/>
      <c r="OCT88" s="790"/>
      <c r="OCU88" s="790"/>
      <c r="OCV88" s="790"/>
      <c r="OCW88" s="790"/>
      <c r="OCX88" s="790"/>
      <c r="OCY88" s="790"/>
      <c r="OCZ88" s="790"/>
      <c r="ODA88" s="790"/>
      <c r="ODB88" s="790"/>
      <c r="ODC88" s="790"/>
      <c r="ODD88" s="790"/>
      <c r="ODE88" s="790"/>
      <c r="ODF88" s="790"/>
      <c r="ODG88" s="790"/>
      <c r="ODH88" s="790"/>
      <c r="ODI88" s="790"/>
      <c r="ODJ88" s="790"/>
      <c r="ODK88" s="790"/>
      <c r="ODL88" s="790"/>
      <c r="ODM88" s="790"/>
      <c r="ODN88" s="790"/>
      <c r="ODO88" s="790"/>
      <c r="ODP88" s="790"/>
      <c r="ODQ88" s="790"/>
      <c r="ODR88" s="790"/>
      <c r="ODS88" s="790"/>
      <c r="ODT88" s="790"/>
      <c r="ODU88" s="790"/>
      <c r="ODV88" s="790"/>
      <c r="ODW88" s="790"/>
      <c r="ODX88" s="790"/>
      <c r="ODY88" s="790"/>
      <c r="ODZ88" s="790"/>
      <c r="OEA88" s="790"/>
      <c r="OEB88" s="790"/>
      <c r="OEC88" s="790"/>
      <c r="OED88" s="790"/>
      <c r="OEE88" s="790"/>
      <c r="OEF88" s="790"/>
      <c r="OEG88" s="790"/>
      <c r="OEH88" s="790"/>
      <c r="OEI88" s="790"/>
      <c r="OEJ88" s="790"/>
      <c r="OEK88" s="790"/>
      <c r="OEL88" s="790"/>
      <c r="OEM88" s="790"/>
      <c r="OEN88" s="790"/>
      <c r="OEO88" s="790"/>
      <c r="OEP88" s="790"/>
      <c r="OEQ88" s="790"/>
      <c r="OER88" s="790"/>
      <c r="OES88" s="790"/>
      <c r="OET88" s="790"/>
      <c r="OEU88" s="790"/>
      <c r="OEV88" s="790"/>
      <c r="OEW88" s="790"/>
      <c r="OEX88" s="790"/>
      <c r="OEY88" s="790"/>
      <c r="OEZ88" s="790"/>
      <c r="OFA88" s="790"/>
      <c r="OFB88" s="790"/>
      <c r="OFC88" s="790"/>
      <c r="OFD88" s="790"/>
      <c r="OFE88" s="790"/>
      <c r="OFF88" s="790"/>
      <c r="OFG88" s="790"/>
      <c r="OFH88" s="790"/>
      <c r="OFI88" s="790"/>
      <c r="OFJ88" s="790"/>
      <c r="OFK88" s="790"/>
      <c r="OFL88" s="790"/>
      <c r="OFM88" s="790"/>
      <c r="OFN88" s="790"/>
      <c r="OFO88" s="790"/>
      <c r="OFP88" s="790"/>
      <c r="OFQ88" s="790"/>
      <c r="OFR88" s="790"/>
      <c r="OFS88" s="790"/>
      <c r="OFT88" s="790"/>
      <c r="OFU88" s="790"/>
      <c r="OFV88" s="790"/>
      <c r="OFW88" s="790"/>
      <c r="OFX88" s="790"/>
      <c r="OFY88" s="790"/>
      <c r="OFZ88" s="790"/>
      <c r="OGA88" s="790"/>
      <c r="OGB88" s="790"/>
      <c r="OGC88" s="790"/>
      <c r="OGD88" s="790"/>
      <c r="OGE88" s="790"/>
      <c r="OGF88" s="790"/>
      <c r="OGG88" s="790"/>
      <c r="OGH88" s="790"/>
      <c r="OGI88" s="790"/>
      <c r="OGJ88" s="790"/>
      <c r="OGK88" s="790"/>
      <c r="OGL88" s="790"/>
      <c r="OGM88" s="790"/>
      <c r="OGN88" s="790"/>
      <c r="OGO88" s="790"/>
      <c r="OGP88" s="790"/>
      <c r="OGQ88" s="790"/>
      <c r="OGR88" s="790"/>
      <c r="OGS88" s="790"/>
      <c r="OGT88" s="790"/>
      <c r="OGU88" s="790"/>
      <c r="OGV88" s="790"/>
      <c r="OGW88" s="790"/>
      <c r="OGX88" s="790"/>
      <c r="OGY88" s="790"/>
      <c r="OGZ88" s="790"/>
      <c r="OHA88" s="790"/>
      <c r="OHB88" s="790"/>
      <c r="OHC88" s="790"/>
      <c r="OHD88" s="790"/>
      <c r="OHE88" s="790"/>
      <c r="OHF88" s="790"/>
      <c r="OHG88" s="790"/>
      <c r="OHH88" s="790"/>
      <c r="OHI88" s="790"/>
      <c r="OHJ88" s="790"/>
      <c r="OHK88" s="790"/>
      <c r="OHL88" s="790"/>
      <c r="OHM88" s="790"/>
      <c r="OHN88" s="790"/>
      <c r="OHO88" s="790"/>
      <c r="OHP88" s="790"/>
      <c r="OHQ88" s="790"/>
      <c r="OHR88" s="790"/>
      <c r="OHS88" s="790"/>
      <c r="OHT88" s="790"/>
      <c r="OHU88" s="790"/>
      <c r="OHV88" s="790"/>
      <c r="OHW88" s="790"/>
      <c r="OHX88" s="790"/>
      <c r="OHY88" s="790"/>
      <c r="OHZ88" s="790"/>
      <c r="OIA88" s="790"/>
      <c r="OIB88" s="790"/>
      <c r="OIC88" s="790"/>
      <c r="OID88" s="790"/>
      <c r="OIE88" s="790"/>
      <c r="OIF88" s="790"/>
      <c r="OIG88" s="790"/>
      <c r="OIH88" s="790"/>
      <c r="OII88" s="790"/>
      <c r="OIJ88" s="790"/>
      <c r="OIK88" s="790"/>
      <c r="OIL88" s="790"/>
      <c r="OIM88" s="790"/>
      <c r="OIN88" s="790"/>
      <c r="OIO88" s="790"/>
      <c r="OIP88" s="790"/>
      <c r="OIQ88" s="790"/>
      <c r="OIR88" s="790"/>
      <c r="OIS88" s="790"/>
      <c r="OIT88" s="790"/>
      <c r="OIU88" s="790"/>
      <c r="OIV88" s="790"/>
      <c r="OIW88" s="790"/>
      <c r="OIX88" s="790"/>
      <c r="OIY88" s="790"/>
      <c r="OIZ88" s="790"/>
      <c r="OJA88" s="790"/>
      <c r="OJB88" s="790"/>
      <c r="OJC88" s="790"/>
      <c r="OJD88" s="790"/>
      <c r="OJE88" s="790"/>
      <c r="OJF88" s="790"/>
      <c r="OJG88" s="790"/>
      <c r="OJH88" s="790"/>
      <c r="OJI88" s="790"/>
      <c r="OJJ88" s="790"/>
      <c r="OJK88" s="790"/>
      <c r="OJL88" s="790"/>
      <c r="OJM88" s="790"/>
      <c r="OJN88" s="790"/>
      <c r="OJO88" s="790"/>
      <c r="OJP88" s="790"/>
      <c r="OJQ88" s="790"/>
      <c r="OJR88" s="790"/>
      <c r="OJS88" s="790"/>
      <c r="OJT88" s="790"/>
      <c r="OJU88" s="790"/>
      <c r="OJV88" s="790"/>
      <c r="OJW88" s="790"/>
      <c r="OJX88" s="790"/>
      <c r="OJY88" s="790"/>
      <c r="OJZ88" s="790"/>
      <c r="OKA88" s="790"/>
      <c r="OKB88" s="790"/>
      <c r="OKC88" s="790"/>
      <c r="OKD88" s="790"/>
      <c r="OKE88" s="790"/>
      <c r="OKF88" s="790"/>
      <c r="OKG88" s="790"/>
      <c r="OKH88" s="790"/>
      <c r="OKI88" s="790"/>
      <c r="OKJ88" s="790"/>
      <c r="OKK88" s="790"/>
      <c r="OKL88" s="790"/>
      <c r="OKM88" s="790"/>
      <c r="OKN88" s="790"/>
      <c r="OKO88" s="790"/>
      <c r="OKP88" s="790"/>
      <c r="OKQ88" s="790"/>
      <c r="OKR88" s="790"/>
      <c r="OKS88" s="790"/>
      <c r="OKT88" s="790"/>
      <c r="OKU88" s="790"/>
      <c r="OKV88" s="790"/>
      <c r="OKW88" s="790"/>
      <c r="OKX88" s="790"/>
      <c r="OKY88" s="790"/>
      <c r="OKZ88" s="790"/>
      <c r="OLA88" s="790"/>
      <c r="OLB88" s="790"/>
      <c r="OLC88" s="790"/>
      <c r="OLD88" s="790"/>
      <c r="OLE88" s="790"/>
      <c r="OLF88" s="790"/>
      <c r="OLG88" s="790"/>
      <c r="OLH88" s="790"/>
      <c r="OLI88" s="790"/>
      <c r="OLJ88" s="790"/>
      <c r="OLK88" s="790"/>
      <c r="OLL88" s="790"/>
      <c r="OLM88" s="790"/>
      <c r="OLN88" s="790"/>
      <c r="OLO88" s="790"/>
      <c r="OLP88" s="790"/>
      <c r="OLQ88" s="790"/>
      <c r="OLR88" s="790"/>
      <c r="OLS88" s="790"/>
      <c r="OLT88" s="790"/>
      <c r="OLU88" s="790"/>
      <c r="OLV88" s="790"/>
      <c r="OLW88" s="790"/>
      <c r="OLX88" s="790"/>
      <c r="OLY88" s="790"/>
      <c r="OLZ88" s="790"/>
      <c r="OMA88" s="790"/>
      <c r="OMB88" s="790"/>
      <c r="OMC88" s="790"/>
      <c r="OMD88" s="790"/>
      <c r="OME88" s="790"/>
      <c r="OMF88" s="790"/>
      <c r="OMG88" s="790"/>
      <c r="OMH88" s="790"/>
      <c r="OMI88" s="790"/>
      <c r="OMJ88" s="790"/>
      <c r="OMK88" s="790"/>
      <c r="OML88" s="790"/>
      <c r="OMM88" s="790"/>
      <c r="OMN88" s="790"/>
      <c r="OMO88" s="790"/>
      <c r="OMP88" s="790"/>
      <c r="OMQ88" s="790"/>
      <c r="OMR88" s="790"/>
      <c r="OMS88" s="790"/>
      <c r="OMT88" s="790"/>
      <c r="OMU88" s="790"/>
      <c r="OMV88" s="790"/>
      <c r="OMW88" s="790"/>
      <c r="OMX88" s="790"/>
      <c r="OMY88" s="790"/>
      <c r="OMZ88" s="790"/>
      <c r="ONA88" s="790"/>
      <c r="ONB88" s="790"/>
      <c r="ONC88" s="790"/>
      <c r="OND88" s="790"/>
      <c r="ONE88" s="790"/>
      <c r="ONF88" s="790"/>
      <c r="ONG88" s="790"/>
      <c r="ONH88" s="790"/>
      <c r="ONI88" s="790"/>
      <c r="ONJ88" s="790"/>
      <c r="ONK88" s="790"/>
      <c r="ONL88" s="790"/>
      <c r="ONM88" s="790"/>
      <c r="ONN88" s="790"/>
      <c r="ONO88" s="790"/>
      <c r="ONP88" s="790"/>
      <c r="ONQ88" s="790"/>
      <c r="ONR88" s="790"/>
      <c r="ONS88" s="790"/>
      <c r="ONT88" s="790"/>
      <c r="ONU88" s="790"/>
      <c r="ONV88" s="790"/>
      <c r="ONW88" s="790"/>
      <c r="ONX88" s="790"/>
      <c r="ONY88" s="790"/>
      <c r="ONZ88" s="790"/>
      <c r="OOA88" s="790"/>
      <c r="OOB88" s="790"/>
      <c r="OOC88" s="790"/>
      <c r="OOD88" s="790"/>
      <c r="OOE88" s="790"/>
      <c r="OOF88" s="790"/>
      <c r="OOG88" s="790"/>
      <c r="OOH88" s="790"/>
      <c r="OOI88" s="790"/>
      <c r="OOJ88" s="790"/>
      <c r="OOK88" s="790"/>
      <c r="OOL88" s="790"/>
      <c r="OOM88" s="790"/>
      <c r="OON88" s="790"/>
      <c r="OOO88" s="790"/>
      <c r="OOP88" s="790"/>
      <c r="OOQ88" s="790"/>
      <c r="OOR88" s="790"/>
      <c r="OOS88" s="790"/>
      <c r="OOT88" s="790"/>
      <c r="OOU88" s="790"/>
      <c r="OOV88" s="790"/>
      <c r="OOW88" s="790"/>
      <c r="OOX88" s="790"/>
      <c r="OOY88" s="790"/>
      <c r="OOZ88" s="790"/>
      <c r="OPA88" s="790"/>
      <c r="OPB88" s="790"/>
      <c r="OPC88" s="790"/>
      <c r="OPD88" s="790"/>
      <c r="OPE88" s="790"/>
      <c r="OPF88" s="790"/>
      <c r="OPG88" s="790"/>
      <c r="OPH88" s="790"/>
      <c r="OPI88" s="790"/>
      <c r="OPJ88" s="790"/>
      <c r="OPK88" s="790"/>
      <c r="OPL88" s="790"/>
      <c r="OPM88" s="790"/>
      <c r="OPN88" s="790"/>
      <c r="OPO88" s="790"/>
      <c r="OPP88" s="790"/>
      <c r="OPQ88" s="790"/>
      <c r="OPR88" s="790"/>
      <c r="OPS88" s="790"/>
      <c r="OPT88" s="790"/>
      <c r="OPU88" s="790"/>
      <c r="OPV88" s="790"/>
      <c r="OPW88" s="790"/>
      <c r="OPX88" s="790"/>
      <c r="OPY88" s="790"/>
      <c r="OPZ88" s="790"/>
      <c r="OQA88" s="790"/>
      <c r="OQB88" s="790"/>
      <c r="OQC88" s="790"/>
      <c r="OQD88" s="790"/>
      <c r="OQE88" s="790"/>
      <c r="OQF88" s="790"/>
      <c r="OQG88" s="790"/>
      <c r="OQH88" s="790"/>
      <c r="OQI88" s="790"/>
      <c r="OQJ88" s="790"/>
      <c r="OQK88" s="790"/>
      <c r="OQL88" s="790"/>
      <c r="OQM88" s="790"/>
      <c r="OQN88" s="790"/>
      <c r="OQO88" s="790"/>
      <c r="OQP88" s="790"/>
      <c r="OQQ88" s="790"/>
      <c r="OQR88" s="790"/>
      <c r="OQS88" s="790"/>
      <c r="OQT88" s="790"/>
      <c r="OQU88" s="790"/>
      <c r="OQV88" s="790"/>
      <c r="OQW88" s="790"/>
      <c r="OQX88" s="790"/>
      <c r="OQY88" s="790"/>
      <c r="OQZ88" s="790"/>
      <c r="ORA88" s="790"/>
      <c r="ORB88" s="790"/>
      <c r="ORC88" s="790"/>
      <c r="ORD88" s="790"/>
      <c r="ORE88" s="790"/>
      <c r="ORF88" s="790"/>
      <c r="ORG88" s="790"/>
      <c r="ORH88" s="790"/>
      <c r="ORI88" s="790"/>
      <c r="ORJ88" s="790"/>
      <c r="ORK88" s="790"/>
      <c r="ORL88" s="790"/>
      <c r="ORM88" s="790"/>
      <c r="ORN88" s="790"/>
      <c r="ORO88" s="790"/>
      <c r="ORP88" s="790"/>
      <c r="ORQ88" s="790"/>
      <c r="ORR88" s="790"/>
      <c r="ORS88" s="790"/>
      <c r="ORT88" s="790"/>
      <c r="ORU88" s="790"/>
      <c r="ORV88" s="790"/>
      <c r="ORW88" s="790"/>
      <c r="ORX88" s="790"/>
      <c r="ORY88" s="790"/>
      <c r="ORZ88" s="790"/>
      <c r="OSA88" s="790"/>
      <c r="OSB88" s="790"/>
      <c r="OSC88" s="790"/>
      <c r="OSD88" s="790"/>
      <c r="OSE88" s="790"/>
      <c r="OSF88" s="790"/>
      <c r="OSG88" s="790"/>
      <c r="OSH88" s="790"/>
      <c r="OSI88" s="790"/>
      <c r="OSJ88" s="790"/>
      <c r="OSK88" s="790"/>
      <c r="OSL88" s="790"/>
      <c r="OSM88" s="790"/>
      <c r="OSN88" s="790"/>
      <c r="OSO88" s="790"/>
      <c r="OSP88" s="790"/>
      <c r="OSQ88" s="790"/>
      <c r="OSR88" s="790"/>
      <c r="OSS88" s="790"/>
      <c r="OST88" s="790"/>
      <c r="OSU88" s="790"/>
      <c r="OSV88" s="790"/>
      <c r="OSW88" s="790"/>
      <c r="OSX88" s="790"/>
      <c r="OSY88" s="790"/>
      <c r="OSZ88" s="790"/>
      <c r="OTA88" s="790"/>
      <c r="OTB88" s="790"/>
      <c r="OTC88" s="790"/>
      <c r="OTD88" s="790"/>
      <c r="OTE88" s="790"/>
      <c r="OTF88" s="790"/>
      <c r="OTG88" s="790"/>
      <c r="OTH88" s="790"/>
      <c r="OTI88" s="790"/>
      <c r="OTJ88" s="790"/>
      <c r="OTK88" s="790"/>
      <c r="OTL88" s="790"/>
      <c r="OTM88" s="790"/>
      <c r="OTN88" s="790"/>
      <c r="OTO88" s="790"/>
      <c r="OTP88" s="790"/>
      <c r="OTQ88" s="790"/>
      <c r="OTR88" s="790"/>
      <c r="OTS88" s="790"/>
      <c r="OTT88" s="790"/>
      <c r="OTU88" s="790"/>
      <c r="OTV88" s="790"/>
      <c r="OTW88" s="790"/>
      <c r="OTX88" s="790"/>
      <c r="OTY88" s="790"/>
      <c r="OTZ88" s="790"/>
      <c r="OUA88" s="790"/>
      <c r="OUB88" s="790"/>
      <c r="OUC88" s="790"/>
      <c r="OUD88" s="790"/>
      <c r="OUE88" s="790"/>
      <c r="OUF88" s="790"/>
      <c r="OUG88" s="790"/>
      <c r="OUH88" s="790"/>
      <c r="OUI88" s="790"/>
      <c r="OUJ88" s="790"/>
      <c r="OUK88" s="790"/>
      <c r="OUL88" s="790"/>
      <c r="OUM88" s="790"/>
      <c r="OUN88" s="790"/>
      <c r="OUO88" s="790"/>
      <c r="OUP88" s="790"/>
      <c r="OUQ88" s="790"/>
      <c r="OUR88" s="790"/>
      <c r="OUS88" s="790"/>
      <c r="OUT88" s="790"/>
      <c r="OUU88" s="790"/>
      <c r="OUV88" s="790"/>
      <c r="OUW88" s="790"/>
      <c r="OUX88" s="790"/>
      <c r="OUY88" s="790"/>
      <c r="OUZ88" s="790"/>
      <c r="OVA88" s="790"/>
      <c r="OVB88" s="790"/>
      <c r="OVC88" s="790"/>
      <c r="OVD88" s="790"/>
      <c r="OVE88" s="790"/>
      <c r="OVF88" s="790"/>
      <c r="OVG88" s="790"/>
      <c r="OVH88" s="790"/>
      <c r="OVI88" s="790"/>
      <c r="OVJ88" s="790"/>
      <c r="OVK88" s="790"/>
      <c r="OVL88" s="790"/>
      <c r="OVM88" s="790"/>
      <c r="OVN88" s="790"/>
      <c r="OVO88" s="790"/>
      <c r="OVP88" s="790"/>
      <c r="OVQ88" s="790"/>
      <c r="OVR88" s="790"/>
      <c r="OVS88" s="790"/>
      <c r="OVT88" s="790"/>
      <c r="OVU88" s="790"/>
      <c r="OVV88" s="790"/>
      <c r="OVW88" s="790"/>
      <c r="OVX88" s="790"/>
      <c r="OVY88" s="790"/>
      <c r="OVZ88" s="790"/>
      <c r="OWA88" s="790"/>
      <c r="OWB88" s="790"/>
      <c r="OWC88" s="790"/>
      <c r="OWD88" s="790"/>
      <c r="OWE88" s="790"/>
      <c r="OWF88" s="790"/>
      <c r="OWG88" s="790"/>
      <c r="OWH88" s="790"/>
      <c r="OWI88" s="790"/>
      <c r="OWJ88" s="790"/>
      <c r="OWK88" s="790"/>
      <c r="OWL88" s="790"/>
      <c r="OWM88" s="790"/>
      <c r="OWN88" s="790"/>
      <c r="OWO88" s="790"/>
      <c r="OWP88" s="790"/>
      <c r="OWQ88" s="790"/>
      <c r="OWR88" s="790"/>
      <c r="OWS88" s="790"/>
      <c r="OWT88" s="790"/>
      <c r="OWU88" s="790"/>
      <c r="OWV88" s="790"/>
      <c r="OWW88" s="790"/>
      <c r="OWX88" s="790"/>
      <c r="OWY88" s="790"/>
      <c r="OWZ88" s="790"/>
      <c r="OXA88" s="790"/>
      <c r="OXB88" s="790"/>
      <c r="OXC88" s="790"/>
      <c r="OXD88" s="790"/>
      <c r="OXE88" s="790"/>
      <c r="OXF88" s="790"/>
      <c r="OXG88" s="790"/>
      <c r="OXH88" s="790"/>
      <c r="OXI88" s="790"/>
      <c r="OXJ88" s="790"/>
      <c r="OXK88" s="790"/>
      <c r="OXL88" s="790"/>
      <c r="OXM88" s="790"/>
      <c r="OXN88" s="790"/>
      <c r="OXO88" s="790"/>
      <c r="OXP88" s="790"/>
      <c r="OXQ88" s="790"/>
      <c r="OXR88" s="790"/>
      <c r="OXS88" s="790"/>
      <c r="OXT88" s="790"/>
      <c r="OXU88" s="790"/>
      <c r="OXV88" s="790"/>
      <c r="OXW88" s="790"/>
      <c r="OXX88" s="790"/>
      <c r="OXY88" s="790"/>
      <c r="OXZ88" s="790"/>
      <c r="OYA88" s="790"/>
      <c r="OYB88" s="790"/>
      <c r="OYC88" s="790"/>
      <c r="OYD88" s="790"/>
      <c r="OYE88" s="790"/>
      <c r="OYF88" s="790"/>
      <c r="OYG88" s="790"/>
      <c r="OYH88" s="790"/>
      <c r="OYI88" s="790"/>
      <c r="OYJ88" s="790"/>
      <c r="OYK88" s="790"/>
      <c r="OYL88" s="790"/>
      <c r="OYM88" s="790"/>
      <c r="OYN88" s="790"/>
      <c r="OYO88" s="790"/>
      <c r="OYP88" s="790"/>
      <c r="OYQ88" s="790"/>
      <c r="OYR88" s="790"/>
      <c r="OYS88" s="790"/>
      <c r="OYT88" s="790"/>
      <c r="OYU88" s="790"/>
      <c r="OYV88" s="790"/>
      <c r="OYW88" s="790"/>
      <c r="OYX88" s="790"/>
      <c r="OYY88" s="790"/>
      <c r="OYZ88" s="790"/>
      <c r="OZA88" s="790"/>
      <c r="OZB88" s="790"/>
      <c r="OZC88" s="790"/>
      <c r="OZD88" s="790"/>
      <c r="OZE88" s="790"/>
      <c r="OZF88" s="790"/>
      <c r="OZG88" s="790"/>
      <c r="OZH88" s="790"/>
      <c r="OZI88" s="790"/>
      <c r="OZJ88" s="790"/>
      <c r="OZK88" s="790"/>
      <c r="OZL88" s="790"/>
      <c r="OZM88" s="790"/>
      <c r="OZN88" s="790"/>
      <c r="OZO88" s="790"/>
      <c r="OZP88" s="790"/>
      <c r="OZQ88" s="790"/>
      <c r="OZR88" s="790"/>
      <c r="OZS88" s="790"/>
      <c r="OZT88" s="790"/>
      <c r="OZU88" s="790"/>
      <c r="OZV88" s="790"/>
      <c r="OZW88" s="790"/>
      <c r="OZX88" s="790"/>
      <c r="OZY88" s="790"/>
      <c r="OZZ88" s="790"/>
      <c r="PAA88" s="790"/>
      <c r="PAB88" s="790"/>
      <c r="PAC88" s="790"/>
      <c r="PAD88" s="790"/>
      <c r="PAE88" s="790"/>
      <c r="PAF88" s="790"/>
      <c r="PAG88" s="790"/>
      <c r="PAH88" s="790"/>
      <c r="PAI88" s="790"/>
      <c r="PAJ88" s="790"/>
      <c r="PAK88" s="790"/>
      <c r="PAL88" s="790"/>
      <c r="PAM88" s="790"/>
      <c r="PAN88" s="790"/>
      <c r="PAO88" s="790"/>
      <c r="PAP88" s="790"/>
      <c r="PAQ88" s="790"/>
      <c r="PAR88" s="790"/>
      <c r="PAS88" s="790"/>
      <c r="PAT88" s="790"/>
      <c r="PAU88" s="790"/>
      <c r="PAV88" s="790"/>
      <c r="PAW88" s="790"/>
      <c r="PAX88" s="790"/>
      <c r="PAY88" s="790"/>
      <c r="PAZ88" s="790"/>
      <c r="PBA88" s="790"/>
      <c r="PBB88" s="790"/>
      <c r="PBC88" s="790"/>
      <c r="PBD88" s="790"/>
      <c r="PBE88" s="790"/>
      <c r="PBF88" s="790"/>
      <c r="PBG88" s="790"/>
      <c r="PBH88" s="790"/>
      <c r="PBI88" s="790"/>
      <c r="PBJ88" s="790"/>
      <c r="PBK88" s="790"/>
      <c r="PBL88" s="790"/>
      <c r="PBM88" s="790"/>
      <c r="PBN88" s="790"/>
      <c r="PBO88" s="790"/>
      <c r="PBP88" s="790"/>
      <c r="PBQ88" s="790"/>
      <c r="PBR88" s="790"/>
      <c r="PBS88" s="790"/>
      <c r="PBT88" s="790"/>
      <c r="PBU88" s="790"/>
      <c r="PBV88" s="790"/>
      <c r="PBW88" s="790"/>
      <c r="PBX88" s="790"/>
      <c r="PBY88" s="790"/>
      <c r="PBZ88" s="790"/>
      <c r="PCA88" s="790"/>
      <c r="PCB88" s="790"/>
      <c r="PCC88" s="790"/>
      <c r="PCD88" s="790"/>
      <c r="PCE88" s="790"/>
      <c r="PCF88" s="790"/>
      <c r="PCG88" s="790"/>
      <c r="PCH88" s="790"/>
      <c r="PCI88" s="790"/>
      <c r="PCJ88" s="790"/>
      <c r="PCK88" s="790"/>
      <c r="PCL88" s="790"/>
      <c r="PCM88" s="790"/>
      <c r="PCN88" s="790"/>
      <c r="PCO88" s="790"/>
      <c r="PCP88" s="790"/>
      <c r="PCQ88" s="790"/>
      <c r="PCR88" s="790"/>
      <c r="PCS88" s="790"/>
      <c r="PCT88" s="790"/>
      <c r="PCU88" s="790"/>
      <c r="PCV88" s="790"/>
      <c r="PCW88" s="790"/>
      <c r="PCX88" s="790"/>
      <c r="PCY88" s="790"/>
      <c r="PCZ88" s="790"/>
      <c r="PDA88" s="790"/>
      <c r="PDB88" s="790"/>
      <c r="PDC88" s="790"/>
      <c r="PDD88" s="790"/>
      <c r="PDE88" s="790"/>
      <c r="PDF88" s="790"/>
      <c r="PDG88" s="790"/>
      <c r="PDH88" s="790"/>
      <c r="PDI88" s="790"/>
      <c r="PDJ88" s="790"/>
      <c r="PDK88" s="790"/>
      <c r="PDL88" s="790"/>
      <c r="PDM88" s="790"/>
      <c r="PDN88" s="790"/>
      <c r="PDO88" s="790"/>
      <c r="PDP88" s="790"/>
      <c r="PDQ88" s="790"/>
      <c r="PDR88" s="790"/>
      <c r="PDS88" s="790"/>
      <c r="PDT88" s="790"/>
      <c r="PDU88" s="790"/>
      <c r="PDV88" s="790"/>
      <c r="PDW88" s="790"/>
      <c r="PDX88" s="790"/>
      <c r="PDY88" s="790"/>
      <c r="PDZ88" s="790"/>
      <c r="PEA88" s="790"/>
      <c r="PEB88" s="790"/>
      <c r="PEC88" s="790"/>
      <c r="PED88" s="790"/>
      <c r="PEE88" s="790"/>
      <c r="PEF88" s="790"/>
      <c r="PEG88" s="790"/>
      <c r="PEH88" s="790"/>
      <c r="PEI88" s="790"/>
      <c r="PEJ88" s="790"/>
      <c r="PEK88" s="790"/>
      <c r="PEL88" s="790"/>
      <c r="PEM88" s="790"/>
      <c r="PEN88" s="790"/>
      <c r="PEO88" s="790"/>
      <c r="PEP88" s="790"/>
      <c r="PEQ88" s="790"/>
      <c r="PER88" s="790"/>
      <c r="PES88" s="790"/>
      <c r="PET88" s="790"/>
      <c r="PEU88" s="790"/>
      <c r="PEV88" s="790"/>
      <c r="PEW88" s="790"/>
      <c r="PEX88" s="790"/>
      <c r="PEY88" s="790"/>
      <c r="PEZ88" s="790"/>
      <c r="PFA88" s="790"/>
      <c r="PFB88" s="790"/>
      <c r="PFC88" s="790"/>
      <c r="PFD88" s="790"/>
      <c r="PFE88" s="790"/>
      <c r="PFF88" s="790"/>
      <c r="PFG88" s="790"/>
      <c r="PFH88" s="790"/>
      <c r="PFI88" s="790"/>
      <c r="PFJ88" s="790"/>
      <c r="PFK88" s="790"/>
      <c r="PFL88" s="790"/>
      <c r="PFM88" s="790"/>
      <c r="PFN88" s="790"/>
      <c r="PFO88" s="790"/>
      <c r="PFP88" s="790"/>
      <c r="PFQ88" s="790"/>
      <c r="PFR88" s="790"/>
      <c r="PFS88" s="790"/>
      <c r="PFT88" s="790"/>
      <c r="PFU88" s="790"/>
      <c r="PFV88" s="790"/>
      <c r="PFW88" s="790"/>
      <c r="PFX88" s="790"/>
      <c r="PFY88" s="790"/>
      <c r="PFZ88" s="790"/>
      <c r="PGA88" s="790"/>
      <c r="PGB88" s="790"/>
      <c r="PGC88" s="790"/>
      <c r="PGD88" s="790"/>
      <c r="PGE88" s="790"/>
      <c r="PGF88" s="790"/>
      <c r="PGG88" s="790"/>
      <c r="PGH88" s="790"/>
      <c r="PGI88" s="790"/>
      <c r="PGJ88" s="790"/>
      <c r="PGK88" s="790"/>
      <c r="PGL88" s="790"/>
      <c r="PGM88" s="790"/>
      <c r="PGN88" s="790"/>
      <c r="PGO88" s="790"/>
      <c r="PGP88" s="790"/>
      <c r="PGQ88" s="790"/>
      <c r="PGR88" s="790"/>
      <c r="PGS88" s="790"/>
      <c r="PGT88" s="790"/>
      <c r="PGU88" s="790"/>
      <c r="PGV88" s="790"/>
      <c r="PGW88" s="790"/>
      <c r="PGX88" s="790"/>
      <c r="PGY88" s="790"/>
      <c r="PGZ88" s="790"/>
      <c r="PHA88" s="790"/>
      <c r="PHB88" s="790"/>
      <c r="PHC88" s="790"/>
      <c r="PHD88" s="790"/>
      <c r="PHE88" s="790"/>
      <c r="PHF88" s="790"/>
      <c r="PHG88" s="790"/>
      <c r="PHH88" s="790"/>
      <c r="PHI88" s="790"/>
      <c r="PHJ88" s="790"/>
      <c r="PHK88" s="790"/>
      <c r="PHL88" s="790"/>
      <c r="PHM88" s="790"/>
      <c r="PHN88" s="790"/>
      <c r="PHO88" s="790"/>
      <c r="PHP88" s="790"/>
      <c r="PHQ88" s="790"/>
      <c r="PHR88" s="790"/>
      <c r="PHS88" s="790"/>
      <c r="PHT88" s="790"/>
      <c r="PHU88" s="790"/>
      <c r="PHV88" s="790"/>
      <c r="PHW88" s="790"/>
      <c r="PHX88" s="790"/>
      <c r="PHY88" s="790"/>
      <c r="PHZ88" s="790"/>
      <c r="PIA88" s="790"/>
      <c r="PIB88" s="790"/>
      <c r="PIC88" s="790"/>
      <c r="PID88" s="790"/>
      <c r="PIE88" s="790"/>
      <c r="PIF88" s="790"/>
      <c r="PIG88" s="790"/>
      <c r="PIH88" s="790"/>
      <c r="PII88" s="790"/>
      <c r="PIJ88" s="790"/>
      <c r="PIK88" s="790"/>
      <c r="PIL88" s="790"/>
      <c r="PIM88" s="790"/>
      <c r="PIN88" s="790"/>
      <c r="PIO88" s="790"/>
      <c r="PIP88" s="790"/>
      <c r="PIQ88" s="790"/>
      <c r="PIR88" s="790"/>
      <c r="PIS88" s="790"/>
      <c r="PIT88" s="790"/>
      <c r="PIU88" s="790"/>
      <c r="PIV88" s="790"/>
      <c r="PIW88" s="790"/>
      <c r="PIX88" s="790"/>
      <c r="PIY88" s="790"/>
      <c r="PIZ88" s="790"/>
      <c r="PJA88" s="790"/>
      <c r="PJB88" s="790"/>
      <c r="PJC88" s="790"/>
      <c r="PJD88" s="790"/>
      <c r="PJE88" s="790"/>
      <c r="PJF88" s="790"/>
      <c r="PJG88" s="790"/>
      <c r="PJH88" s="790"/>
      <c r="PJI88" s="790"/>
      <c r="PJJ88" s="790"/>
      <c r="PJK88" s="790"/>
      <c r="PJL88" s="790"/>
      <c r="PJM88" s="790"/>
      <c r="PJN88" s="790"/>
      <c r="PJO88" s="790"/>
      <c r="PJP88" s="790"/>
      <c r="PJQ88" s="790"/>
      <c r="PJR88" s="790"/>
      <c r="PJS88" s="790"/>
      <c r="PJT88" s="790"/>
      <c r="PJU88" s="790"/>
      <c r="PJV88" s="790"/>
      <c r="PJW88" s="790"/>
      <c r="PJX88" s="790"/>
      <c r="PJY88" s="790"/>
      <c r="PJZ88" s="790"/>
      <c r="PKA88" s="790"/>
      <c r="PKB88" s="790"/>
      <c r="PKC88" s="790"/>
      <c r="PKD88" s="790"/>
      <c r="PKE88" s="790"/>
      <c r="PKF88" s="790"/>
      <c r="PKG88" s="790"/>
      <c r="PKH88" s="790"/>
      <c r="PKI88" s="790"/>
      <c r="PKJ88" s="790"/>
      <c r="PKK88" s="790"/>
      <c r="PKL88" s="790"/>
      <c r="PKM88" s="790"/>
      <c r="PKN88" s="790"/>
      <c r="PKO88" s="790"/>
      <c r="PKP88" s="790"/>
      <c r="PKQ88" s="790"/>
      <c r="PKR88" s="790"/>
      <c r="PKS88" s="790"/>
      <c r="PKT88" s="790"/>
      <c r="PKU88" s="790"/>
      <c r="PKV88" s="790"/>
      <c r="PKW88" s="790"/>
      <c r="PKX88" s="790"/>
      <c r="PKY88" s="790"/>
      <c r="PKZ88" s="790"/>
      <c r="PLA88" s="790"/>
      <c r="PLB88" s="790"/>
      <c r="PLC88" s="790"/>
      <c r="PLD88" s="790"/>
      <c r="PLE88" s="790"/>
      <c r="PLF88" s="790"/>
      <c r="PLG88" s="790"/>
      <c r="PLH88" s="790"/>
      <c r="PLI88" s="790"/>
      <c r="PLJ88" s="790"/>
      <c r="PLK88" s="790"/>
      <c r="PLL88" s="790"/>
      <c r="PLM88" s="790"/>
      <c r="PLN88" s="790"/>
      <c r="PLO88" s="790"/>
      <c r="PLP88" s="790"/>
      <c r="PLQ88" s="790"/>
      <c r="PLR88" s="790"/>
      <c r="PLS88" s="790"/>
      <c r="PLT88" s="790"/>
      <c r="PLU88" s="790"/>
      <c r="PLV88" s="790"/>
      <c r="PLW88" s="790"/>
      <c r="PLX88" s="790"/>
      <c r="PLY88" s="790"/>
      <c r="PLZ88" s="790"/>
      <c r="PMA88" s="790"/>
      <c r="PMB88" s="790"/>
      <c r="PMC88" s="790"/>
      <c r="PMD88" s="790"/>
      <c r="PME88" s="790"/>
      <c r="PMF88" s="790"/>
      <c r="PMG88" s="790"/>
      <c r="PMH88" s="790"/>
      <c r="PMI88" s="790"/>
      <c r="PMJ88" s="790"/>
      <c r="PMK88" s="790"/>
      <c r="PML88" s="790"/>
      <c r="PMM88" s="790"/>
      <c r="PMN88" s="790"/>
      <c r="PMO88" s="790"/>
      <c r="PMP88" s="790"/>
      <c r="PMQ88" s="790"/>
      <c r="PMR88" s="790"/>
      <c r="PMS88" s="790"/>
      <c r="PMT88" s="790"/>
      <c r="PMU88" s="790"/>
      <c r="PMV88" s="790"/>
      <c r="PMW88" s="790"/>
      <c r="PMX88" s="790"/>
      <c r="PMY88" s="790"/>
      <c r="PMZ88" s="790"/>
      <c r="PNA88" s="790"/>
      <c r="PNB88" s="790"/>
      <c r="PNC88" s="790"/>
      <c r="PND88" s="790"/>
      <c r="PNE88" s="790"/>
      <c r="PNF88" s="790"/>
      <c r="PNG88" s="790"/>
      <c r="PNH88" s="790"/>
      <c r="PNI88" s="790"/>
      <c r="PNJ88" s="790"/>
      <c r="PNK88" s="790"/>
      <c r="PNL88" s="790"/>
      <c r="PNM88" s="790"/>
      <c r="PNN88" s="790"/>
      <c r="PNO88" s="790"/>
      <c r="PNP88" s="790"/>
      <c r="PNQ88" s="790"/>
      <c r="PNR88" s="790"/>
      <c r="PNS88" s="790"/>
      <c r="PNT88" s="790"/>
      <c r="PNU88" s="790"/>
      <c r="PNV88" s="790"/>
      <c r="PNW88" s="790"/>
      <c r="PNX88" s="790"/>
      <c r="PNY88" s="790"/>
      <c r="PNZ88" s="790"/>
      <c r="POA88" s="790"/>
      <c r="POB88" s="790"/>
      <c r="POC88" s="790"/>
      <c r="POD88" s="790"/>
      <c r="POE88" s="790"/>
      <c r="POF88" s="790"/>
      <c r="POG88" s="790"/>
      <c r="POH88" s="790"/>
      <c r="POI88" s="790"/>
      <c r="POJ88" s="790"/>
      <c r="POK88" s="790"/>
      <c r="POL88" s="790"/>
      <c r="POM88" s="790"/>
      <c r="PON88" s="790"/>
      <c r="POO88" s="790"/>
      <c r="POP88" s="790"/>
      <c r="POQ88" s="790"/>
      <c r="POR88" s="790"/>
      <c r="POS88" s="790"/>
      <c r="POT88" s="790"/>
      <c r="POU88" s="790"/>
      <c r="POV88" s="790"/>
      <c r="POW88" s="790"/>
      <c r="POX88" s="790"/>
      <c r="POY88" s="790"/>
      <c r="POZ88" s="790"/>
      <c r="PPA88" s="790"/>
      <c r="PPB88" s="790"/>
      <c r="PPC88" s="790"/>
      <c r="PPD88" s="790"/>
      <c r="PPE88" s="790"/>
      <c r="PPF88" s="790"/>
      <c r="PPG88" s="790"/>
      <c r="PPH88" s="790"/>
      <c r="PPI88" s="790"/>
      <c r="PPJ88" s="790"/>
      <c r="PPK88" s="790"/>
      <c r="PPL88" s="790"/>
      <c r="PPM88" s="790"/>
      <c r="PPN88" s="790"/>
      <c r="PPO88" s="790"/>
      <c r="PPP88" s="790"/>
      <c r="PPQ88" s="790"/>
      <c r="PPR88" s="790"/>
      <c r="PPS88" s="790"/>
      <c r="PPT88" s="790"/>
      <c r="PPU88" s="790"/>
      <c r="PPV88" s="790"/>
      <c r="PPW88" s="790"/>
      <c r="PPX88" s="790"/>
      <c r="PPY88" s="790"/>
      <c r="PPZ88" s="790"/>
      <c r="PQA88" s="790"/>
      <c r="PQB88" s="790"/>
      <c r="PQC88" s="790"/>
      <c r="PQD88" s="790"/>
      <c r="PQE88" s="790"/>
      <c r="PQF88" s="790"/>
      <c r="PQG88" s="790"/>
      <c r="PQH88" s="790"/>
      <c r="PQI88" s="790"/>
      <c r="PQJ88" s="790"/>
      <c r="PQK88" s="790"/>
      <c r="PQL88" s="790"/>
      <c r="PQM88" s="790"/>
      <c r="PQN88" s="790"/>
      <c r="PQO88" s="790"/>
      <c r="PQP88" s="790"/>
      <c r="PQQ88" s="790"/>
      <c r="PQR88" s="790"/>
      <c r="PQS88" s="790"/>
      <c r="PQT88" s="790"/>
      <c r="PQU88" s="790"/>
      <c r="PQV88" s="790"/>
      <c r="PQW88" s="790"/>
      <c r="PQX88" s="790"/>
      <c r="PQY88" s="790"/>
      <c r="PQZ88" s="790"/>
      <c r="PRA88" s="790"/>
      <c r="PRB88" s="790"/>
      <c r="PRC88" s="790"/>
      <c r="PRD88" s="790"/>
      <c r="PRE88" s="790"/>
      <c r="PRF88" s="790"/>
      <c r="PRG88" s="790"/>
      <c r="PRH88" s="790"/>
      <c r="PRI88" s="790"/>
      <c r="PRJ88" s="790"/>
      <c r="PRK88" s="790"/>
      <c r="PRL88" s="790"/>
      <c r="PRM88" s="790"/>
      <c r="PRN88" s="790"/>
      <c r="PRO88" s="790"/>
      <c r="PRP88" s="790"/>
      <c r="PRQ88" s="790"/>
      <c r="PRR88" s="790"/>
      <c r="PRS88" s="790"/>
      <c r="PRT88" s="790"/>
      <c r="PRU88" s="790"/>
      <c r="PRV88" s="790"/>
      <c r="PRW88" s="790"/>
      <c r="PRX88" s="790"/>
      <c r="PRY88" s="790"/>
      <c r="PRZ88" s="790"/>
      <c r="PSA88" s="790"/>
      <c r="PSB88" s="790"/>
      <c r="PSC88" s="790"/>
      <c r="PSD88" s="790"/>
      <c r="PSE88" s="790"/>
      <c r="PSF88" s="790"/>
      <c r="PSG88" s="790"/>
      <c r="PSH88" s="790"/>
      <c r="PSI88" s="790"/>
      <c r="PSJ88" s="790"/>
      <c r="PSK88" s="790"/>
      <c r="PSL88" s="790"/>
      <c r="PSM88" s="790"/>
      <c r="PSN88" s="790"/>
      <c r="PSO88" s="790"/>
      <c r="PSP88" s="790"/>
      <c r="PSQ88" s="790"/>
      <c r="PSR88" s="790"/>
      <c r="PSS88" s="790"/>
      <c r="PST88" s="790"/>
      <c r="PSU88" s="790"/>
      <c r="PSV88" s="790"/>
      <c r="PSW88" s="790"/>
      <c r="PSX88" s="790"/>
      <c r="PSY88" s="790"/>
      <c r="PSZ88" s="790"/>
      <c r="PTA88" s="790"/>
      <c r="PTB88" s="790"/>
      <c r="PTC88" s="790"/>
      <c r="PTD88" s="790"/>
      <c r="PTE88" s="790"/>
      <c r="PTF88" s="790"/>
      <c r="PTG88" s="790"/>
      <c r="PTH88" s="790"/>
      <c r="PTI88" s="790"/>
      <c r="PTJ88" s="790"/>
      <c r="PTK88" s="790"/>
      <c r="PTL88" s="790"/>
      <c r="PTM88" s="790"/>
      <c r="PTN88" s="790"/>
      <c r="PTO88" s="790"/>
      <c r="PTP88" s="790"/>
      <c r="PTQ88" s="790"/>
      <c r="PTR88" s="790"/>
      <c r="PTS88" s="790"/>
      <c r="PTT88" s="790"/>
      <c r="PTU88" s="790"/>
      <c r="PTV88" s="790"/>
      <c r="PTW88" s="790"/>
      <c r="PTX88" s="790"/>
      <c r="PTY88" s="790"/>
      <c r="PTZ88" s="790"/>
      <c r="PUA88" s="790"/>
      <c r="PUB88" s="790"/>
      <c r="PUC88" s="790"/>
      <c r="PUD88" s="790"/>
      <c r="PUE88" s="790"/>
      <c r="PUF88" s="790"/>
      <c r="PUG88" s="790"/>
      <c r="PUH88" s="790"/>
      <c r="PUI88" s="790"/>
      <c r="PUJ88" s="790"/>
      <c r="PUK88" s="790"/>
      <c r="PUL88" s="790"/>
      <c r="PUM88" s="790"/>
      <c r="PUN88" s="790"/>
      <c r="PUO88" s="790"/>
      <c r="PUP88" s="790"/>
      <c r="PUQ88" s="790"/>
      <c r="PUR88" s="790"/>
      <c r="PUS88" s="790"/>
      <c r="PUT88" s="790"/>
      <c r="PUU88" s="790"/>
      <c r="PUV88" s="790"/>
      <c r="PUW88" s="790"/>
      <c r="PUX88" s="790"/>
      <c r="PUY88" s="790"/>
      <c r="PUZ88" s="790"/>
      <c r="PVA88" s="790"/>
      <c r="PVB88" s="790"/>
      <c r="PVC88" s="790"/>
      <c r="PVD88" s="790"/>
      <c r="PVE88" s="790"/>
      <c r="PVF88" s="790"/>
      <c r="PVG88" s="790"/>
      <c r="PVH88" s="790"/>
      <c r="PVI88" s="790"/>
      <c r="PVJ88" s="790"/>
      <c r="PVK88" s="790"/>
      <c r="PVL88" s="790"/>
      <c r="PVM88" s="790"/>
      <c r="PVN88" s="790"/>
      <c r="PVO88" s="790"/>
      <c r="PVP88" s="790"/>
      <c r="PVQ88" s="790"/>
      <c r="PVR88" s="790"/>
      <c r="PVS88" s="790"/>
      <c r="PVT88" s="790"/>
      <c r="PVU88" s="790"/>
      <c r="PVV88" s="790"/>
      <c r="PVW88" s="790"/>
      <c r="PVX88" s="790"/>
      <c r="PVY88" s="790"/>
      <c r="PVZ88" s="790"/>
      <c r="PWA88" s="790"/>
      <c r="PWB88" s="790"/>
      <c r="PWC88" s="790"/>
      <c r="PWD88" s="790"/>
      <c r="PWE88" s="790"/>
      <c r="PWF88" s="790"/>
      <c r="PWG88" s="790"/>
      <c r="PWH88" s="790"/>
      <c r="PWI88" s="790"/>
      <c r="PWJ88" s="790"/>
      <c r="PWK88" s="790"/>
      <c r="PWL88" s="790"/>
      <c r="PWM88" s="790"/>
      <c r="PWN88" s="790"/>
      <c r="PWO88" s="790"/>
      <c r="PWP88" s="790"/>
      <c r="PWQ88" s="790"/>
      <c r="PWR88" s="790"/>
      <c r="PWS88" s="790"/>
      <c r="PWT88" s="790"/>
      <c r="PWU88" s="790"/>
      <c r="PWV88" s="790"/>
      <c r="PWW88" s="790"/>
      <c r="PWX88" s="790"/>
      <c r="PWY88" s="790"/>
      <c r="PWZ88" s="790"/>
      <c r="PXA88" s="790"/>
      <c r="PXB88" s="790"/>
      <c r="PXC88" s="790"/>
      <c r="PXD88" s="790"/>
      <c r="PXE88" s="790"/>
      <c r="PXF88" s="790"/>
      <c r="PXG88" s="790"/>
      <c r="PXH88" s="790"/>
      <c r="PXI88" s="790"/>
      <c r="PXJ88" s="790"/>
      <c r="PXK88" s="790"/>
      <c r="PXL88" s="790"/>
      <c r="PXM88" s="790"/>
      <c r="PXN88" s="790"/>
      <c r="PXO88" s="790"/>
      <c r="PXP88" s="790"/>
      <c r="PXQ88" s="790"/>
      <c r="PXR88" s="790"/>
      <c r="PXS88" s="790"/>
      <c r="PXT88" s="790"/>
      <c r="PXU88" s="790"/>
      <c r="PXV88" s="790"/>
      <c r="PXW88" s="790"/>
      <c r="PXX88" s="790"/>
      <c r="PXY88" s="790"/>
      <c r="PXZ88" s="790"/>
      <c r="PYA88" s="790"/>
      <c r="PYB88" s="790"/>
      <c r="PYC88" s="790"/>
      <c r="PYD88" s="790"/>
      <c r="PYE88" s="790"/>
      <c r="PYF88" s="790"/>
      <c r="PYG88" s="790"/>
      <c r="PYH88" s="790"/>
      <c r="PYI88" s="790"/>
      <c r="PYJ88" s="790"/>
      <c r="PYK88" s="790"/>
      <c r="PYL88" s="790"/>
      <c r="PYM88" s="790"/>
      <c r="PYN88" s="790"/>
      <c r="PYO88" s="790"/>
      <c r="PYP88" s="790"/>
      <c r="PYQ88" s="790"/>
      <c r="PYR88" s="790"/>
      <c r="PYS88" s="790"/>
      <c r="PYT88" s="790"/>
      <c r="PYU88" s="790"/>
      <c r="PYV88" s="790"/>
      <c r="PYW88" s="790"/>
      <c r="PYX88" s="790"/>
      <c r="PYY88" s="790"/>
      <c r="PYZ88" s="790"/>
      <c r="PZA88" s="790"/>
      <c r="PZB88" s="790"/>
      <c r="PZC88" s="790"/>
      <c r="PZD88" s="790"/>
      <c r="PZE88" s="790"/>
      <c r="PZF88" s="790"/>
      <c r="PZG88" s="790"/>
      <c r="PZH88" s="790"/>
      <c r="PZI88" s="790"/>
      <c r="PZJ88" s="790"/>
      <c r="PZK88" s="790"/>
      <c r="PZL88" s="790"/>
      <c r="PZM88" s="790"/>
      <c r="PZN88" s="790"/>
      <c r="PZO88" s="790"/>
      <c r="PZP88" s="790"/>
      <c r="PZQ88" s="790"/>
      <c r="PZR88" s="790"/>
      <c r="PZS88" s="790"/>
      <c r="PZT88" s="790"/>
      <c r="PZU88" s="790"/>
      <c r="PZV88" s="790"/>
      <c r="PZW88" s="790"/>
      <c r="PZX88" s="790"/>
      <c r="PZY88" s="790"/>
      <c r="PZZ88" s="790"/>
      <c r="QAA88" s="790"/>
      <c r="QAB88" s="790"/>
      <c r="QAC88" s="790"/>
      <c r="QAD88" s="790"/>
      <c r="QAE88" s="790"/>
      <c r="QAF88" s="790"/>
      <c r="QAG88" s="790"/>
      <c r="QAH88" s="790"/>
      <c r="QAI88" s="790"/>
      <c r="QAJ88" s="790"/>
      <c r="QAK88" s="790"/>
      <c r="QAL88" s="790"/>
      <c r="QAM88" s="790"/>
      <c r="QAN88" s="790"/>
      <c r="QAO88" s="790"/>
      <c r="QAP88" s="790"/>
      <c r="QAQ88" s="790"/>
      <c r="QAR88" s="790"/>
      <c r="QAS88" s="790"/>
      <c r="QAT88" s="790"/>
      <c r="QAU88" s="790"/>
      <c r="QAV88" s="790"/>
      <c r="QAW88" s="790"/>
      <c r="QAX88" s="790"/>
      <c r="QAY88" s="790"/>
      <c r="QAZ88" s="790"/>
      <c r="QBA88" s="790"/>
      <c r="QBB88" s="790"/>
      <c r="QBC88" s="790"/>
      <c r="QBD88" s="790"/>
      <c r="QBE88" s="790"/>
      <c r="QBF88" s="790"/>
      <c r="QBG88" s="790"/>
      <c r="QBH88" s="790"/>
      <c r="QBI88" s="790"/>
      <c r="QBJ88" s="790"/>
      <c r="QBK88" s="790"/>
      <c r="QBL88" s="790"/>
      <c r="QBM88" s="790"/>
      <c r="QBN88" s="790"/>
      <c r="QBO88" s="790"/>
      <c r="QBP88" s="790"/>
      <c r="QBQ88" s="790"/>
      <c r="QBR88" s="790"/>
      <c r="QBS88" s="790"/>
      <c r="QBT88" s="790"/>
      <c r="QBU88" s="790"/>
      <c r="QBV88" s="790"/>
      <c r="QBW88" s="790"/>
      <c r="QBX88" s="790"/>
      <c r="QBY88" s="790"/>
      <c r="QBZ88" s="790"/>
      <c r="QCA88" s="790"/>
      <c r="QCB88" s="790"/>
      <c r="QCC88" s="790"/>
      <c r="QCD88" s="790"/>
      <c r="QCE88" s="790"/>
      <c r="QCF88" s="790"/>
      <c r="QCG88" s="790"/>
      <c r="QCH88" s="790"/>
      <c r="QCI88" s="790"/>
      <c r="QCJ88" s="790"/>
      <c r="QCK88" s="790"/>
      <c r="QCL88" s="790"/>
      <c r="QCM88" s="790"/>
      <c r="QCN88" s="790"/>
      <c r="QCO88" s="790"/>
      <c r="QCP88" s="790"/>
      <c r="QCQ88" s="790"/>
      <c r="QCR88" s="790"/>
      <c r="QCS88" s="790"/>
      <c r="QCT88" s="790"/>
      <c r="QCU88" s="790"/>
      <c r="QCV88" s="790"/>
      <c r="QCW88" s="790"/>
      <c r="QCX88" s="790"/>
      <c r="QCY88" s="790"/>
      <c r="QCZ88" s="790"/>
      <c r="QDA88" s="790"/>
      <c r="QDB88" s="790"/>
      <c r="QDC88" s="790"/>
      <c r="QDD88" s="790"/>
      <c r="QDE88" s="790"/>
      <c r="QDF88" s="790"/>
      <c r="QDG88" s="790"/>
      <c r="QDH88" s="790"/>
      <c r="QDI88" s="790"/>
      <c r="QDJ88" s="790"/>
      <c r="QDK88" s="790"/>
      <c r="QDL88" s="790"/>
      <c r="QDM88" s="790"/>
      <c r="QDN88" s="790"/>
      <c r="QDO88" s="790"/>
      <c r="QDP88" s="790"/>
      <c r="QDQ88" s="790"/>
      <c r="QDR88" s="790"/>
      <c r="QDS88" s="790"/>
      <c r="QDT88" s="790"/>
      <c r="QDU88" s="790"/>
      <c r="QDV88" s="790"/>
      <c r="QDW88" s="790"/>
      <c r="QDX88" s="790"/>
      <c r="QDY88" s="790"/>
      <c r="QDZ88" s="790"/>
      <c r="QEA88" s="790"/>
      <c r="QEB88" s="790"/>
      <c r="QEC88" s="790"/>
      <c r="QED88" s="790"/>
      <c r="QEE88" s="790"/>
      <c r="QEF88" s="790"/>
      <c r="QEG88" s="790"/>
      <c r="QEH88" s="790"/>
      <c r="QEI88" s="790"/>
      <c r="QEJ88" s="790"/>
      <c r="QEK88" s="790"/>
      <c r="QEL88" s="790"/>
      <c r="QEM88" s="790"/>
      <c r="QEN88" s="790"/>
      <c r="QEO88" s="790"/>
      <c r="QEP88" s="790"/>
      <c r="QEQ88" s="790"/>
      <c r="QER88" s="790"/>
      <c r="QES88" s="790"/>
      <c r="QET88" s="790"/>
      <c r="QEU88" s="790"/>
      <c r="QEV88" s="790"/>
      <c r="QEW88" s="790"/>
      <c r="QEX88" s="790"/>
      <c r="QEY88" s="790"/>
      <c r="QEZ88" s="790"/>
      <c r="QFA88" s="790"/>
      <c r="QFB88" s="790"/>
      <c r="QFC88" s="790"/>
      <c r="QFD88" s="790"/>
      <c r="QFE88" s="790"/>
      <c r="QFF88" s="790"/>
      <c r="QFG88" s="790"/>
      <c r="QFH88" s="790"/>
      <c r="QFI88" s="790"/>
      <c r="QFJ88" s="790"/>
      <c r="QFK88" s="790"/>
      <c r="QFL88" s="790"/>
      <c r="QFM88" s="790"/>
      <c r="QFN88" s="790"/>
      <c r="QFO88" s="790"/>
      <c r="QFP88" s="790"/>
      <c r="QFQ88" s="790"/>
      <c r="QFR88" s="790"/>
      <c r="QFS88" s="790"/>
      <c r="QFT88" s="790"/>
      <c r="QFU88" s="790"/>
      <c r="QFV88" s="790"/>
      <c r="QFW88" s="790"/>
      <c r="QFX88" s="790"/>
      <c r="QFY88" s="790"/>
      <c r="QFZ88" s="790"/>
      <c r="QGA88" s="790"/>
      <c r="QGB88" s="790"/>
      <c r="QGC88" s="790"/>
      <c r="QGD88" s="790"/>
      <c r="QGE88" s="790"/>
      <c r="QGF88" s="790"/>
      <c r="QGG88" s="790"/>
      <c r="QGH88" s="790"/>
      <c r="QGI88" s="790"/>
      <c r="QGJ88" s="790"/>
      <c r="QGK88" s="790"/>
      <c r="QGL88" s="790"/>
      <c r="QGM88" s="790"/>
      <c r="QGN88" s="790"/>
      <c r="QGO88" s="790"/>
      <c r="QGP88" s="790"/>
      <c r="QGQ88" s="790"/>
      <c r="QGR88" s="790"/>
      <c r="QGS88" s="790"/>
      <c r="QGT88" s="790"/>
      <c r="QGU88" s="790"/>
      <c r="QGV88" s="790"/>
      <c r="QGW88" s="790"/>
      <c r="QGX88" s="790"/>
      <c r="QGY88" s="790"/>
      <c r="QGZ88" s="790"/>
      <c r="QHA88" s="790"/>
      <c r="QHB88" s="790"/>
      <c r="QHC88" s="790"/>
      <c r="QHD88" s="790"/>
      <c r="QHE88" s="790"/>
      <c r="QHF88" s="790"/>
      <c r="QHG88" s="790"/>
      <c r="QHH88" s="790"/>
      <c r="QHI88" s="790"/>
      <c r="QHJ88" s="790"/>
      <c r="QHK88" s="790"/>
      <c r="QHL88" s="790"/>
      <c r="QHM88" s="790"/>
      <c r="QHN88" s="790"/>
      <c r="QHO88" s="790"/>
      <c r="QHP88" s="790"/>
      <c r="QHQ88" s="790"/>
      <c r="QHR88" s="790"/>
      <c r="QHS88" s="790"/>
      <c r="QHT88" s="790"/>
      <c r="QHU88" s="790"/>
      <c r="QHV88" s="790"/>
      <c r="QHW88" s="790"/>
      <c r="QHX88" s="790"/>
      <c r="QHY88" s="790"/>
      <c r="QHZ88" s="790"/>
      <c r="QIA88" s="790"/>
      <c r="QIB88" s="790"/>
      <c r="QIC88" s="790"/>
      <c r="QID88" s="790"/>
      <c r="QIE88" s="790"/>
      <c r="QIF88" s="790"/>
      <c r="QIG88" s="790"/>
      <c r="QIH88" s="790"/>
      <c r="QII88" s="790"/>
      <c r="QIJ88" s="790"/>
      <c r="QIK88" s="790"/>
      <c r="QIL88" s="790"/>
      <c r="QIM88" s="790"/>
      <c r="QIN88" s="790"/>
      <c r="QIO88" s="790"/>
      <c r="QIP88" s="790"/>
      <c r="QIQ88" s="790"/>
      <c r="QIR88" s="790"/>
      <c r="QIS88" s="790"/>
      <c r="QIT88" s="790"/>
      <c r="QIU88" s="790"/>
      <c r="QIV88" s="790"/>
      <c r="QIW88" s="790"/>
      <c r="QIX88" s="790"/>
      <c r="QIY88" s="790"/>
      <c r="QIZ88" s="790"/>
      <c r="QJA88" s="790"/>
      <c r="QJB88" s="790"/>
      <c r="QJC88" s="790"/>
      <c r="QJD88" s="790"/>
      <c r="QJE88" s="790"/>
      <c r="QJF88" s="790"/>
      <c r="QJG88" s="790"/>
      <c r="QJH88" s="790"/>
      <c r="QJI88" s="790"/>
      <c r="QJJ88" s="790"/>
      <c r="QJK88" s="790"/>
      <c r="QJL88" s="790"/>
      <c r="QJM88" s="790"/>
      <c r="QJN88" s="790"/>
      <c r="QJO88" s="790"/>
      <c r="QJP88" s="790"/>
      <c r="QJQ88" s="790"/>
      <c r="QJR88" s="790"/>
      <c r="QJS88" s="790"/>
      <c r="QJT88" s="790"/>
      <c r="QJU88" s="790"/>
      <c r="QJV88" s="790"/>
      <c r="QJW88" s="790"/>
      <c r="QJX88" s="790"/>
      <c r="QJY88" s="790"/>
      <c r="QJZ88" s="790"/>
      <c r="QKA88" s="790"/>
      <c r="QKB88" s="790"/>
      <c r="QKC88" s="790"/>
      <c r="QKD88" s="790"/>
      <c r="QKE88" s="790"/>
      <c r="QKF88" s="790"/>
      <c r="QKG88" s="790"/>
      <c r="QKH88" s="790"/>
      <c r="QKI88" s="790"/>
      <c r="QKJ88" s="790"/>
      <c r="QKK88" s="790"/>
      <c r="QKL88" s="790"/>
      <c r="QKM88" s="790"/>
      <c r="QKN88" s="790"/>
      <c r="QKO88" s="790"/>
      <c r="QKP88" s="790"/>
      <c r="QKQ88" s="790"/>
      <c r="QKR88" s="790"/>
      <c r="QKS88" s="790"/>
      <c r="QKT88" s="790"/>
      <c r="QKU88" s="790"/>
      <c r="QKV88" s="790"/>
      <c r="QKW88" s="790"/>
      <c r="QKX88" s="790"/>
      <c r="QKY88" s="790"/>
      <c r="QKZ88" s="790"/>
      <c r="QLA88" s="790"/>
      <c r="QLB88" s="790"/>
      <c r="QLC88" s="790"/>
      <c r="QLD88" s="790"/>
      <c r="QLE88" s="790"/>
      <c r="QLF88" s="790"/>
      <c r="QLG88" s="790"/>
      <c r="QLH88" s="790"/>
      <c r="QLI88" s="790"/>
      <c r="QLJ88" s="790"/>
      <c r="QLK88" s="790"/>
      <c r="QLL88" s="790"/>
      <c r="QLM88" s="790"/>
      <c r="QLN88" s="790"/>
      <c r="QLO88" s="790"/>
      <c r="QLP88" s="790"/>
      <c r="QLQ88" s="790"/>
      <c r="QLR88" s="790"/>
      <c r="QLS88" s="790"/>
      <c r="QLT88" s="790"/>
      <c r="QLU88" s="790"/>
      <c r="QLV88" s="790"/>
      <c r="QLW88" s="790"/>
      <c r="QLX88" s="790"/>
      <c r="QLY88" s="790"/>
      <c r="QLZ88" s="790"/>
      <c r="QMA88" s="790"/>
      <c r="QMB88" s="790"/>
      <c r="QMC88" s="790"/>
      <c r="QMD88" s="790"/>
      <c r="QME88" s="790"/>
      <c r="QMF88" s="790"/>
      <c r="QMG88" s="790"/>
      <c r="QMH88" s="790"/>
      <c r="QMI88" s="790"/>
      <c r="QMJ88" s="790"/>
      <c r="QMK88" s="790"/>
      <c r="QML88" s="790"/>
      <c r="QMM88" s="790"/>
      <c r="QMN88" s="790"/>
      <c r="QMO88" s="790"/>
      <c r="QMP88" s="790"/>
      <c r="QMQ88" s="790"/>
      <c r="QMR88" s="790"/>
      <c r="QMS88" s="790"/>
      <c r="QMT88" s="790"/>
      <c r="QMU88" s="790"/>
      <c r="QMV88" s="790"/>
      <c r="QMW88" s="790"/>
      <c r="QMX88" s="790"/>
      <c r="QMY88" s="790"/>
      <c r="QMZ88" s="790"/>
      <c r="QNA88" s="790"/>
      <c r="QNB88" s="790"/>
      <c r="QNC88" s="790"/>
      <c r="QND88" s="790"/>
      <c r="QNE88" s="790"/>
      <c r="QNF88" s="790"/>
      <c r="QNG88" s="790"/>
      <c r="QNH88" s="790"/>
      <c r="QNI88" s="790"/>
      <c r="QNJ88" s="790"/>
      <c r="QNK88" s="790"/>
      <c r="QNL88" s="790"/>
      <c r="QNM88" s="790"/>
      <c r="QNN88" s="790"/>
      <c r="QNO88" s="790"/>
      <c r="QNP88" s="790"/>
      <c r="QNQ88" s="790"/>
      <c r="QNR88" s="790"/>
      <c r="QNS88" s="790"/>
      <c r="QNT88" s="790"/>
      <c r="QNU88" s="790"/>
      <c r="QNV88" s="790"/>
      <c r="QNW88" s="790"/>
      <c r="QNX88" s="790"/>
      <c r="QNY88" s="790"/>
      <c r="QNZ88" s="790"/>
      <c r="QOA88" s="790"/>
      <c r="QOB88" s="790"/>
      <c r="QOC88" s="790"/>
      <c r="QOD88" s="790"/>
      <c r="QOE88" s="790"/>
      <c r="QOF88" s="790"/>
      <c r="QOG88" s="790"/>
      <c r="QOH88" s="790"/>
      <c r="QOI88" s="790"/>
      <c r="QOJ88" s="790"/>
      <c r="QOK88" s="790"/>
      <c r="QOL88" s="790"/>
      <c r="QOM88" s="790"/>
      <c r="QON88" s="790"/>
      <c r="QOO88" s="790"/>
      <c r="QOP88" s="790"/>
      <c r="QOQ88" s="790"/>
      <c r="QOR88" s="790"/>
      <c r="QOS88" s="790"/>
      <c r="QOT88" s="790"/>
      <c r="QOU88" s="790"/>
      <c r="QOV88" s="790"/>
      <c r="QOW88" s="790"/>
      <c r="QOX88" s="790"/>
      <c r="QOY88" s="790"/>
      <c r="QOZ88" s="790"/>
      <c r="QPA88" s="790"/>
      <c r="QPB88" s="790"/>
      <c r="QPC88" s="790"/>
      <c r="QPD88" s="790"/>
      <c r="QPE88" s="790"/>
      <c r="QPF88" s="790"/>
      <c r="QPG88" s="790"/>
      <c r="QPH88" s="790"/>
      <c r="QPI88" s="790"/>
      <c r="QPJ88" s="790"/>
      <c r="QPK88" s="790"/>
      <c r="QPL88" s="790"/>
      <c r="QPM88" s="790"/>
      <c r="QPN88" s="790"/>
      <c r="QPO88" s="790"/>
      <c r="QPP88" s="790"/>
      <c r="QPQ88" s="790"/>
      <c r="QPR88" s="790"/>
      <c r="QPS88" s="790"/>
      <c r="QPT88" s="790"/>
      <c r="QPU88" s="790"/>
      <c r="QPV88" s="790"/>
      <c r="QPW88" s="790"/>
      <c r="QPX88" s="790"/>
      <c r="QPY88" s="790"/>
      <c r="QPZ88" s="790"/>
      <c r="QQA88" s="790"/>
      <c r="QQB88" s="790"/>
      <c r="QQC88" s="790"/>
      <c r="QQD88" s="790"/>
      <c r="QQE88" s="790"/>
      <c r="QQF88" s="790"/>
      <c r="QQG88" s="790"/>
      <c r="QQH88" s="790"/>
      <c r="QQI88" s="790"/>
      <c r="QQJ88" s="790"/>
      <c r="QQK88" s="790"/>
      <c r="QQL88" s="790"/>
      <c r="QQM88" s="790"/>
      <c r="QQN88" s="790"/>
      <c r="QQO88" s="790"/>
      <c r="QQP88" s="790"/>
      <c r="QQQ88" s="790"/>
      <c r="QQR88" s="790"/>
      <c r="QQS88" s="790"/>
      <c r="QQT88" s="790"/>
      <c r="QQU88" s="790"/>
      <c r="QQV88" s="790"/>
      <c r="QQW88" s="790"/>
      <c r="QQX88" s="790"/>
      <c r="QQY88" s="790"/>
      <c r="QQZ88" s="790"/>
      <c r="QRA88" s="790"/>
      <c r="QRB88" s="790"/>
      <c r="QRC88" s="790"/>
      <c r="QRD88" s="790"/>
      <c r="QRE88" s="790"/>
      <c r="QRF88" s="790"/>
      <c r="QRG88" s="790"/>
      <c r="QRH88" s="790"/>
      <c r="QRI88" s="790"/>
      <c r="QRJ88" s="790"/>
      <c r="QRK88" s="790"/>
      <c r="QRL88" s="790"/>
      <c r="QRM88" s="790"/>
      <c r="QRN88" s="790"/>
      <c r="QRO88" s="790"/>
      <c r="QRP88" s="790"/>
      <c r="QRQ88" s="790"/>
      <c r="QRR88" s="790"/>
      <c r="QRS88" s="790"/>
      <c r="QRT88" s="790"/>
      <c r="QRU88" s="790"/>
      <c r="QRV88" s="790"/>
      <c r="QRW88" s="790"/>
      <c r="QRX88" s="790"/>
      <c r="QRY88" s="790"/>
      <c r="QRZ88" s="790"/>
      <c r="QSA88" s="790"/>
      <c r="QSB88" s="790"/>
      <c r="QSC88" s="790"/>
      <c r="QSD88" s="790"/>
      <c r="QSE88" s="790"/>
      <c r="QSF88" s="790"/>
      <c r="QSG88" s="790"/>
      <c r="QSH88" s="790"/>
      <c r="QSI88" s="790"/>
      <c r="QSJ88" s="790"/>
      <c r="QSK88" s="790"/>
      <c r="QSL88" s="790"/>
      <c r="QSM88" s="790"/>
      <c r="QSN88" s="790"/>
      <c r="QSO88" s="790"/>
      <c r="QSP88" s="790"/>
      <c r="QSQ88" s="790"/>
      <c r="QSR88" s="790"/>
      <c r="QSS88" s="790"/>
      <c r="QST88" s="790"/>
      <c r="QSU88" s="790"/>
      <c r="QSV88" s="790"/>
      <c r="QSW88" s="790"/>
      <c r="QSX88" s="790"/>
      <c r="QSY88" s="790"/>
      <c r="QSZ88" s="790"/>
      <c r="QTA88" s="790"/>
      <c r="QTB88" s="790"/>
      <c r="QTC88" s="790"/>
      <c r="QTD88" s="790"/>
      <c r="QTE88" s="790"/>
      <c r="QTF88" s="790"/>
      <c r="QTG88" s="790"/>
      <c r="QTH88" s="790"/>
      <c r="QTI88" s="790"/>
      <c r="QTJ88" s="790"/>
      <c r="QTK88" s="790"/>
      <c r="QTL88" s="790"/>
      <c r="QTM88" s="790"/>
      <c r="QTN88" s="790"/>
      <c r="QTO88" s="790"/>
      <c r="QTP88" s="790"/>
      <c r="QTQ88" s="790"/>
      <c r="QTR88" s="790"/>
      <c r="QTS88" s="790"/>
      <c r="QTT88" s="790"/>
      <c r="QTU88" s="790"/>
      <c r="QTV88" s="790"/>
      <c r="QTW88" s="790"/>
      <c r="QTX88" s="790"/>
      <c r="QTY88" s="790"/>
      <c r="QTZ88" s="790"/>
      <c r="QUA88" s="790"/>
      <c r="QUB88" s="790"/>
      <c r="QUC88" s="790"/>
      <c r="QUD88" s="790"/>
      <c r="QUE88" s="790"/>
      <c r="QUF88" s="790"/>
      <c r="QUG88" s="790"/>
      <c r="QUH88" s="790"/>
      <c r="QUI88" s="790"/>
      <c r="QUJ88" s="790"/>
      <c r="QUK88" s="790"/>
      <c r="QUL88" s="790"/>
      <c r="QUM88" s="790"/>
      <c r="QUN88" s="790"/>
      <c r="QUO88" s="790"/>
      <c r="QUP88" s="790"/>
      <c r="QUQ88" s="790"/>
      <c r="QUR88" s="790"/>
      <c r="QUS88" s="790"/>
      <c r="QUT88" s="790"/>
      <c r="QUU88" s="790"/>
      <c r="QUV88" s="790"/>
      <c r="QUW88" s="790"/>
      <c r="QUX88" s="790"/>
      <c r="QUY88" s="790"/>
      <c r="QUZ88" s="790"/>
      <c r="QVA88" s="790"/>
      <c r="QVB88" s="790"/>
      <c r="QVC88" s="790"/>
      <c r="QVD88" s="790"/>
      <c r="QVE88" s="790"/>
      <c r="QVF88" s="790"/>
      <c r="QVG88" s="790"/>
      <c r="QVH88" s="790"/>
      <c r="QVI88" s="790"/>
      <c r="QVJ88" s="790"/>
      <c r="QVK88" s="790"/>
      <c r="QVL88" s="790"/>
      <c r="QVM88" s="790"/>
      <c r="QVN88" s="790"/>
      <c r="QVO88" s="790"/>
      <c r="QVP88" s="790"/>
      <c r="QVQ88" s="790"/>
      <c r="QVR88" s="790"/>
      <c r="QVS88" s="790"/>
      <c r="QVT88" s="790"/>
      <c r="QVU88" s="790"/>
      <c r="QVV88" s="790"/>
      <c r="QVW88" s="790"/>
      <c r="QVX88" s="790"/>
      <c r="QVY88" s="790"/>
      <c r="QVZ88" s="790"/>
      <c r="QWA88" s="790"/>
      <c r="QWB88" s="790"/>
      <c r="QWC88" s="790"/>
      <c r="QWD88" s="790"/>
      <c r="QWE88" s="790"/>
      <c r="QWF88" s="790"/>
      <c r="QWG88" s="790"/>
      <c r="QWH88" s="790"/>
      <c r="QWI88" s="790"/>
      <c r="QWJ88" s="790"/>
      <c r="QWK88" s="790"/>
      <c r="QWL88" s="790"/>
      <c r="QWM88" s="790"/>
      <c r="QWN88" s="790"/>
      <c r="QWO88" s="790"/>
      <c r="QWP88" s="790"/>
      <c r="QWQ88" s="790"/>
      <c r="QWR88" s="790"/>
      <c r="QWS88" s="790"/>
      <c r="QWT88" s="790"/>
      <c r="QWU88" s="790"/>
      <c r="QWV88" s="790"/>
      <c r="QWW88" s="790"/>
      <c r="QWX88" s="790"/>
      <c r="QWY88" s="790"/>
      <c r="QWZ88" s="790"/>
      <c r="QXA88" s="790"/>
      <c r="QXB88" s="790"/>
      <c r="QXC88" s="790"/>
      <c r="QXD88" s="790"/>
      <c r="QXE88" s="790"/>
      <c r="QXF88" s="790"/>
      <c r="QXG88" s="790"/>
      <c r="QXH88" s="790"/>
      <c r="QXI88" s="790"/>
      <c r="QXJ88" s="790"/>
      <c r="QXK88" s="790"/>
      <c r="QXL88" s="790"/>
      <c r="QXM88" s="790"/>
      <c r="QXN88" s="790"/>
      <c r="QXO88" s="790"/>
      <c r="QXP88" s="790"/>
      <c r="QXQ88" s="790"/>
      <c r="QXR88" s="790"/>
      <c r="QXS88" s="790"/>
      <c r="QXT88" s="790"/>
      <c r="QXU88" s="790"/>
      <c r="QXV88" s="790"/>
      <c r="QXW88" s="790"/>
      <c r="QXX88" s="790"/>
      <c r="QXY88" s="790"/>
      <c r="QXZ88" s="790"/>
      <c r="QYA88" s="790"/>
      <c r="QYB88" s="790"/>
      <c r="QYC88" s="790"/>
      <c r="QYD88" s="790"/>
      <c r="QYE88" s="790"/>
      <c r="QYF88" s="790"/>
      <c r="QYG88" s="790"/>
      <c r="QYH88" s="790"/>
      <c r="QYI88" s="790"/>
      <c r="QYJ88" s="790"/>
      <c r="QYK88" s="790"/>
      <c r="QYL88" s="790"/>
      <c r="QYM88" s="790"/>
      <c r="QYN88" s="790"/>
      <c r="QYO88" s="790"/>
      <c r="QYP88" s="790"/>
      <c r="QYQ88" s="790"/>
      <c r="QYR88" s="790"/>
      <c r="QYS88" s="790"/>
      <c r="QYT88" s="790"/>
      <c r="QYU88" s="790"/>
      <c r="QYV88" s="790"/>
      <c r="QYW88" s="790"/>
      <c r="QYX88" s="790"/>
      <c r="QYY88" s="790"/>
      <c r="QYZ88" s="790"/>
      <c r="QZA88" s="790"/>
      <c r="QZB88" s="790"/>
      <c r="QZC88" s="790"/>
      <c r="QZD88" s="790"/>
      <c r="QZE88" s="790"/>
      <c r="QZF88" s="790"/>
      <c r="QZG88" s="790"/>
      <c r="QZH88" s="790"/>
      <c r="QZI88" s="790"/>
      <c r="QZJ88" s="790"/>
      <c r="QZK88" s="790"/>
      <c r="QZL88" s="790"/>
      <c r="QZM88" s="790"/>
      <c r="QZN88" s="790"/>
      <c r="QZO88" s="790"/>
      <c r="QZP88" s="790"/>
      <c r="QZQ88" s="790"/>
      <c r="QZR88" s="790"/>
      <c r="QZS88" s="790"/>
      <c r="QZT88" s="790"/>
      <c r="QZU88" s="790"/>
      <c r="QZV88" s="790"/>
      <c r="QZW88" s="790"/>
      <c r="QZX88" s="790"/>
      <c r="QZY88" s="790"/>
      <c r="QZZ88" s="790"/>
      <c r="RAA88" s="790"/>
      <c r="RAB88" s="790"/>
      <c r="RAC88" s="790"/>
      <c r="RAD88" s="790"/>
      <c r="RAE88" s="790"/>
      <c r="RAF88" s="790"/>
      <c r="RAG88" s="790"/>
      <c r="RAH88" s="790"/>
      <c r="RAI88" s="790"/>
      <c r="RAJ88" s="790"/>
      <c r="RAK88" s="790"/>
      <c r="RAL88" s="790"/>
      <c r="RAM88" s="790"/>
      <c r="RAN88" s="790"/>
      <c r="RAO88" s="790"/>
      <c r="RAP88" s="790"/>
      <c r="RAQ88" s="790"/>
      <c r="RAR88" s="790"/>
      <c r="RAS88" s="790"/>
      <c r="RAT88" s="790"/>
      <c r="RAU88" s="790"/>
      <c r="RAV88" s="790"/>
      <c r="RAW88" s="790"/>
      <c r="RAX88" s="790"/>
      <c r="RAY88" s="790"/>
      <c r="RAZ88" s="790"/>
      <c r="RBA88" s="790"/>
      <c r="RBB88" s="790"/>
      <c r="RBC88" s="790"/>
      <c r="RBD88" s="790"/>
      <c r="RBE88" s="790"/>
      <c r="RBF88" s="790"/>
      <c r="RBG88" s="790"/>
      <c r="RBH88" s="790"/>
      <c r="RBI88" s="790"/>
      <c r="RBJ88" s="790"/>
      <c r="RBK88" s="790"/>
      <c r="RBL88" s="790"/>
      <c r="RBM88" s="790"/>
      <c r="RBN88" s="790"/>
      <c r="RBO88" s="790"/>
      <c r="RBP88" s="790"/>
      <c r="RBQ88" s="790"/>
      <c r="RBR88" s="790"/>
      <c r="RBS88" s="790"/>
      <c r="RBT88" s="790"/>
      <c r="RBU88" s="790"/>
      <c r="RBV88" s="790"/>
      <c r="RBW88" s="790"/>
      <c r="RBX88" s="790"/>
      <c r="RBY88" s="790"/>
      <c r="RBZ88" s="790"/>
      <c r="RCA88" s="790"/>
      <c r="RCB88" s="790"/>
      <c r="RCC88" s="790"/>
      <c r="RCD88" s="790"/>
      <c r="RCE88" s="790"/>
      <c r="RCF88" s="790"/>
      <c r="RCG88" s="790"/>
      <c r="RCH88" s="790"/>
      <c r="RCI88" s="790"/>
      <c r="RCJ88" s="790"/>
      <c r="RCK88" s="790"/>
      <c r="RCL88" s="790"/>
      <c r="RCM88" s="790"/>
      <c r="RCN88" s="790"/>
      <c r="RCO88" s="790"/>
      <c r="RCP88" s="790"/>
      <c r="RCQ88" s="790"/>
      <c r="RCR88" s="790"/>
      <c r="RCS88" s="790"/>
      <c r="RCT88" s="790"/>
      <c r="RCU88" s="790"/>
      <c r="RCV88" s="790"/>
      <c r="RCW88" s="790"/>
      <c r="RCX88" s="790"/>
      <c r="RCY88" s="790"/>
      <c r="RCZ88" s="790"/>
      <c r="RDA88" s="790"/>
      <c r="RDB88" s="790"/>
      <c r="RDC88" s="790"/>
      <c r="RDD88" s="790"/>
      <c r="RDE88" s="790"/>
      <c r="RDF88" s="790"/>
      <c r="RDG88" s="790"/>
      <c r="RDH88" s="790"/>
      <c r="RDI88" s="790"/>
      <c r="RDJ88" s="790"/>
      <c r="RDK88" s="790"/>
      <c r="RDL88" s="790"/>
      <c r="RDM88" s="790"/>
      <c r="RDN88" s="790"/>
      <c r="RDO88" s="790"/>
      <c r="RDP88" s="790"/>
      <c r="RDQ88" s="790"/>
      <c r="RDR88" s="790"/>
      <c r="RDS88" s="790"/>
      <c r="RDT88" s="790"/>
      <c r="RDU88" s="790"/>
      <c r="RDV88" s="790"/>
      <c r="RDW88" s="790"/>
      <c r="RDX88" s="790"/>
      <c r="RDY88" s="790"/>
      <c r="RDZ88" s="790"/>
      <c r="REA88" s="790"/>
      <c r="REB88" s="790"/>
      <c r="REC88" s="790"/>
      <c r="RED88" s="790"/>
      <c r="REE88" s="790"/>
      <c r="REF88" s="790"/>
      <c r="REG88" s="790"/>
      <c r="REH88" s="790"/>
      <c r="REI88" s="790"/>
      <c r="REJ88" s="790"/>
      <c r="REK88" s="790"/>
      <c r="REL88" s="790"/>
      <c r="REM88" s="790"/>
      <c r="REN88" s="790"/>
      <c r="REO88" s="790"/>
      <c r="REP88" s="790"/>
      <c r="REQ88" s="790"/>
      <c r="RER88" s="790"/>
      <c r="RES88" s="790"/>
      <c r="RET88" s="790"/>
      <c r="REU88" s="790"/>
      <c r="REV88" s="790"/>
      <c r="REW88" s="790"/>
      <c r="REX88" s="790"/>
      <c r="REY88" s="790"/>
      <c r="REZ88" s="790"/>
      <c r="RFA88" s="790"/>
      <c r="RFB88" s="790"/>
      <c r="RFC88" s="790"/>
      <c r="RFD88" s="790"/>
      <c r="RFE88" s="790"/>
      <c r="RFF88" s="790"/>
      <c r="RFG88" s="790"/>
      <c r="RFH88" s="790"/>
      <c r="RFI88" s="790"/>
      <c r="RFJ88" s="790"/>
      <c r="RFK88" s="790"/>
      <c r="RFL88" s="790"/>
      <c r="RFM88" s="790"/>
      <c r="RFN88" s="790"/>
      <c r="RFO88" s="790"/>
      <c r="RFP88" s="790"/>
      <c r="RFQ88" s="790"/>
      <c r="RFR88" s="790"/>
      <c r="RFS88" s="790"/>
      <c r="RFT88" s="790"/>
      <c r="RFU88" s="790"/>
      <c r="RFV88" s="790"/>
      <c r="RFW88" s="790"/>
      <c r="RFX88" s="790"/>
      <c r="RFY88" s="790"/>
      <c r="RFZ88" s="790"/>
      <c r="RGA88" s="790"/>
      <c r="RGB88" s="790"/>
      <c r="RGC88" s="790"/>
      <c r="RGD88" s="790"/>
      <c r="RGE88" s="790"/>
      <c r="RGF88" s="790"/>
      <c r="RGG88" s="790"/>
      <c r="RGH88" s="790"/>
      <c r="RGI88" s="790"/>
      <c r="RGJ88" s="790"/>
      <c r="RGK88" s="790"/>
      <c r="RGL88" s="790"/>
      <c r="RGM88" s="790"/>
      <c r="RGN88" s="790"/>
      <c r="RGO88" s="790"/>
      <c r="RGP88" s="790"/>
      <c r="RGQ88" s="790"/>
      <c r="RGR88" s="790"/>
      <c r="RGS88" s="790"/>
      <c r="RGT88" s="790"/>
      <c r="RGU88" s="790"/>
      <c r="RGV88" s="790"/>
      <c r="RGW88" s="790"/>
      <c r="RGX88" s="790"/>
      <c r="RGY88" s="790"/>
      <c r="RGZ88" s="790"/>
      <c r="RHA88" s="790"/>
      <c r="RHB88" s="790"/>
      <c r="RHC88" s="790"/>
      <c r="RHD88" s="790"/>
      <c r="RHE88" s="790"/>
      <c r="RHF88" s="790"/>
      <c r="RHG88" s="790"/>
      <c r="RHH88" s="790"/>
      <c r="RHI88" s="790"/>
      <c r="RHJ88" s="790"/>
      <c r="RHK88" s="790"/>
      <c r="RHL88" s="790"/>
      <c r="RHM88" s="790"/>
      <c r="RHN88" s="790"/>
      <c r="RHO88" s="790"/>
      <c r="RHP88" s="790"/>
      <c r="RHQ88" s="790"/>
      <c r="RHR88" s="790"/>
      <c r="RHS88" s="790"/>
      <c r="RHT88" s="790"/>
      <c r="RHU88" s="790"/>
      <c r="RHV88" s="790"/>
      <c r="RHW88" s="790"/>
      <c r="RHX88" s="790"/>
      <c r="RHY88" s="790"/>
      <c r="RHZ88" s="790"/>
      <c r="RIA88" s="790"/>
      <c r="RIB88" s="790"/>
      <c r="RIC88" s="790"/>
      <c r="RID88" s="790"/>
      <c r="RIE88" s="790"/>
      <c r="RIF88" s="790"/>
      <c r="RIG88" s="790"/>
      <c r="RIH88" s="790"/>
      <c r="RII88" s="790"/>
      <c r="RIJ88" s="790"/>
      <c r="RIK88" s="790"/>
      <c r="RIL88" s="790"/>
      <c r="RIM88" s="790"/>
      <c r="RIN88" s="790"/>
      <c r="RIO88" s="790"/>
      <c r="RIP88" s="790"/>
      <c r="RIQ88" s="790"/>
      <c r="RIR88" s="790"/>
      <c r="RIS88" s="790"/>
      <c r="RIT88" s="790"/>
      <c r="RIU88" s="790"/>
      <c r="RIV88" s="790"/>
      <c r="RIW88" s="790"/>
      <c r="RIX88" s="790"/>
      <c r="RIY88" s="790"/>
      <c r="RIZ88" s="790"/>
      <c r="RJA88" s="790"/>
      <c r="RJB88" s="790"/>
      <c r="RJC88" s="790"/>
      <c r="RJD88" s="790"/>
      <c r="RJE88" s="790"/>
      <c r="RJF88" s="790"/>
      <c r="RJG88" s="790"/>
      <c r="RJH88" s="790"/>
      <c r="RJI88" s="790"/>
      <c r="RJJ88" s="790"/>
      <c r="RJK88" s="790"/>
      <c r="RJL88" s="790"/>
      <c r="RJM88" s="790"/>
      <c r="RJN88" s="790"/>
      <c r="RJO88" s="790"/>
      <c r="RJP88" s="790"/>
      <c r="RJQ88" s="790"/>
      <c r="RJR88" s="790"/>
      <c r="RJS88" s="790"/>
      <c r="RJT88" s="790"/>
      <c r="RJU88" s="790"/>
      <c r="RJV88" s="790"/>
      <c r="RJW88" s="790"/>
      <c r="RJX88" s="790"/>
      <c r="RJY88" s="790"/>
      <c r="RJZ88" s="790"/>
      <c r="RKA88" s="790"/>
      <c r="RKB88" s="790"/>
      <c r="RKC88" s="790"/>
      <c r="RKD88" s="790"/>
      <c r="RKE88" s="790"/>
      <c r="RKF88" s="790"/>
      <c r="RKG88" s="790"/>
      <c r="RKH88" s="790"/>
      <c r="RKI88" s="790"/>
      <c r="RKJ88" s="790"/>
      <c r="RKK88" s="790"/>
      <c r="RKL88" s="790"/>
      <c r="RKM88" s="790"/>
      <c r="RKN88" s="790"/>
      <c r="RKO88" s="790"/>
      <c r="RKP88" s="790"/>
      <c r="RKQ88" s="790"/>
      <c r="RKR88" s="790"/>
      <c r="RKS88" s="790"/>
      <c r="RKT88" s="790"/>
      <c r="RKU88" s="790"/>
      <c r="RKV88" s="790"/>
      <c r="RKW88" s="790"/>
      <c r="RKX88" s="790"/>
      <c r="RKY88" s="790"/>
      <c r="RKZ88" s="790"/>
      <c r="RLA88" s="790"/>
      <c r="RLB88" s="790"/>
      <c r="RLC88" s="790"/>
      <c r="RLD88" s="790"/>
      <c r="RLE88" s="790"/>
      <c r="RLF88" s="790"/>
      <c r="RLG88" s="790"/>
      <c r="RLH88" s="790"/>
      <c r="RLI88" s="790"/>
      <c r="RLJ88" s="790"/>
      <c r="RLK88" s="790"/>
      <c r="RLL88" s="790"/>
      <c r="RLM88" s="790"/>
      <c r="RLN88" s="790"/>
      <c r="RLO88" s="790"/>
      <c r="RLP88" s="790"/>
      <c r="RLQ88" s="790"/>
      <c r="RLR88" s="790"/>
      <c r="RLS88" s="790"/>
      <c r="RLT88" s="790"/>
      <c r="RLU88" s="790"/>
      <c r="RLV88" s="790"/>
      <c r="RLW88" s="790"/>
      <c r="RLX88" s="790"/>
      <c r="RLY88" s="790"/>
      <c r="RLZ88" s="790"/>
      <c r="RMA88" s="790"/>
      <c r="RMB88" s="790"/>
      <c r="RMC88" s="790"/>
      <c r="RMD88" s="790"/>
      <c r="RME88" s="790"/>
      <c r="RMF88" s="790"/>
      <c r="RMG88" s="790"/>
      <c r="RMH88" s="790"/>
      <c r="RMI88" s="790"/>
      <c r="RMJ88" s="790"/>
      <c r="RMK88" s="790"/>
      <c r="RML88" s="790"/>
      <c r="RMM88" s="790"/>
      <c r="RMN88" s="790"/>
      <c r="RMO88" s="790"/>
      <c r="RMP88" s="790"/>
      <c r="RMQ88" s="790"/>
      <c r="RMR88" s="790"/>
      <c r="RMS88" s="790"/>
      <c r="RMT88" s="790"/>
      <c r="RMU88" s="790"/>
      <c r="RMV88" s="790"/>
      <c r="RMW88" s="790"/>
      <c r="RMX88" s="790"/>
      <c r="RMY88" s="790"/>
      <c r="RMZ88" s="790"/>
      <c r="RNA88" s="790"/>
      <c r="RNB88" s="790"/>
      <c r="RNC88" s="790"/>
      <c r="RND88" s="790"/>
      <c r="RNE88" s="790"/>
      <c r="RNF88" s="790"/>
      <c r="RNG88" s="790"/>
      <c r="RNH88" s="790"/>
      <c r="RNI88" s="790"/>
      <c r="RNJ88" s="790"/>
      <c r="RNK88" s="790"/>
      <c r="RNL88" s="790"/>
      <c r="RNM88" s="790"/>
      <c r="RNN88" s="790"/>
      <c r="RNO88" s="790"/>
      <c r="RNP88" s="790"/>
      <c r="RNQ88" s="790"/>
      <c r="RNR88" s="790"/>
      <c r="RNS88" s="790"/>
      <c r="RNT88" s="790"/>
      <c r="RNU88" s="790"/>
      <c r="RNV88" s="790"/>
      <c r="RNW88" s="790"/>
      <c r="RNX88" s="790"/>
      <c r="RNY88" s="790"/>
      <c r="RNZ88" s="790"/>
      <c r="ROA88" s="790"/>
      <c r="ROB88" s="790"/>
      <c r="ROC88" s="790"/>
      <c r="ROD88" s="790"/>
      <c r="ROE88" s="790"/>
      <c r="ROF88" s="790"/>
      <c r="ROG88" s="790"/>
      <c r="ROH88" s="790"/>
      <c r="ROI88" s="790"/>
      <c r="ROJ88" s="790"/>
      <c r="ROK88" s="790"/>
      <c r="ROL88" s="790"/>
      <c r="ROM88" s="790"/>
      <c r="RON88" s="790"/>
      <c r="ROO88" s="790"/>
      <c r="ROP88" s="790"/>
      <c r="ROQ88" s="790"/>
      <c r="ROR88" s="790"/>
      <c r="ROS88" s="790"/>
      <c r="ROT88" s="790"/>
      <c r="ROU88" s="790"/>
      <c r="ROV88" s="790"/>
      <c r="ROW88" s="790"/>
      <c r="ROX88" s="790"/>
      <c r="ROY88" s="790"/>
      <c r="ROZ88" s="790"/>
      <c r="RPA88" s="790"/>
      <c r="RPB88" s="790"/>
      <c r="RPC88" s="790"/>
      <c r="RPD88" s="790"/>
      <c r="RPE88" s="790"/>
      <c r="RPF88" s="790"/>
      <c r="RPG88" s="790"/>
      <c r="RPH88" s="790"/>
      <c r="RPI88" s="790"/>
      <c r="RPJ88" s="790"/>
      <c r="RPK88" s="790"/>
      <c r="RPL88" s="790"/>
      <c r="RPM88" s="790"/>
      <c r="RPN88" s="790"/>
      <c r="RPO88" s="790"/>
      <c r="RPP88" s="790"/>
      <c r="RPQ88" s="790"/>
      <c r="RPR88" s="790"/>
      <c r="RPS88" s="790"/>
      <c r="RPT88" s="790"/>
      <c r="RPU88" s="790"/>
      <c r="RPV88" s="790"/>
      <c r="RPW88" s="790"/>
      <c r="RPX88" s="790"/>
      <c r="RPY88" s="790"/>
      <c r="RPZ88" s="790"/>
      <c r="RQA88" s="790"/>
      <c r="RQB88" s="790"/>
      <c r="RQC88" s="790"/>
      <c r="RQD88" s="790"/>
      <c r="RQE88" s="790"/>
      <c r="RQF88" s="790"/>
      <c r="RQG88" s="790"/>
      <c r="RQH88" s="790"/>
      <c r="RQI88" s="790"/>
      <c r="RQJ88" s="790"/>
      <c r="RQK88" s="790"/>
      <c r="RQL88" s="790"/>
      <c r="RQM88" s="790"/>
      <c r="RQN88" s="790"/>
      <c r="RQO88" s="790"/>
      <c r="RQP88" s="790"/>
      <c r="RQQ88" s="790"/>
      <c r="RQR88" s="790"/>
      <c r="RQS88" s="790"/>
      <c r="RQT88" s="790"/>
      <c r="RQU88" s="790"/>
      <c r="RQV88" s="790"/>
      <c r="RQW88" s="790"/>
      <c r="RQX88" s="790"/>
      <c r="RQY88" s="790"/>
      <c r="RQZ88" s="790"/>
      <c r="RRA88" s="790"/>
      <c r="RRB88" s="790"/>
      <c r="RRC88" s="790"/>
      <c r="RRD88" s="790"/>
      <c r="RRE88" s="790"/>
      <c r="RRF88" s="790"/>
      <c r="RRG88" s="790"/>
      <c r="RRH88" s="790"/>
      <c r="RRI88" s="790"/>
      <c r="RRJ88" s="790"/>
      <c r="RRK88" s="790"/>
      <c r="RRL88" s="790"/>
      <c r="RRM88" s="790"/>
      <c r="RRN88" s="790"/>
      <c r="RRO88" s="790"/>
      <c r="RRP88" s="790"/>
      <c r="RRQ88" s="790"/>
      <c r="RRR88" s="790"/>
      <c r="RRS88" s="790"/>
      <c r="RRT88" s="790"/>
      <c r="RRU88" s="790"/>
      <c r="RRV88" s="790"/>
      <c r="RRW88" s="790"/>
      <c r="RRX88" s="790"/>
      <c r="RRY88" s="790"/>
      <c r="RRZ88" s="790"/>
      <c r="RSA88" s="790"/>
      <c r="RSB88" s="790"/>
      <c r="RSC88" s="790"/>
      <c r="RSD88" s="790"/>
      <c r="RSE88" s="790"/>
      <c r="RSF88" s="790"/>
      <c r="RSG88" s="790"/>
      <c r="RSH88" s="790"/>
      <c r="RSI88" s="790"/>
      <c r="RSJ88" s="790"/>
      <c r="RSK88" s="790"/>
      <c r="RSL88" s="790"/>
      <c r="RSM88" s="790"/>
      <c r="RSN88" s="790"/>
      <c r="RSO88" s="790"/>
      <c r="RSP88" s="790"/>
      <c r="RSQ88" s="790"/>
      <c r="RSR88" s="790"/>
      <c r="RSS88" s="790"/>
      <c r="RST88" s="790"/>
      <c r="RSU88" s="790"/>
      <c r="RSV88" s="790"/>
      <c r="RSW88" s="790"/>
      <c r="RSX88" s="790"/>
      <c r="RSY88" s="790"/>
      <c r="RSZ88" s="790"/>
      <c r="RTA88" s="790"/>
      <c r="RTB88" s="790"/>
      <c r="RTC88" s="790"/>
      <c r="RTD88" s="790"/>
      <c r="RTE88" s="790"/>
      <c r="RTF88" s="790"/>
      <c r="RTG88" s="790"/>
      <c r="RTH88" s="790"/>
      <c r="RTI88" s="790"/>
      <c r="RTJ88" s="790"/>
      <c r="RTK88" s="790"/>
      <c r="RTL88" s="790"/>
      <c r="RTM88" s="790"/>
      <c r="RTN88" s="790"/>
      <c r="RTO88" s="790"/>
      <c r="RTP88" s="790"/>
      <c r="RTQ88" s="790"/>
      <c r="RTR88" s="790"/>
      <c r="RTS88" s="790"/>
      <c r="RTT88" s="790"/>
      <c r="RTU88" s="790"/>
      <c r="RTV88" s="790"/>
      <c r="RTW88" s="790"/>
      <c r="RTX88" s="790"/>
      <c r="RTY88" s="790"/>
      <c r="RTZ88" s="790"/>
      <c r="RUA88" s="790"/>
      <c r="RUB88" s="790"/>
      <c r="RUC88" s="790"/>
      <c r="RUD88" s="790"/>
      <c r="RUE88" s="790"/>
      <c r="RUF88" s="790"/>
      <c r="RUG88" s="790"/>
      <c r="RUH88" s="790"/>
      <c r="RUI88" s="790"/>
      <c r="RUJ88" s="790"/>
      <c r="RUK88" s="790"/>
      <c r="RUL88" s="790"/>
      <c r="RUM88" s="790"/>
      <c r="RUN88" s="790"/>
      <c r="RUO88" s="790"/>
      <c r="RUP88" s="790"/>
      <c r="RUQ88" s="790"/>
      <c r="RUR88" s="790"/>
      <c r="RUS88" s="790"/>
      <c r="RUT88" s="790"/>
      <c r="RUU88" s="790"/>
      <c r="RUV88" s="790"/>
      <c r="RUW88" s="790"/>
      <c r="RUX88" s="790"/>
      <c r="RUY88" s="790"/>
      <c r="RUZ88" s="790"/>
      <c r="RVA88" s="790"/>
      <c r="RVB88" s="790"/>
      <c r="RVC88" s="790"/>
      <c r="RVD88" s="790"/>
      <c r="RVE88" s="790"/>
      <c r="RVF88" s="790"/>
      <c r="RVG88" s="790"/>
      <c r="RVH88" s="790"/>
      <c r="RVI88" s="790"/>
      <c r="RVJ88" s="790"/>
      <c r="RVK88" s="790"/>
      <c r="RVL88" s="790"/>
      <c r="RVM88" s="790"/>
      <c r="RVN88" s="790"/>
      <c r="RVO88" s="790"/>
      <c r="RVP88" s="790"/>
      <c r="RVQ88" s="790"/>
      <c r="RVR88" s="790"/>
      <c r="RVS88" s="790"/>
      <c r="RVT88" s="790"/>
      <c r="RVU88" s="790"/>
      <c r="RVV88" s="790"/>
      <c r="RVW88" s="790"/>
      <c r="RVX88" s="790"/>
      <c r="RVY88" s="790"/>
      <c r="RVZ88" s="790"/>
      <c r="RWA88" s="790"/>
      <c r="RWB88" s="790"/>
      <c r="RWC88" s="790"/>
      <c r="RWD88" s="790"/>
      <c r="RWE88" s="790"/>
      <c r="RWF88" s="790"/>
      <c r="RWG88" s="790"/>
      <c r="RWH88" s="790"/>
      <c r="RWI88" s="790"/>
      <c r="RWJ88" s="790"/>
      <c r="RWK88" s="790"/>
      <c r="RWL88" s="790"/>
      <c r="RWM88" s="790"/>
      <c r="RWN88" s="790"/>
      <c r="RWO88" s="790"/>
      <c r="RWP88" s="790"/>
      <c r="RWQ88" s="790"/>
      <c r="RWR88" s="790"/>
      <c r="RWS88" s="790"/>
      <c r="RWT88" s="790"/>
      <c r="RWU88" s="790"/>
      <c r="RWV88" s="790"/>
      <c r="RWW88" s="790"/>
      <c r="RWX88" s="790"/>
      <c r="RWY88" s="790"/>
      <c r="RWZ88" s="790"/>
      <c r="RXA88" s="790"/>
      <c r="RXB88" s="790"/>
      <c r="RXC88" s="790"/>
      <c r="RXD88" s="790"/>
      <c r="RXE88" s="790"/>
      <c r="RXF88" s="790"/>
      <c r="RXG88" s="790"/>
      <c r="RXH88" s="790"/>
      <c r="RXI88" s="790"/>
      <c r="RXJ88" s="790"/>
      <c r="RXK88" s="790"/>
      <c r="RXL88" s="790"/>
      <c r="RXM88" s="790"/>
      <c r="RXN88" s="790"/>
      <c r="RXO88" s="790"/>
      <c r="RXP88" s="790"/>
      <c r="RXQ88" s="790"/>
      <c r="RXR88" s="790"/>
      <c r="RXS88" s="790"/>
      <c r="RXT88" s="790"/>
      <c r="RXU88" s="790"/>
      <c r="RXV88" s="790"/>
      <c r="RXW88" s="790"/>
      <c r="RXX88" s="790"/>
      <c r="RXY88" s="790"/>
      <c r="RXZ88" s="790"/>
      <c r="RYA88" s="790"/>
      <c r="RYB88" s="790"/>
      <c r="RYC88" s="790"/>
      <c r="RYD88" s="790"/>
      <c r="RYE88" s="790"/>
      <c r="RYF88" s="790"/>
      <c r="RYG88" s="790"/>
      <c r="RYH88" s="790"/>
      <c r="RYI88" s="790"/>
      <c r="RYJ88" s="790"/>
      <c r="RYK88" s="790"/>
      <c r="RYL88" s="790"/>
      <c r="RYM88" s="790"/>
      <c r="RYN88" s="790"/>
      <c r="RYO88" s="790"/>
      <c r="RYP88" s="790"/>
      <c r="RYQ88" s="790"/>
      <c r="RYR88" s="790"/>
      <c r="RYS88" s="790"/>
      <c r="RYT88" s="790"/>
      <c r="RYU88" s="790"/>
      <c r="RYV88" s="790"/>
      <c r="RYW88" s="790"/>
      <c r="RYX88" s="790"/>
      <c r="RYY88" s="790"/>
      <c r="RYZ88" s="790"/>
      <c r="RZA88" s="790"/>
      <c r="RZB88" s="790"/>
      <c r="RZC88" s="790"/>
      <c r="RZD88" s="790"/>
      <c r="RZE88" s="790"/>
      <c r="RZF88" s="790"/>
      <c r="RZG88" s="790"/>
      <c r="RZH88" s="790"/>
      <c r="RZI88" s="790"/>
      <c r="RZJ88" s="790"/>
      <c r="RZK88" s="790"/>
      <c r="RZL88" s="790"/>
      <c r="RZM88" s="790"/>
      <c r="RZN88" s="790"/>
      <c r="RZO88" s="790"/>
      <c r="RZP88" s="790"/>
      <c r="RZQ88" s="790"/>
      <c r="RZR88" s="790"/>
      <c r="RZS88" s="790"/>
      <c r="RZT88" s="790"/>
      <c r="RZU88" s="790"/>
      <c r="RZV88" s="790"/>
      <c r="RZW88" s="790"/>
      <c r="RZX88" s="790"/>
      <c r="RZY88" s="790"/>
      <c r="RZZ88" s="790"/>
      <c r="SAA88" s="790"/>
      <c r="SAB88" s="790"/>
      <c r="SAC88" s="790"/>
      <c r="SAD88" s="790"/>
      <c r="SAE88" s="790"/>
      <c r="SAF88" s="790"/>
      <c r="SAG88" s="790"/>
      <c r="SAH88" s="790"/>
      <c r="SAI88" s="790"/>
      <c r="SAJ88" s="790"/>
      <c r="SAK88" s="790"/>
      <c r="SAL88" s="790"/>
      <c r="SAM88" s="790"/>
      <c r="SAN88" s="790"/>
      <c r="SAO88" s="790"/>
      <c r="SAP88" s="790"/>
      <c r="SAQ88" s="790"/>
      <c r="SAR88" s="790"/>
      <c r="SAS88" s="790"/>
      <c r="SAT88" s="790"/>
      <c r="SAU88" s="790"/>
      <c r="SAV88" s="790"/>
      <c r="SAW88" s="790"/>
      <c r="SAX88" s="790"/>
      <c r="SAY88" s="790"/>
      <c r="SAZ88" s="790"/>
      <c r="SBA88" s="790"/>
      <c r="SBB88" s="790"/>
      <c r="SBC88" s="790"/>
      <c r="SBD88" s="790"/>
      <c r="SBE88" s="790"/>
      <c r="SBF88" s="790"/>
      <c r="SBG88" s="790"/>
      <c r="SBH88" s="790"/>
      <c r="SBI88" s="790"/>
      <c r="SBJ88" s="790"/>
      <c r="SBK88" s="790"/>
      <c r="SBL88" s="790"/>
      <c r="SBM88" s="790"/>
      <c r="SBN88" s="790"/>
      <c r="SBO88" s="790"/>
      <c r="SBP88" s="790"/>
      <c r="SBQ88" s="790"/>
      <c r="SBR88" s="790"/>
      <c r="SBS88" s="790"/>
      <c r="SBT88" s="790"/>
      <c r="SBU88" s="790"/>
      <c r="SBV88" s="790"/>
      <c r="SBW88" s="790"/>
      <c r="SBX88" s="790"/>
      <c r="SBY88" s="790"/>
      <c r="SBZ88" s="790"/>
      <c r="SCA88" s="790"/>
      <c r="SCB88" s="790"/>
      <c r="SCC88" s="790"/>
      <c r="SCD88" s="790"/>
      <c r="SCE88" s="790"/>
      <c r="SCF88" s="790"/>
      <c r="SCG88" s="790"/>
      <c r="SCH88" s="790"/>
      <c r="SCI88" s="790"/>
      <c r="SCJ88" s="790"/>
      <c r="SCK88" s="790"/>
      <c r="SCL88" s="790"/>
      <c r="SCM88" s="790"/>
      <c r="SCN88" s="790"/>
      <c r="SCO88" s="790"/>
      <c r="SCP88" s="790"/>
      <c r="SCQ88" s="790"/>
      <c r="SCR88" s="790"/>
      <c r="SCS88" s="790"/>
      <c r="SCT88" s="790"/>
      <c r="SCU88" s="790"/>
      <c r="SCV88" s="790"/>
      <c r="SCW88" s="790"/>
      <c r="SCX88" s="790"/>
      <c r="SCY88" s="790"/>
      <c r="SCZ88" s="790"/>
      <c r="SDA88" s="790"/>
      <c r="SDB88" s="790"/>
      <c r="SDC88" s="790"/>
      <c r="SDD88" s="790"/>
      <c r="SDE88" s="790"/>
      <c r="SDF88" s="790"/>
      <c r="SDG88" s="790"/>
      <c r="SDH88" s="790"/>
      <c r="SDI88" s="790"/>
      <c r="SDJ88" s="790"/>
      <c r="SDK88" s="790"/>
      <c r="SDL88" s="790"/>
      <c r="SDM88" s="790"/>
      <c r="SDN88" s="790"/>
      <c r="SDO88" s="790"/>
      <c r="SDP88" s="790"/>
      <c r="SDQ88" s="790"/>
      <c r="SDR88" s="790"/>
      <c r="SDS88" s="790"/>
      <c r="SDT88" s="790"/>
      <c r="SDU88" s="790"/>
      <c r="SDV88" s="790"/>
      <c r="SDW88" s="790"/>
      <c r="SDX88" s="790"/>
      <c r="SDY88" s="790"/>
      <c r="SDZ88" s="790"/>
      <c r="SEA88" s="790"/>
      <c r="SEB88" s="790"/>
      <c r="SEC88" s="790"/>
      <c r="SED88" s="790"/>
      <c r="SEE88" s="790"/>
      <c r="SEF88" s="790"/>
      <c r="SEG88" s="790"/>
      <c r="SEH88" s="790"/>
      <c r="SEI88" s="790"/>
      <c r="SEJ88" s="790"/>
      <c r="SEK88" s="790"/>
      <c r="SEL88" s="790"/>
      <c r="SEM88" s="790"/>
      <c r="SEN88" s="790"/>
      <c r="SEO88" s="790"/>
      <c r="SEP88" s="790"/>
      <c r="SEQ88" s="790"/>
      <c r="SER88" s="790"/>
      <c r="SES88" s="790"/>
      <c r="SET88" s="790"/>
      <c r="SEU88" s="790"/>
      <c r="SEV88" s="790"/>
      <c r="SEW88" s="790"/>
      <c r="SEX88" s="790"/>
      <c r="SEY88" s="790"/>
      <c r="SEZ88" s="790"/>
      <c r="SFA88" s="790"/>
      <c r="SFB88" s="790"/>
      <c r="SFC88" s="790"/>
      <c r="SFD88" s="790"/>
      <c r="SFE88" s="790"/>
      <c r="SFF88" s="790"/>
      <c r="SFG88" s="790"/>
      <c r="SFH88" s="790"/>
      <c r="SFI88" s="790"/>
      <c r="SFJ88" s="790"/>
      <c r="SFK88" s="790"/>
      <c r="SFL88" s="790"/>
      <c r="SFM88" s="790"/>
      <c r="SFN88" s="790"/>
      <c r="SFO88" s="790"/>
      <c r="SFP88" s="790"/>
      <c r="SFQ88" s="790"/>
      <c r="SFR88" s="790"/>
      <c r="SFS88" s="790"/>
      <c r="SFT88" s="790"/>
      <c r="SFU88" s="790"/>
      <c r="SFV88" s="790"/>
      <c r="SFW88" s="790"/>
      <c r="SFX88" s="790"/>
      <c r="SFY88" s="790"/>
      <c r="SFZ88" s="790"/>
      <c r="SGA88" s="790"/>
      <c r="SGB88" s="790"/>
      <c r="SGC88" s="790"/>
      <c r="SGD88" s="790"/>
      <c r="SGE88" s="790"/>
      <c r="SGF88" s="790"/>
      <c r="SGG88" s="790"/>
      <c r="SGH88" s="790"/>
      <c r="SGI88" s="790"/>
      <c r="SGJ88" s="790"/>
      <c r="SGK88" s="790"/>
      <c r="SGL88" s="790"/>
      <c r="SGM88" s="790"/>
      <c r="SGN88" s="790"/>
      <c r="SGO88" s="790"/>
      <c r="SGP88" s="790"/>
      <c r="SGQ88" s="790"/>
      <c r="SGR88" s="790"/>
      <c r="SGS88" s="790"/>
      <c r="SGT88" s="790"/>
      <c r="SGU88" s="790"/>
      <c r="SGV88" s="790"/>
      <c r="SGW88" s="790"/>
      <c r="SGX88" s="790"/>
      <c r="SGY88" s="790"/>
      <c r="SGZ88" s="790"/>
      <c r="SHA88" s="790"/>
      <c r="SHB88" s="790"/>
      <c r="SHC88" s="790"/>
      <c r="SHD88" s="790"/>
      <c r="SHE88" s="790"/>
      <c r="SHF88" s="790"/>
      <c r="SHG88" s="790"/>
      <c r="SHH88" s="790"/>
      <c r="SHI88" s="790"/>
      <c r="SHJ88" s="790"/>
      <c r="SHK88" s="790"/>
      <c r="SHL88" s="790"/>
      <c r="SHM88" s="790"/>
      <c r="SHN88" s="790"/>
      <c r="SHO88" s="790"/>
      <c r="SHP88" s="790"/>
      <c r="SHQ88" s="790"/>
      <c r="SHR88" s="790"/>
      <c r="SHS88" s="790"/>
      <c r="SHT88" s="790"/>
      <c r="SHU88" s="790"/>
      <c r="SHV88" s="790"/>
      <c r="SHW88" s="790"/>
      <c r="SHX88" s="790"/>
      <c r="SHY88" s="790"/>
      <c r="SHZ88" s="790"/>
      <c r="SIA88" s="790"/>
      <c r="SIB88" s="790"/>
      <c r="SIC88" s="790"/>
      <c r="SID88" s="790"/>
      <c r="SIE88" s="790"/>
      <c r="SIF88" s="790"/>
      <c r="SIG88" s="790"/>
      <c r="SIH88" s="790"/>
      <c r="SII88" s="790"/>
      <c r="SIJ88" s="790"/>
      <c r="SIK88" s="790"/>
      <c r="SIL88" s="790"/>
      <c r="SIM88" s="790"/>
      <c r="SIN88" s="790"/>
      <c r="SIO88" s="790"/>
      <c r="SIP88" s="790"/>
      <c r="SIQ88" s="790"/>
      <c r="SIR88" s="790"/>
      <c r="SIS88" s="790"/>
      <c r="SIT88" s="790"/>
      <c r="SIU88" s="790"/>
      <c r="SIV88" s="790"/>
      <c r="SIW88" s="790"/>
      <c r="SIX88" s="790"/>
      <c r="SIY88" s="790"/>
      <c r="SIZ88" s="790"/>
      <c r="SJA88" s="790"/>
      <c r="SJB88" s="790"/>
      <c r="SJC88" s="790"/>
      <c r="SJD88" s="790"/>
      <c r="SJE88" s="790"/>
      <c r="SJF88" s="790"/>
      <c r="SJG88" s="790"/>
      <c r="SJH88" s="790"/>
      <c r="SJI88" s="790"/>
      <c r="SJJ88" s="790"/>
      <c r="SJK88" s="790"/>
      <c r="SJL88" s="790"/>
      <c r="SJM88" s="790"/>
      <c r="SJN88" s="790"/>
      <c r="SJO88" s="790"/>
      <c r="SJP88" s="790"/>
      <c r="SJQ88" s="790"/>
      <c r="SJR88" s="790"/>
      <c r="SJS88" s="790"/>
      <c r="SJT88" s="790"/>
      <c r="SJU88" s="790"/>
      <c r="SJV88" s="790"/>
      <c r="SJW88" s="790"/>
      <c r="SJX88" s="790"/>
      <c r="SJY88" s="790"/>
      <c r="SJZ88" s="790"/>
      <c r="SKA88" s="790"/>
      <c r="SKB88" s="790"/>
      <c r="SKC88" s="790"/>
      <c r="SKD88" s="790"/>
      <c r="SKE88" s="790"/>
      <c r="SKF88" s="790"/>
      <c r="SKG88" s="790"/>
      <c r="SKH88" s="790"/>
      <c r="SKI88" s="790"/>
      <c r="SKJ88" s="790"/>
      <c r="SKK88" s="790"/>
      <c r="SKL88" s="790"/>
      <c r="SKM88" s="790"/>
      <c r="SKN88" s="790"/>
      <c r="SKO88" s="790"/>
      <c r="SKP88" s="790"/>
      <c r="SKQ88" s="790"/>
      <c r="SKR88" s="790"/>
      <c r="SKS88" s="790"/>
      <c r="SKT88" s="790"/>
      <c r="SKU88" s="790"/>
      <c r="SKV88" s="790"/>
      <c r="SKW88" s="790"/>
      <c r="SKX88" s="790"/>
      <c r="SKY88" s="790"/>
      <c r="SKZ88" s="790"/>
      <c r="SLA88" s="790"/>
      <c r="SLB88" s="790"/>
      <c r="SLC88" s="790"/>
      <c r="SLD88" s="790"/>
      <c r="SLE88" s="790"/>
      <c r="SLF88" s="790"/>
      <c r="SLG88" s="790"/>
      <c r="SLH88" s="790"/>
      <c r="SLI88" s="790"/>
      <c r="SLJ88" s="790"/>
      <c r="SLK88" s="790"/>
      <c r="SLL88" s="790"/>
      <c r="SLM88" s="790"/>
      <c r="SLN88" s="790"/>
      <c r="SLO88" s="790"/>
      <c r="SLP88" s="790"/>
      <c r="SLQ88" s="790"/>
      <c r="SLR88" s="790"/>
      <c r="SLS88" s="790"/>
      <c r="SLT88" s="790"/>
      <c r="SLU88" s="790"/>
      <c r="SLV88" s="790"/>
      <c r="SLW88" s="790"/>
      <c r="SLX88" s="790"/>
      <c r="SLY88" s="790"/>
      <c r="SLZ88" s="790"/>
      <c r="SMA88" s="790"/>
      <c r="SMB88" s="790"/>
      <c r="SMC88" s="790"/>
      <c r="SMD88" s="790"/>
      <c r="SME88" s="790"/>
      <c r="SMF88" s="790"/>
      <c r="SMG88" s="790"/>
      <c r="SMH88" s="790"/>
      <c r="SMI88" s="790"/>
      <c r="SMJ88" s="790"/>
      <c r="SMK88" s="790"/>
      <c r="SML88" s="790"/>
      <c r="SMM88" s="790"/>
      <c r="SMN88" s="790"/>
      <c r="SMO88" s="790"/>
      <c r="SMP88" s="790"/>
      <c r="SMQ88" s="790"/>
      <c r="SMR88" s="790"/>
      <c r="SMS88" s="790"/>
      <c r="SMT88" s="790"/>
      <c r="SMU88" s="790"/>
      <c r="SMV88" s="790"/>
      <c r="SMW88" s="790"/>
      <c r="SMX88" s="790"/>
      <c r="SMY88" s="790"/>
      <c r="SMZ88" s="790"/>
      <c r="SNA88" s="790"/>
      <c r="SNB88" s="790"/>
      <c r="SNC88" s="790"/>
      <c r="SND88" s="790"/>
      <c r="SNE88" s="790"/>
      <c r="SNF88" s="790"/>
      <c r="SNG88" s="790"/>
      <c r="SNH88" s="790"/>
      <c r="SNI88" s="790"/>
      <c r="SNJ88" s="790"/>
      <c r="SNK88" s="790"/>
      <c r="SNL88" s="790"/>
      <c r="SNM88" s="790"/>
      <c r="SNN88" s="790"/>
      <c r="SNO88" s="790"/>
      <c r="SNP88" s="790"/>
      <c r="SNQ88" s="790"/>
      <c r="SNR88" s="790"/>
      <c r="SNS88" s="790"/>
      <c r="SNT88" s="790"/>
      <c r="SNU88" s="790"/>
      <c r="SNV88" s="790"/>
      <c r="SNW88" s="790"/>
      <c r="SNX88" s="790"/>
      <c r="SNY88" s="790"/>
      <c r="SNZ88" s="790"/>
      <c r="SOA88" s="790"/>
      <c r="SOB88" s="790"/>
      <c r="SOC88" s="790"/>
      <c r="SOD88" s="790"/>
      <c r="SOE88" s="790"/>
      <c r="SOF88" s="790"/>
      <c r="SOG88" s="790"/>
      <c r="SOH88" s="790"/>
      <c r="SOI88" s="790"/>
      <c r="SOJ88" s="790"/>
      <c r="SOK88" s="790"/>
      <c r="SOL88" s="790"/>
      <c r="SOM88" s="790"/>
      <c r="SON88" s="790"/>
      <c r="SOO88" s="790"/>
      <c r="SOP88" s="790"/>
      <c r="SOQ88" s="790"/>
      <c r="SOR88" s="790"/>
      <c r="SOS88" s="790"/>
      <c r="SOT88" s="790"/>
      <c r="SOU88" s="790"/>
      <c r="SOV88" s="790"/>
      <c r="SOW88" s="790"/>
      <c r="SOX88" s="790"/>
      <c r="SOY88" s="790"/>
      <c r="SOZ88" s="790"/>
      <c r="SPA88" s="790"/>
      <c r="SPB88" s="790"/>
      <c r="SPC88" s="790"/>
      <c r="SPD88" s="790"/>
      <c r="SPE88" s="790"/>
      <c r="SPF88" s="790"/>
      <c r="SPG88" s="790"/>
      <c r="SPH88" s="790"/>
      <c r="SPI88" s="790"/>
      <c r="SPJ88" s="790"/>
      <c r="SPK88" s="790"/>
      <c r="SPL88" s="790"/>
      <c r="SPM88" s="790"/>
      <c r="SPN88" s="790"/>
      <c r="SPO88" s="790"/>
      <c r="SPP88" s="790"/>
      <c r="SPQ88" s="790"/>
      <c r="SPR88" s="790"/>
      <c r="SPS88" s="790"/>
      <c r="SPT88" s="790"/>
      <c r="SPU88" s="790"/>
      <c r="SPV88" s="790"/>
      <c r="SPW88" s="790"/>
      <c r="SPX88" s="790"/>
      <c r="SPY88" s="790"/>
      <c r="SPZ88" s="790"/>
      <c r="SQA88" s="790"/>
      <c r="SQB88" s="790"/>
      <c r="SQC88" s="790"/>
      <c r="SQD88" s="790"/>
      <c r="SQE88" s="790"/>
      <c r="SQF88" s="790"/>
      <c r="SQG88" s="790"/>
      <c r="SQH88" s="790"/>
      <c r="SQI88" s="790"/>
      <c r="SQJ88" s="790"/>
      <c r="SQK88" s="790"/>
      <c r="SQL88" s="790"/>
      <c r="SQM88" s="790"/>
      <c r="SQN88" s="790"/>
      <c r="SQO88" s="790"/>
      <c r="SQP88" s="790"/>
      <c r="SQQ88" s="790"/>
      <c r="SQR88" s="790"/>
      <c r="SQS88" s="790"/>
      <c r="SQT88" s="790"/>
      <c r="SQU88" s="790"/>
      <c r="SQV88" s="790"/>
      <c r="SQW88" s="790"/>
      <c r="SQX88" s="790"/>
      <c r="SQY88" s="790"/>
      <c r="SQZ88" s="790"/>
      <c r="SRA88" s="790"/>
      <c r="SRB88" s="790"/>
      <c r="SRC88" s="790"/>
      <c r="SRD88" s="790"/>
      <c r="SRE88" s="790"/>
      <c r="SRF88" s="790"/>
      <c r="SRG88" s="790"/>
      <c r="SRH88" s="790"/>
      <c r="SRI88" s="790"/>
      <c r="SRJ88" s="790"/>
      <c r="SRK88" s="790"/>
      <c r="SRL88" s="790"/>
      <c r="SRM88" s="790"/>
      <c r="SRN88" s="790"/>
      <c r="SRO88" s="790"/>
      <c r="SRP88" s="790"/>
      <c r="SRQ88" s="790"/>
      <c r="SRR88" s="790"/>
      <c r="SRS88" s="790"/>
      <c r="SRT88" s="790"/>
      <c r="SRU88" s="790"/>
      <c r="SRV88" s="790"/>
      <c r="SRW88" s="790"/>
      <c r="SRX88" s="790"/>
      <c r="SRY88" s="790"/>
      <c r="SRZ88" s="790"/>
      <c r="SSA88" s="790"/>
      <c r="SSB88" s="790"/>
      <c r="SSC88" s="790"/>
      <c r="SSD88" s="790"/>
      <c r="SSE88" s="790"/>
      <c r="SSF88" s="790"/>
      <c r="SSG88" s="790"/>
      <c r="SSH88" s="790"/>
      <c r="SSI88" s="790"/>
      <c r="SSJ88" s="790"/>
      <c r="SSK88" s="790"/>
      <c r="SSL88" s="790"/>
      <c r="SSM88" s="790"/>
      <c r="SSN88" s="790"/>
      <c r="SSO88" s="790"/>
      <c r="SSP88" s="790"/>
      <c r="SSQ88" s="790"/>
      <c r="SSR88" s="790"/>
      <c r="SSS88" s="790"/>
      <c r="SST88" s="790"/>
      <c r="SSU88" s="790"/>
      <c r="SSV88" s="790"/>
      <c r="SSW88" s="790"/>
      <c r="SSX88" s="790"/>
      <c r="SSY88" s="790"/>
      <c r="SSZ88" s="790"/>
      <c r="STA88" s="790"/>
      <c r="STB88" s="790"/>
      <c r="STC88" s="790"/>
      <c r="STD88" s="790"/>
      <c r="STE88" s="790"/>
      <c r="STF88" s="790"/>
      <c r="STG88" s="790"/>
      <c r="STH88" s="790"/>
      <c r="STI88" s="790"/>
      <c r="STJ88" s="790"/>
      <c r="STK88" s="790"/>
      <c r="STL88" s="790"/>
      <c r="STM88" s="790"/>
      <c r="STN88" s="790"/>
      <c r="STO88" s="790"/>
      <c r="STP88" s="790"/>
      <c r="STQ88" s="790"/>
      <c r="STR88" s="790"/>
      <c r="STS88" s="790"/>
      <c r="STT88" s="790"/>
      <c r="STU88" s="790"/>
      <c r="STV88" s="790"/>
      <c r="STW88" s="790"/>
      <c r="STX88" s="790"/>
      <c r="STY88" s="790"/>
      <c r="STZ88" s="790"/>
      <c r="SUA88" s="790"/>
      <c r="SUB88" s="790"/>
      <c r="SUC88" s="790"/>
      <c r="SUD88" s="790"/>
      <c r="SUE88" s="790"/>
      <c r="SUF88" s="790"/>
      <c r="SUG88" s="790"/>
      <c r="SUH88" s="790"/>
      <c r="SUI88" s="790"/>
      <c r="SUJ88" s="790"/>
      <c r="SUK88" s="790"/>
      <c r="SUL88" s="790"/>
      <c r="SUM88" s="790"/>
      <c r="SUN88" s="790"/>
      <c r="SUO88" s="790"/>
      <c r="SUP88" s="790"/>
      <c r="SUQ88" s="790"/>
      <c r="SUR88" s="790"/>
      <c r="SUS88" s="790"/>
      <c r="SUT88" s="790"/>
      <c r="SUU88" s="790"/>
      <c r="SUV88" s="790"/>
      <c r="SUW88" s="790"/>
      <c r="SUX88" s="790"/>
      <c r="SUY88" s="790"/>
      <c r="SUZ88" s="790"/>
      <c r="SVA88" s="790"/>
      <c r="SVB88" s="790"/>
      <c r="SVC88" s="790"/>
      <c r="SVD88" s="790"/>
      <c r="SVE88" s="790"/>
      <c r="SVF88" s="790"/>
      <c r="SVG88" s="790"/>
      <c r="SVH88" s="790"/>
      <c r="SVI88" s="790"/>
      <c r="SVJ88" s="790"/>
      <c r="SVK88" s="790"/>
      <c r="SVL88" s="790"/>
      <c r="SVM88" s="790"/>
      <c r="SVN88" s="790"/>
      <c r="SVO88" s="790"/>
      <c r="SVP88" s="790"/>
      <c r="SVQ88" s="790"/>
      <c r="SVR88" s="790"/>
      <c r="SVS88" s="790"/>
      <c r="SVT88" s="790"/>
      <c r="SVU88" s="790"/>
      <c r="SVV88" s="790"/>
      <c r="SVW88" s="790"/>
      <c r="SVX88" s="790"/>
      <c r="SVY88" s="790"/>
      <c r="SVZ88" s="790"/>
      <c r="SWA88" s="790"/>
      <c r="SWB88" s="790"/>
      <c r="SWC88" s="790"/>
      <c r="SWD88" s="790"/>
      <c r="SWE88" s="790"/>
      <c r="SWF88" s="790"/>
      <c r="SWG88" s="790"/>
      <c r="SWH88" s="790"/>
      <c r="SWI88" s="790"/>
      <c r="SWJ88" s="790"/>
      <c r="SWK88" s="790"/>
      <c r="SWL88" s="790"/>
      <c r="SWM88" s="790"/>
      <c r="SWN88" s="790"/>
      <c r="SWO88" s="790"/>
      <c r="SWP88" s="790"/>
      <c r="SWQ88" s="790"/>
      <c r="SWR88" s="790"/>
      <c r="SWS88" s="790"/>
      <c r="SWT88" s="790"/>
      <c r="SWU88" s="790"/>
      <c r="SWV88" s="790"/>
      <c r="SWW88" s="790"/>
      <c r="SWX88" s="790"/>
      <c r="SWY88" s="790"/>
      <c r="SWZ88" s="790"/>
      <c r="SXA88" s="790"/>
      <c r="SXB88" s="790"/>
      <c r="SXC88" s="790"/>
      <c r="SXD88" s="790"/>
      <c r="SXE88" s="790"/>
      <c r="SXF88" s="790"/>
      <c r="SXG88" s="790"/>
      <c r="SXH88" s="790"/>
      <c r="SXI88" s="790"/>
      <c r="SXJ88" s="790"/>
      <c r="SXK88" s="790"/>
      <c r="SXL88" s="790"/>
      <c r="SXM88" s="790"/>
      <c r="SXN88" s="790"/>
      <c r="SXO88" s="790"/>
      <c r="SXP88" s="790"/>
      <c r="SXQ88" s="790"/>
      <c r="SXR88" s="790"/>
      <c r="SXS88" s="790"/>
      <c r="SXT88" s="790"/>
      <c r="SXU88" s="790"/>
      <c r="SXV88" s="790"/>
      <c r="SXW88" s="790"/>
      <c r="SXX88" s="790"/>
      <c r="SXY88" s="790"/>
      <c r="SXZ88" s="790"/>
      <c r="SYA88" s="790"/>
      <c r="SYB88" s="790"/>
      <c r="SYC88" s="790"/>
      <c r="SYD88" s="790"/>
      <c r="SYE88" s="790"/>
      <c r="SYF88" s="790"/>
      <c r="SYG88" s="790"/>
      <c r="SYH88" s="790"/>
      <c r="SYI88" s="790"/>
      <c r="SYJ88" s="790"/>
      <c r="SYK88" s="790"/>
      <c r="SYL88" s="790"/>
      <c r="SYM88" s="790"/>
      <c r="SYN88" s="790"/>
      <c r="SYO88" s="790"/>
      <c r="SYP88" s="790"/>
      <c r="SYQ88" s="790"/>
      <c r="SYR88" s="790"/>
      <c r="SYS88" s="790"/>
      <c r="SYT88" s="790"/>
      <c r="SYU88" s="790"/>
      <c r="SYV88" s="790"/>
      <c r="SYW88" s="790"/>
      <c r="SYX88" s="790"/>
      <c r="SYY88" s="790"/>
      <c r="SYZ88" s="790"/>
      <c r="SZA88" s="790"/>
      <c r="SZB88" s="790"/>
      <c r="SZC88" s="790"/>
      <c r="SZD88" s="790"/>
      <c r="SZE88" s="790"/>
      <c r="SZF88" s="790"/>
      <c r="SZG88" s="790"/>
      <c r="SZH88" s="790"/>
      <c r="SZI88" s="790"/>
      <c r="SZJ88" s="790"/>
      <c r="SZK88" s="790"/>
      <c r="SZL88" s="790"/>
      <c r="SZM88" s="790"/>
      <c r="SZN88" s="790"/>
      <c r="SZO88" s="790"/>
      <c r="SZP88" s="790"/>
      <c r="SZQ88" s="790"/>
      <c r="SZR88" s="790"/>
      <c r="SZS88" s="790"/>
      <c r="SZT88" s="790"/>
      <c r="SZU88" s="790"/>
      <c r="SZV88" s="790"/>
      <c r="SZW88" s="790"/>
      <c r="SZX88" s="790"/>
      <c r="SZY88" s="790"/>
      <c r="SZZ88" s="790"/>
      <c r="TAA88" s="790"/>
      <c r="TAB88" s="790"/>
      <c r="TAC88" s="790"/>
      <c r="TAD88" s="790"/>
      <c r="TAE88" s="790"/>
      <c r="TAF88" s="790"/>
      <c r="TAG88" s="790"/>
      <c r="TAH88" s="790"/>
      <c r="TAI88" s="790"/>
      <c r="TAJ88" s="790"/>
      <c r="TAK88" s="790"/>
      <c r="TAL88" s="790"/>
      <c r="TAM88" s="790"/>
      <c r="TAN88" s="790"/>
      <c r="TAO88" s="790"/>
      <c r="TAP88" s="790"/>
      <c r="TAQ88" s="790"/>
      <c r="TAR88" s="790"/>
      <c r="TAS88" s="790"/>
      <c r="TAT88" s="790"/>
      <c r="TAU88" s="790"/>
      <c r="TAV88" s="790"/>
      <c r="TAW88" s="790"/>
      <c r="TAX88" s="790"/>
      <c r="TAY88" s="790"/>
      <c r="TAZ88" s="790"/>
      <c r="TBA88" s="790"/>
      <c r="TBB88" s="790"/>
      <c r="TBC88" s="790"/>
      <c r="TBD88" s="790"/>
      <c r="TBE88" s="790"/>
      <c r="TBF88" s="790"/>
      <c r="TBG88" s="790"/>
      <c r="TBH88" s="790"/>
      <c r="TBI88" s="790"/>
      <c r="TBJ88" s="790"/>
      <c r="TBK88" s="790"/>
      <c r="TBL88" s="790"/>
      <c r="TBM88" s="790"/>
      <c r="TBN88" s="790"/>
      <c r="TBO88" s="790"/>
      <c r="TBP88" s="790"/>
      <c r="TBQ88" s="790"/>
      <c r="TBR88" s="790"/>
      <c r="TBS88" s="790"/>
      <c r="TBT88" s="790"/>
      <c r="TBU88" s="790"/>
      <c r="TBV88" s="790"/>
      <c r="TBW88" s="790"/>
      <c r="TBX88" s="790"/>
      <c r="TBY88" s="790"/>
      <c r="TBZ88" s="790"/>
      <c r="TCA88" s="790"/>
      <c r="TCB88" s="790"/>
      <c r="TCC88" s="790"/>
      <c r="TCD88" s="790"/>
      <c r="TCE88" s="790"/>
      <c r="TCF88" s="790"/>
      <c r="TCG88" s="790"/>
      <c r="TCH88" s="790"/>
      <c r="TCI88" s="790"/>
      <c r="TCJ88" s="790"/>
      <c r="TCK88" s="790"/>
      <c r="TCL88" s="790"/>
      <c r="TCM88" s="790"/>
      <c r="TCN88" s="790"/>
      <c r="TCO88" s="790"/>
      <c r="TCP88" s="790"/>
      <c r="TCQ88" s="790"/>
      <c r="TCR88" s="790"/>
      <c r="TCS88" s="790"/>
      <c r="TCT88" s="790"/>
      <c r="TCU88" s="790"/>
      <c r="TCV88" s="790"/>
      <c r="TCW88" s="790"/>
      <c r="TCX88" s="790"/>
      <c r="TCY88" s="790"/>
      <c r="TCZ88" s="790"/>
      <c r="TDA88" s="790"/>
      <c r="TDB88" s="790"/>
      <c r="TDC88" s="790"/>
      <c r="TDD88" s="790"/>
      <c r="TDE88" s="790"/>
      <c r="TDF88" s="790"/>
      <c r="TDG88" s="790"/>
      <c r="TDH88" s="790"/>
      <c r="TDI88" s="790"/>
      <c r="TDJ88" s="790"/>
      <c r="TDK88" s="790"/>
      <c r="TDL88" s="790"/>
      <c r="TDM88" s="790"/>
      <c r="TDN88" s="790"/>
      <c r="TDO88" s="790"/>
      <c r="TDP88" s="790"/>
      <c r="TDQ88" s="790"/>
      <c r="TDR88" s="790"/>
      <c r="TDS88" s="790"/>
      <c r="TDT88" s="790"/>
      <c r="TDU88" s="790"/>
      <c r="TDV88" s="790"/>
      <c r="TDW88" s="790"/>
      <c r="TDX88" s="790"/>
      <c r="TDY88" s="790"/>
      <c r="TDZ88" s="790"/>
      <c r="TEA88" s="790"/>
      <c r="TEB88" s="790"/>
      <c r="TEC88" s="790"/>
      <c r="TED88" s="790"/>
      <c r="TEE88" s="790"/>
      <c r="TEF88" s="790"/>
      <c r="TEG88" s="790"/>
      <c r="TEH88" s="790"/>
      <c r="TEI88" s="790"/>
      <c r="TEJ88" s="790"/>
      <c r="TEK88" s="790"/>
      <c r="TEL88" s="790"/>
      <c r="TEM88" s="790"/>
      <c r="TEN88" s="790"/>
      <c r="TEO88" s="790"/>
      <c r="TEP88" s="790"/>
      <c r="TEQ88" s="790"/>
      <c r="TER88" s="790"/>
      <c r="TES88" s="790"/>
      <c r="TET88" s="790"/>
      <c r="TEU88" s="790"/>
      <c r="TEV88" s="790"/>
      <c r="TEW88" s="790"/>
      <c r="TEX88" s="790"/>
      <c r="TEY88" s="790"/>
      <c r="TEZ88" s="790"/>
      <c r="TFA88" s="790"/>
      <c r="TFB88" s="790"/>
      <c r="TFC88" s="790"/>
      <c r="TFD88" s="790"/>
      <c r="TFE88" s="790"/>
      <c r="TFF88" s="790"/>
      <c r="TFG88" s="790"/>
      <c r="TFH88" s="790"/>
      <c r="TFI88" s="790"/>
      <c r="TFJ88" s="790"/>
      <c r="TFK88" s="790"/>
      <c r="TFL88" s="790"/>
      <c r="TFM88" s="790"/>
      <c r="TFN88" s="790"/>
      <c r="TFO88" s="790"/>
      <c r="TFP88" s="790"/>
      <c r="TFQ88" s="790"/>
      <c r="TFR88" s="790"/>
      <c r="TFS88" s="790"/>
      <c r="TFT88" s="790"/>
      <c r="TFU88" s="790"/>
      <c r="TFV88" s="790"/>
      <c r="TFW88" s="790"/>
      <c r="TFX88" s="790"/>
      <c r="TFY88" s="790"/>
      <c r="TFZ88" s="790"/>
      <c r="TGA88" s="790"/>
      <c r="TGB88" s="790"/>
      <c r="TGC88" s="790"/>
      <c r="TGD88" s="790"/>
      <c r="TGE88" s="790"/>
      <c r="TGF88" s="790"/>
      <c r="TGG88" s="790"/>
      <c r="TGH88" s="790"/>
      <c r="TGI88" s="790"/>
      <c r="TGJ88" s="790"/>
      <c r="TGK88" s="790"/>
      <c r="TGL88" s="790"/>
      <c r="TGM88" s="790"/>
      <c r="TGN88" s="790"/>
      <c r="TGO88" s="790"/>
      <c r="TGP88" s="790"/>
      <c r="TGQ88" s="790"/>
      <c r="TGR88" s="790"/>
      <c r="TGS88" s="790"/>
      <c r="TGT88" s="790"/>
      <c r="TGU88" s="790"/>
      <c r="TGV88" s="790"/>
      <c r="TGW88" s="790"/>
      <c r="TGX88" s="790"/>
      <c r="TGY88" s="790"/>
      <c r="TGZ88" s="790"/>
      <c r="THA88" s="790"/>
      <c r="THB88" s="790"/>
      <c r="THC88" s="790"/>
      <c r="THD88" s="790"/>
      <c r="THE88" s="790"/>
      <c r="THF88" s="790"/>
      <c r="THG88" s="790"/>
      <c r="THH88" s="790"/>
      <c r="THI88" s="790"/>
      <c r="THJ88" s="790"/>
      <c r="THK88" s="790"/>
      <c r="THL88" s="790"/>
      <c r="THM88" s="790"/>
      <c r="THN88" s="790"/>
      <c r="THO88" s="790"/>
      <c r="THP88" s="790"/>
      <c r="THQ88" s="790"/>
      <c r="THR88" s="790"/>
      <c r="THS88" s="790"/>
      <c r="THT88" s="790"/>
      <c r="THU88" s="790"/>
      <c r="THV88" s="790"/>
      <c r="THW88" s="790"/>
      <c r="THX88" s="790"/>
      <c r="THY88" s="790"/>
      <c r="THZ88" s="790"/>
      <c r="TIA88" s="790"/>
      <c r="TIB88" s="790"/>
      <c r="TIC88" s="790"/>
      <c r="TID88" s="790"/>
      <c r="TIE88" s="790"/>
      <c r="TIF88" s="790"/>
      <c r="TIG88" s="790"/>
      <c r="TIH88" s="790"/>
      <c r="TII88" s="790"/>
      <c r="TIJ88" s="790"/>
      <c r="TIK88" s="790"/>
      <c r="TIL88" s="790"/>
      <c r="TIM88" s="790"/>
      <c r="TIN88" s="790"/>
      <c r="TIO88" s="790"/>
      <c r="TIP88" s="790"/>
      <c r="TIQ88" s="790"/>
      <c r="TIR88" s="790"/>
      <c r="TIS88" s="790"/>
      <c r="TIT88" s="790"/>
      <c r="TIU88" s="790"/>
      <c r="TIV88" s="790"/>
      <c r="TIW88" s="790"/>
      <c r="TIX88" s="790"/>
      <c r="TIY88" s="790"/>
      <c r="TIZ88" s="790"/>
      <c r="TJA88" s="790"/>
      <c r="TJB88" s="790"/>
      <c r="TJC88" s="790"/>
      <c r="TJD88" s="790"/>
      <c r="TJE88" s="790"/>
      <c r="TJF88" s="790"/>
      <c r="TJG88" s="790"/>
      <c r="TJH88" s="790"/>
      <c r="TJI88" s="790"/>
      <c r="TJJ88" s="790"/>
      <c r="TJK88" s="790"/>
      <c r="TJL88" s="790"/>
      <c r="TJM88" s="790"/>
      <c r="TJN88" s="790"/>
      <c r="TJO88" s="790"/>
      <c r="TJP88" s="790"/>
      <c r="TJQ88" s="790"/>
      <c r="TJR88" s="790"/>
      <c r="TJS88" s="790"/>
      <c r="TJT88" s="790"/>
      <c r="TJU88" s="790"/>
      <c r="TJV88" s="790"/>
      <c r="TJW88" s="790"/>
      <c r="TJX88" s="790"/>
      <c r="TJY88" s="790"/>
      <c r="TJZ88" s="790"/>
      <c r="TKA88" s="790"/>
      <c r="TKB88" s="790"/>
      <c r="TKC88" s="790"/>
      <c r="TKD88" s="790"/>
      <c r="TKE88" s="790"/>
      <c r="TKF88" s="790"/>
      <c r="TKG88" s="790"/>
      <c r="TKH88" s="790"/>
      <c r="TKI88" s="790"/>
      <c r="TKJ88" s="790"/>
      <c r="TKK88" s="790"/>
      <c r="TKL88" s="790"/>
      <c r="TKM88" s="790"/>
      <c r="TKN88" s="790"/>
      <c r="TKO88" s="790"/>
      <c r="TKP88" s="790"/>
      <c r="TKQ88" s="790"/>
      <c r="TKR88" s="790"/>
      <c r="TKS88" s="790"/>
      <c r="TKT88" s="790"/>
      <c r="TKU88" s="790"/>
      <c r="TKV88" s="790"/>
      <c r="TKW88" s="790"/>
      <c r="TKX88" s="790"/>
      <c r="TKY88" s="790"/>
      <c r="TKZ88" s="790"/>
      <c r="TLA88" s="790"/>
      <c r="TLB88" s="790"/>
      <c r="TLC88" s="790"/>
      <c r="TLD88" s="790"/>
      <c r="TLE88" s="790"/>
      <c r="TLF88" s="790"/>
      <c r="TLG88" s="790"/>
      <c r="TLH88" s="790"/>
      <c r="TLI88" s="790"/>
      <c r="TLJ88" s="790"/>
      <c r="TLK88" s="790"/>
      <c r="TLL88" s="790"/>
      <c r="TLM88" s="790"/>
      <c r="TLN88" s="790"/>
      <c r="TLO88" s="790"/>
      <c r="TLP88" s="790"/>
      <c r="TLQ88" s="790"/>
      <c r="TLR88" s="790"/>
      <c r="TLS88" s="790"/>
      <c r="TLT88" s="790"/>
      <c r="TLU88" s="790"/>
      <c r="TLV88" s="790"/>
      <c r="TLW88" s="790"/>
      <c r="TLX88" s="790"/>
      <c r="TLY88" s="790"/>
      <c r="TLZ88" s="790"/>
      <c r="TMA88" s="790"/>
      <c r="TMB88" s="790"/>
      <c r="TMC88" s="790"/>
      <c r="TMD88" s="790"/>
      <c r="TME88" s="790"/>
      <c r="TMF88" s="790"/>
      <c r="TMG88" s="790"/>
      <c r="TMH88" s="790"/>
      <c r="TMI88" s="790"/>
      <c r="TMJ88" s="790"/>
      <c r="TMK88" s="790"/>
      <c r="TML88" s="790"/>
      <c r="TMM88" s="790"/>
      <c r="TMN88" s="790"/>
      <c r="TMO88" s="790"/>
      <c r="TMP88" s="790"/>
      <c r="TMQ88" s="790"/>
      <c r="TMR88" s="790"/>
      <c r="TMS88" s="790"/>
      <c r="TMT88" s="790"/>
      <c r="TMU88" s="790"/>
      <c r="TMV88" s="790"/>
      <c r="TMW88" s="790"/>
      <c r="TMX88" s="790"/>
      <c r="TMY88" s="790"/>
      <c r="TMZ88" s="790"/>
      <c r="TNA88" s="790"/>
      <c r="TNB88" s="790"/>
      <c r="TNC88" s="790"/>
      <c r="TND88" s="790"/>
      <c r="TNE88" s="790"/>
      <c r="TNF88" s="790"/>
      <c r="TNG88" s="790"/>
      <c r="TNH88" s="790"/>
      <c r="TNI88" s="790"/>
      <c r="TNJ88" s="790"/>
      <c r="TNK88" s="790"/>
      <c r="TNL88" s="790"/>
      <c r="TNM88" s="790"/>
      <c r="TNN88" s="790"/>
      <c r="TNO88" s="790"/>
      <c r="TNP88" s="790"/>
      <c r="TNQ88" s="790"/>
      <c r="TNR88" s="790"/>
      <c r="TNS88" s="790"/>
      <c r="TNT88" s="790"/>
      <c r="TNU88" s="790"/>
      <c r="TNV88" s="790"/>
      <c r="TNW88" s="790"/>
      <c r="TNX88" s="790"/>
      <c r="TNY88" s="790"/>
      <c r="TNZ88" s="790"/>
      <c r="TOA88" s="790"/>
      <c r="TOB88" s="790"/>
      <c r="TOC88" s="790"/>
      <c r="TOD88" s="790"/>
      <c r="TOE88" s="790"/>
      <c r="TOF88" s="790"/>
      <c r="TOG88" s="790"/>
      <c r="TOH88" s="790"/>
      <c r="TOI88" s="790"/>
      <c r="TOJ88" s="790"/>
      <c r="TOK88" s="790"/>
      <c r="TOL88" s="790"/>
      <c r="TOM88" s="790"/>
      <c r="TON88" s="790"/>
      <c r="TOO88" s="790"/>
      <c r="TOP88" s="790"/>
      <c r="TOQ88" s="790"/>
      <c r="TOR88" s="790"/>
      <c r="TOS88" s="790"/>
      <c r="TOT88" s="790"/>
      <c r="TOU88" s="790"/>
      <c r="TOV88" s="790"/>
      <c r="TOW88" s="790"/>
      <c r="TOX88" s="790"/>
      <c r="TOY88" s="790"/>
      <c r="TOZ88" s="790"/>
      <c r="TPA88" s="790"/>
      <c r="TPB88" s="790"/>
      <c r="TPC88" s="790"/>
      <c r="TPD88" s="790"/>
      <c r="TPE88" s="790"/>
      <c r="TPF88" s="790"/>
      <c r="TPG88" s="790"/>
      <c r="TPH88" s="790"/>
      <c r="TPI88" s="790"/>
      <c r="TPJ88" s="790"/>
      <c r="TPK88" s="790"/>
      <c r="TPL88" s="790"/>
      <c r="TPM88" s="790"/>
      <c r="TPN88" s="790"/>
      <c r="TPO88" s="790"/>
      <c r="TPP88" s="790"/>
      <c r="TPQ88" s="790"/>
      <c r="TPR88" s="790"/>
      <c r="TPS88" s="790"/>
      <c r="TPT88" s="790"/>
      <c r="TPU88" s="790"/>
      <c r="TPV88" s="790"/>
      <c r="TPW88" s="790"/>
      <c r="TPX88" s="790"/>
      <c r="TPY88" s="790"/>
      <c r="TPZ88" s="790"/>
      <c r="TQA88" s="790"/>
      <c r="TQB88" s="790"/>
      <c r="TQC88" s="790"/>
      <c r="TQD88" s="790"/>
      <c r="TQE88" s="790"/>
      <c r="TQF88" s="790"/>
      <c r="TQG88" s="790"/>
      <c r="TQH88" s="790"/>
      <c r="TQI88" s="790"/>
      <c r="TQJ88" s="790"/>
      <c r="TQK88" s="790"/>
      <c r="TQL88" s="790"/>
      <c r="TQM88" s="790"/>
      <c r="TQN88" s="790"/>
      <c r="TQO88" s="790"/>
      <c r="TQP88" s="790"/>
      <c r="TQQ88" s="790"/>
      <c r="TQR88" s="790"/>
      <c r="TQS88" s="790"/>
      <c r="TQT88" s="790"/>
      <c r="TQU88" s="790"/>
      <c r="TQV88" s="790"/>
      <c r="TQW88" s="790"/>
      <c r="TQX88" s="790"/>
      <c r="TQY88" s="790"/>
      <c r="TQZ88" s="790"/>
      <c r="TRA88" s="790"/>
      <c r="TRB88" s="790"/>
      <c r="TRC88" s="790"/>
      <c r="TRD88" s="790"/>
      <c r="TRE88" s="790"/>
      <c r="TRF88" s="790"/>
      <c r="TRG88" s="790"/>
      <c r="TRH88" s="790"/>
      <c r="TRI88" s="790"/>
      <c r="TRJ88" s="790"/>
      <c r="TRK88" s="790"/>
      <c r="TRL88" s="790"/>
      <c r="TRM88" s="790"/>
      <c r="TRN88" s="790"/>
      <c r="TRO88" s="790"/>
      <c r="TRP88" s="790"/>
      <c r="TRQ88" s="790"/>
      <c r="TRR88" s="790"/>
      <c r="TRS88" s="790"/>
      <c r="TRT88" s="790"/>
      <c r="TRU88" s="790"/>
      <c r="TRV88" s="790"/>
      <c r="TRW88" s="790"/>
      <c r="TRX88" s="790"/>
      <c r="TRY88" s="790"/>
      <c r="TRZ88" s="790"/>
      <c r="TSA88" s="790"/>
      <c r="TSB88" s="790"/>
      <c r="TSC88" s="790"/>
      <c r="TSD88" s="790"/>
      <c r="TSE88" s="790"/>
      <c r="TSF88" s="790"/>
      <c r="TSG88" s="790"/>
      <c r="TSH88" s="790"/>
      <c r="TSI88" s="790"/>
      <c r="TSJ88" s="790"/>
      <c r="TSK88" s="790"/>
      <c r="TSL88" s="790"/>
      <c r="TSM88" s="790"/>
      <c r="TSN88" s="790"/>
      <c r="TSO88" s="790"/>
      <c r="TSP88" s="790"/>
      <c r="TSQ88" s="790"/>
      <c r="TSR88" s="790"/>
      <c r="TSS88" s="790"/>
      <c r="TST88" s="790"/>
      <c r="TSU88" s="790"/>
      <c r="TSV88" s="790"/>
      <c r="TSW88" s="790"/>
      <c r="TSX88" s="790"/>
      <c r="TSY88" s="790"/>
      <c r="TSZ88" s="790"/>
      <c r="TTA88" s="790"/>
      <c r="TTB88" s="790"/>
      <c r="TTC88" s="790"/>
      <c r="TTD88" s="790"/>
      <c r="TTE88" s="790"/>
      <c r="TTF88" s="790"/>
      <c r="TTG88" s="790"/>
      <c r="TTH88" s="790"/>
      <c r="TTI88" s="790"/>
      <c r="TTJ88" s="790"/>
      <c r="TTK88" s="790"/>
      <c r="TTL88" s="790"/>
      <c r="TTM88" s="790"/>
      <c r="TTN88" s="790"/>
      <c r="TTO88" s="790"/>
      <c r="TTP88" s="790"/>
      <c r="TTQ88" s="790"/>
      <c r="TTR88" s="790"/>
      <c r="TTS88" s="790"/>
      <c r="TTT88" s="790"/>
      <c r="TTU88" s="790"/>
      <c r="TTV88" s="790"/>
      <c r="TTW88" s="790"/>
      <c r="TTX88" s="790"/>
      <c r="TTY88" s="790"/>
      <c r="TTZ88" s="790"/>
      <c r="TUA88" s="790"/>
      <c r="TUB88" s="790"/>
      <c r="TUC88" s="790"/>
      <c r="TUD88" s="790"/>
      <c r="TUE88" s="790"/>
      <c r="TUF88" s="790"/>
      <c r="TUG88" s="790"/>
      <c r="TUH88" s="790"/>
      <c r="TUI88" s="790"/>
      <c r="TUJ88" s="790"/>
      <c r="TUK88" s="790"/>
      <c r="TUL88" s="790"/>
      <c r="TUM88" s="790"/>
      <c r="TUN88" s="790"/>
      <c r="TUO88" s="790"/>
      <c r="TUP88" s="790"/>
      <c r="TUQ88" s="790"/>
      <c r="TUR88" s="790"/>
      <c r="TUS88" s="790"/>
      <c r="TUT88" s="790"/>
      <c r="TUU88" s="790"/>
      <c r="TUV88" s="790"/>
      <c r="TUW88" s="790"/>
      <c r="TUX88" s="790"/>
      <c r="TUY88" s="790"/>
      <c r="TUZ88" s="790"/>
      <c r="TVA88" s="790"/>
      <c r="TVB88" s="790"/>
      <c r="TVC88" s="790"/>
      <c r="TVD88" s="790"/>
      <c r="TVE88" s="790"/>
      <c r="TVF88" s="790"/>
      <c r="TVG88" s="790"/>
      <c r="TVH88" s="790"/>
      <c r="TVI88" s="790"/>
      <c r="TVJ88" s="790"/>
      <c r="TVK88" s="790"/>
      <c r="TVL88" s="790"/>
      <c r="TVM88" s="790"/>
      <c r="TVN88" s="790"/>
      <c r="TVO88" s="790"/>
      <c r="TVP88" s="790"/>
      <c r="TVQ88" s="790"/>
      <c r="TVR88" s="790"/>
      <c r="TVS88" s="790"/>
      <c r="TVT88" s="790"/>
      <c r="TVU88" s="790"/>
      <c r="TVV88" s="790"/>
      <c r="TVW88" s="790"/>
      <c r="TVX88" s="790"/>
      <c r="TVY88" s="790"/>
      <c r="TVZ88" s="790"/>
      <c r="TWA88" s="790"/>
      <c r="TWB88" s="790"/>
      <c r="TWC88" s="790"/>
      <c r="TWD88" s="790"/>
      <c r="TWE88" s="790"/>
      <c r="TWF88" s="790"/>
      <c r="TWG88" s="790"/>
      <c r="TWH88" s="790"/>
      <c r="TWI88" s="790"/>
      <c r="TWJ88" s="790"/>
      <c r="TWK88" s="790"/>
      <c r="TWL88" s="790"/>
      <c r="TWM88" s="790"/>
      <c r="TWN88" s="790"/>
      <c r="TWO88" s="790"/>
      <c r="TWP88" s="790"/>
      <c r="TWQ88" s="790"/>
      <c r="TWR88" s="790"/>
      <c r="TWS88" s="790"/>
      <c r="TWT88" s="790"/>
      <c r="TWU88" s="790"/>
      <c r="TWV88" s="790"/>
      <c r="TWW88" s="790"/>
      <c r="TWX88" s="790"/>
      <c r="TWY88" s="790"/>
      <c r="TWZ88" s="790"/>
      <c r="TXA88" s="790"/>
      <c r="TXB88" s="790"/>
      <c r="TXC88" s="790"/>
      <c r="TXD88" s="790"/>
      <c r="TXE88" s="790"/>
      <c r="TXF88" s="790"/>
      <c r="TXG88" s="790"/>
      <c r="TXH88" s="790"/>
      <c r="TXI88" s="790"/>
      <c r="TXJ88" s="790"/>
      <c r="TXK88" s="790"/>
      <c r="TXL88" s="790"/>
      <c r="TXM88" s="790"/>
      <c r="TXN88" s="790"/>
      <c r="TXO88" s="790"/>
      <c r="TXP88" s="790"/>
      <c r="TXQ88" s="790"/>
      <c r="TXR88" s="790"/>
      <c r="TXS88" s="790"/>
      <c r="TXT88" s="790"/>
      <c r="TXU88" s="790"/>
      <c r="TXV88" s="790"/>
      <c r="TXW88" s="790"/>
      <c r="TXX88" s="790"/>
      <c r="TXY88" s="790"/>
      <c r="TXZ88" s="790"/>
      <c r="TYA88" s="790"/>
      <c r="TYB88" s="790"/>
      <c r="TYC88" s="790"/>
      <c r="TYD88" s="790"/>
      <c r="TYE88" s="790"/>
      <c r="TYF88" s="790"/>
      <c r="TYG88" s="790"/>
      <c r="TYH88" s="790"/>
      <c r="TYI88" s="790"/>
      <c r="TYJ88" s="790"/>
      <c r="TYK88" s="790"/>
      <c r="TYL88" s="790"/>
      <c r="TYM88" s="790"/>
      <c r="TYN88" s="790"/>
      <c r="TYO88" s="790"/>
      <c r="TYP88" s="790"/>
      <c r="TYQ88" s="790"/>
      <c r="TYR88" s="790"/>
      <c r="TYS88" s="790"/>
      <c r="TYT88" s="790"/>
      <c r="TYU88" s="790"/>
      <c r="TYV88" s="790"/>
      <c r="TYW88" s="790"/>
      <c r="TYX88" s="790"/>
      <c r="TYY88" s="790"/>
      <c r="TYZ88" s="790"/>
      <c r="TZA88" s="790"/>
      <c r="TZB88" s="790"/>
      <c r="TZC88" s="790"/>
      <c r="TZD88" s="790"/>
      <c r="TZE88" s="790"/>
      <c r="TZF88" s="790"/>
      <c r="TZG88" s="790"/>
      <c r="TZH88" s="790"/>
      <c r="TZI88" s="790"/>
      <c r="TZJ88" s="790"/>
      <c r="TZK88" s="790"/>
      <c r="TZL88" s="790"/>
      <c r="TZM88" s="790"/>
      <c r="TZN88" s="790"/>
      <c r="TZO88" s="790"/>
      <c r="TZP88" s="790"/>
      <c r="TZQ88" s="790"/>
      <c r="TZR88" s="790"/>
      <c r="TZS88" s="790"/>
      <c r="TZT88" s="790"/>
      <c r="TZU88" s="790"/>
      <c r="TZV88" s="790"/>
      <c r="TZW88" s="790"/>
      <c r="TZX88" s="790"/>
      <c r="TZY88" s="790"/>
      <c r="TZZ88" s="790"/>
      <c r="UAA88" s="790"/>
      <c r="UAB88" s="790"/>
      <c r="UAC88" s="790"/>
      <c r="UAD88" s="790"/>
      <c r="UAE88" s="790"/>
      <c r="UAF88" s="790"/>
      <c r="UAG88" s="790"/>
      <c r="UAH88" s="790"/>
      <c r="UAI88" s="790"/>
      <c r="UAJ88" s="790"/>
      <c r="UAK88" s="790"/>
      <c r="UAL88" s="790"/>
      <c r="UAM88" s="790"/>
      <c r="UAN88" s="790"/>
      <c r="UAO88" s="790"/>
      <c r="UAP88" s="790"/>
      <c r="UAQ88" s="790"/>
      <c r="UAR88" s="790"/>
      <c r="UAS88" s="790"/>
      <c r="UAT88" s="790"/>
      <c r="UAU88" s="790"/>
      <c r="UAV88" s="790"/>
      <c r="UAW88" s="790"/>
      <c r="UAX88" s="790"/>
      <c r="UAY88" s="790"/>
      <c r="UAZ88" s="790"/>
      <c r="UBA88" s="790"/>
      <c r="UBB88" s="790"/>
      <c r="UBC88" s="790"/>
      <c r="UBD88" s="790"/>
      <c r="UBE88" s="790"/>
      <c r="UBF88" s="790"/>
      <c r="UBG88" s="790"/>
      <c r="UBH88" s="790"/>
      <c r="UBI88" s="790"/>
      <c r="UBJ88" s="790"/>
      <c r="UBK88" s="790"/>
      <c r="UBL88" s="790"/>
      <c r="UBM88" s="790"/>
      <c r="UBN88" s="790"/>
      <c r="UBO88" s="790"/>
      <c r="UBP88" s="790"/>
      <c r="UBQ88" s="790"/>
      <c r="UBR88" s="790"/>
      <c r="UBS88" s="790"/>
      <c r="UBT88" s="790"/>
      <c r="UBU88" s="790"/>
      <c r="UBV88" s="790"/>
      <c r="UBW88" s="790"/>
      <c r="UBX88" s="790"/>
      <c r="UBY88" s="790"/>
      <c r="UBZ88" s="790"/>
      <c r="UCA88" s="790"/>
      <c r="UCB88" s="790"/>
      <c r="UCC88" s="790"/>
      <c r="UCD88" s="790"/>
      <c r="UCE88" s="790"/>
      <c r="UCF88" s="790"/>
      <c r="UCG88" s="790"/>
      <c r="UCH88" s="790"/>
      <c r="UCI88" s="790"/>
      <c r="UCJ88" s="790"/>
      <c r="UCK88" s="790"/>
      <c r="UCL88" s="790"/>
      <c r="UCM88" s="790"/>
      <c r="UCN88" s="790"/>
      <c r="UCO88" s="790"/>
      <c r="UCP88" s="790"/>
      <c r="UCQ88" s="790"/>
      <c r="UCR88" s="790"/>
      <c r="UCS88" s="790"/>
      <c r="UCT88" s="790"/>
      <c r="UCU88" s="790"/>
      <c r="UCV88" s="790"/>
      <c r="UCW88" s="790"/>
      <c r="UCX88" s="790"/>
      <c r="UCY88" s="790"/>
      <c r="UCZ88" s="790"/>
      <c r="UDA88" s="790"/>
      <c r="UDB88" s="790"/>
      <c r="UDC88" s="790"/>
      <c r="UDD88" s="790"/>
      <c r="UDE88" s="790"/>
      <c r="UDF88" s="790"/>
      <c r="UDG88" s="790"/>
      <c r="UDH88" s="790"/>
      <c r="UDI88" s="790"/>
      <c r="UDJ88" s="790"/>
      <c r="UDK88" s="790"/>
      <c r="UDL88" s="790"/>
      <c r="UDM88" s="790"/>
      <c r="UDN88" s="790"/>
      <c r="UDO88" s="790"/>
      <c r="UDP88" s="790"/>
      <c r="UDQ88" s="790"/>
      <c r="UDR88" s="790"/>
      <c r="UDS88" s="790"/>
      <c r="UDT88" s="790"/>
      <c r="UDU88" s="790"/>
      <c r="UDV88" s="790"/>
      <c r="UDW88" s="790"/>
      <c r="UDX88" s="790"/>
      <c r="UDY88" s="790"/>
      <c r="UDZ88" s="790"/>
      <c r="UEA88" s="790"/>
      <c r="UEB88" s="790"/>
      <c r="UEC88" s="790"/>
      <c r="UED88" s="790"/>
      <c r="UEE88" s="790"/>
      <c r="UEF88" s="790"/>
      <c r="UEG88" s="790"/>
      <c r="UEH88" s="790"/>
      <c r="UEI88" s="790"/>
      <c r="UEJ88" s="790"/>
      <c r="UEK88" s="790"/>
      <c r="UEL88" s="790"/>
      <c r="UEM88" s="790"/>
      <c r="UEN88" s="790"/>
      <c r="UEO88" s="790"/>
      <c r="UEP88" s="790"/>
      <c r="UEQ88" s="790"/>
      <c r="UER88" s="790"/>
      <c r="UES88" s="790"/>
      <c r="UET88" s="790"/>
      <c r="UEU88" s="790"/>
      <c r="UEV88" s="790"/>
      <c r="UEW88" s="790"/>
      <c r="UEX88" s="790"/>
      <c r="UEY88" s="790"/>
      <c r="UEZ88" s="790"/>
      <c r="UFA88" s="790"/>
      <c r="UFB88" s="790"/>
      <c r="UFC88" s="790"/>
      <c r="UFD88" s="790"/>
      <c r="UFE88" s="790"/>
      <c r="UFF88" s="790"/>
      <c r="UFG88" s="790"/>
      <c r="UFH88" s="790"/>
      <c r="UFI88" s="790"/>
      <c r="UFJ88" s="790"/>
      <c r="UFK88" s="790"/>
      <c r="UFL88" s="790"/>
      <c r="UFM88" s="790"/>
      <c r="UFN88" s="790"/>
      <c r="UFO88" s="790"/>
      <c r="UFP88" s="790"/>
      <c r="UFQ88" s="790"/>
      <c r="UFR88" s="790"/>
      <c r="UFS88" s="790"/>
      <c r="UFT88" s="790"/>
      <c r="UFU88" s="790"/>
      <c r="UFV88" s="790"/>
      <c r="UFW88" s="790"/>
      <c r="UFX88" s="790"/>
      <c r="UFY88" s="790"/>
      <c r="UFZ88" s="790"/>
      <c r="UGA88" s="790"/>
      <c r="UGB88" s="790"/>
      <c r="UGC88" s="790"/>
      <c r="UGD88" s="790"/>
      <c r="UGE88" s="790"/>
      <c r="UGF88" s="790"/>
      <c r="UGG88" s="790"/>
      <c r="UGH88" s="790"/>
      <c r="UGI88" s="790"/>
      <c r="UGJ88" s="790"/>
      <c r="UGK88" s="790"/>
      <c r="UGL88" s="790"/>
      <c r="UGM88" s="790"/>
      <c r="UGN88" s="790"/>
      <c r="UGO88" s="790"/>
      <c r="UGP88" s="790"/>
      <c r="UGQ88" s="790"/>
      <c r="UGR88" s="790"/>
      <c r="UGS88" s="790"/>
      <c r="UGT88" s="790"/>
      <c r="UGU88" s="790"/>
      <c r="UGV88" s="790"/>
      <c r="UGW88" s="790"/>
      <c r="UGX88" s="790"/>
      <c r="UGY88" s="790"/>
      <c r="UGZ88" s="790"/>
      <c r="UHA88" s="790"/>
      <c r="UHB88" s="790"/>
      <c r="UHC88" s="790"/>
      <c r="UHD88" s="790"/>
      <c r="UHE88" s="790"/>
      <c r="UHF88" s="790"/>
      <c r="UHG88" s="790"/>
      <c r="UHH88" s="790"/>
      <c r="UHI88" s="790"/>
      <c r="UHJ88" s="790"/>
      <c r="UHK88" s="790"/>
      <c r="UHL88" s="790"/>
      <c r="UHM88" s="790"/>
      <c r="UHN88" s="790"/>
      <c r="UHO88" s="790"/>
      <c r="UHP88" s="790"/>
      <c r="UHQ88" s="790"/>
      <c r="UHR88" s="790"/>
      <c r="UHS88" s="790"/>
      <c r="UHT88" s="790"/>
      <c r="UHU88" s="790"/>
      <c r="UHV88" s="790"/>
      <c r="UHW88" s="790"/>
      <c r="UHX88" s="790"/>
      <c r="UHY88" s="790"/>
      <c r="UHZ88" s="790"/>
      <c r="UIA88" s="790"/>
      <c r="UIB88" s="790"/>
      <c r="UIC88" s="790"/>
      <c r="UID88" s="790"/>
      <c r="UIE88" s="790"/>
      <c r="UIF88" s="790"/>
      <c r="UIG88" s="790"/>
      <c r="UIH88" s="790"/>
      <c r="UII88" s="790"/>
      <c r="UIJ88" s="790"/>
      <c r="UIK88" s="790"/>
      <c r="UIL88" s="790"/>
      <c r="UIM88" s="790"/>
      <c r="UIN88" s="790"/>
      <c r="UIO88" s="790"/>
      <c r="UIP88" s="790"/>
      <c r="UIQ88" s="790"/>
      <c r="UIR88" s="790"/>
      <c r="UIS88" s="790"/>
      <c r="UIT88" s="790"/>
      <c r="UIU88" s="790"/>
      <c r="UIV88" s="790"/>
      <c r="UIW88" s="790"/>
      <c r="UIX88" s="790"/>
      <c r="UIY88" s="790"/>
      <c r="UIZ88" s="790"/>
      <c r="UJA88" s="790"/>
      <c r="UJB88" s="790"/>
      <c r="UJC88" s="790"/>
      <c r="UJD88" s="790"/>
      <c r="UJE88" s="790"/>
      <c r="UJF88" s="790"/>
      <c r="UJG88" s="790"/>
      <c r="UJH88" s="790"/>
      <c r="UJI88" s="790"/>
      <c r="UJJ88" s="790"/>
      <c r="UJK88" s="790"/>
      <c r="UJL88" s="790"/>
      <c r="UJM88" s="790"/>
      <c r="UJN88" s="790"/>
      <c r="UJO88" s="790"/>
      <c r="UJP88" s="790"/>
      <c r="UJQ88" s="790"/>
      <c r="UJR88" s="790"/>
      <c r="UJS88" s="790"/>
      <c r="UJT88" s="790"/>
      <c r="UJU88" s="790"/>
      <c r="UJV88" s="790"/>
      <c r="UJW88" s="790"/>
      <c r="UJX88" s="790"/>
      <c r="UJY88" s="790"/>
      <c r="UJZ88" s="790"/>
      <c r="UKA88" s="790"/>
      <c r="UKB88" s="790"/>
      <c r="UKC88" s="790"/>
      <c r="UKD88" s="790"/>
      <c r="UKE88" s="790"/>
      <c r="UKF88" s="790"/>
      <c r="UKG88" s="790"/>
      <c r="UKH88" s="790"/>
      <c r="UKI88" s="790"/>
      <c r="UKJ88" s="790"/>
      <c r="UKK88" s="790"/>
      <c r="UKL88" s="790"/>
      <c r="UKM88" s="790"/>
      <c r="UKN88" s="790"/>
      <c r="UKO88" s="790"/>
      <c r="UKP88" s="790"/>
      <c r="UKQ88" s="790"/>
      <c r="UKR88" s="790"/>
      <c r="UKS88" s="790"/>
      <c r="UKT88" s="790"/>
      <c r="UKU88" s="790"/>
      <c r="UKV88" s="790"/>
      <c r="UKW88" s="790"/>
      <c r="UKX88" s="790"/>
      <c r="UKY88" s="790"/>
      <c r="UKZ88" s="790"/>
      <c r="ULA88" s="790"/>
      <c r="ULB88" s="790"/>
      <c r="ULC88" s="790"/>
      <c r="ULD88" s="790"/>
      <c r="ULE88" s="790"/>
      <c r="ULF88" s="790"/>
      <c r="ULG88" s="790"/>
      <c r="ULH88" s="790"/>
      <c r="ULI88" s="790"/>
      <c r="ULJ88" s="790"/>
      <c r="ULK88" s="790"/>
      <c r="ULL88" s="790"/>
      <c r="ULM88" s="790"/>
      <c r="ULN88" s="790"/>
      <c r="ULO88" s="790"/>
      <c r="ULP88" s="790"/>
      <c r="ULQ88" s="790"/>
      <c r="ULR88" s="790"/>
      <c r="ULS88" s="790"/>
      <c r="ULT88" s="790"/>
      <c r="ULU88" s="790"/>
      <c r="ULV88" s="790"/>
      <c r="ULW88" s="790"/>
      <c r="ULX88" s="790"/>
      <c r="ULY88" s="790"/>
      <c r="ULZ88" s="790"/>
      <c r="UMA88" s="790"/>
      <c r="UMB88" s="790"/>
      <c r="UMC88" s="790"/>
      <c r="UMD88" s="790"/>
      <c r="UME88" s="790"/>
      <c r="UMF88" s="790"/>
      <c r="UMG88" s="790"/>
      <c r="UMH88" s="790"/>
      <c r="UMI88" s="790"/>
      <c r="UMJ88" s="790"/>
      <c r="UMK88" s="790"/>
      <c r="UML88" s="790"/>
      <c r="UMM88" s="790"/>
      <c r="UMN88" s="790"/>
      <c r="UMO88" s="790"/>
      <c r="UMP88" s="790"/>
      <c r="UMQ88" s="790"/>
      <c r="UMR88" s="790"/>
      <c r="UMS88" s="790"/>
      <c r="UMT88" s="790"/>
      <c r="UMU88" s="790"/>
      <c r="UMV88" s="790"/>
      <c r="UMW88" s="790"/>
      <c r="UMX88" s="790"/>
      <c r="UMY88" s="790"/>
      <c r="UMZ88" s="790"/>
      <c r="UNA88" s="790"/>
      <c r="UNB88" s="790"/>
      <c r="UNC88" s="790"/>
      <c r="UND88" s="790"/>
      <c r="UNE88" s="790"/>
      <c r="UNF88" s="790"/>
      <c r="UNG88" s="790"/>
      <c r="UNH88" s="790"/>
      <c r="UNI88" s="790"/>
      <c r="UNJ88" s="790"/>
      <c r="UNK88" s="790"/>
      <c r="UNL88" s="790"/>
      <c r="UNM88" s="790"/>
      <c r="UNN88" s="790"/>
      <c r="UNO88" s="790"/>
      <c r="UNP88" s="790"/>
      <c r="UNQ88" s="790"/>
      <c r="UNR88" s="790"/>
      <c r="UNS88" s="790"/>
      <c r="UNT88" s="790"/>
      <c r="UNU88" s="790"/>
      <c r="UNV88" s="790"/>
      <c r="UNW88" s="790"/>
      <c r="UNX88" s="790"/>
      <c r="UNY88" s="790"/>
      <c r="UNZ88" s="790"/>
      <c r="UOA88" s="790"/>
      <c r="UOB88" s="790"/>
      <c r="UOC88" s="790"/>
      <c r="UOD88" s="790"/>
      <c r="UOE88" s="790"/>
      <c r="UOF88" s="790"/>
      <c r="UOG88" s="790"/>
      <c r="UOH88" s="790"/>
      <c r="UOI88" s="790"/>
      <c r="UOJ88" s="790"/>
      <c r="UOK88" s="790"/>
      <c r="UOL88" s="790"/>
      <c r="UOM88" s="790"/>
      <c r="UON88" s="790"/>
      <c r="UOO88" s="790"/>
      <c r="UOP88" s="790"/>
      <c r="UOQ88" s="790"/>
      <c r="UOR88" s="790"/>
      <c r="UOS88" s="790"/>
      <c r="UOT88" s="790"/>
      <c r="UOU88" s="790"/>
      <c r="UOV88" s="790"/>
      <c r="UOW88" s="790"/>
      <c r="UOX88" s="790"/>
      <c r="UOY88" s="790"/>
      <c r="UOZ88" s="790"/>
      <c r="UPA88" s="790"/>
      <c r="UPB88" s="790"/>
      <c r="UPC88" s="790"/>
      <c r="UPD88" s="790"/>
      <c r="UPE88" s="790"/>
      <c r="UPF88" s="790"/>
      <c r="UPG88" s="790"/>
      <c r="UPH88" s="790"/>
      <c r="UPI88" s="790"/>
      <c r="UPJ88" s="790"/>
      <c r="UPK88" s="790"/>
      <c r="UPL88" s="790"/>
      <c r="UPM88" s="790"/>
      <c r="UPN88" s="790"/>
      <c r="UPO88" s="790"/>
      <c r="UPP88" s="790"/>
      <c r="UPQ88" s="790"/>
      <c r="UPR88" s="790"/>
      <c r="UPS88" s="790"/>
      <c r="UPT88" s="790"/>
      <c r="UPU88" s="790"/>
      <c r="UPV88" s="790"/>
      <c r="UPW88" s="790"/>
      <c r="UPX88" s="790"/>
      <c r="UPY88" s="790"/>
      <c r="UPZ88" s="790"/>
      <c r="UQA88" s="790"/>
      <c r="UQB88" s="790"/>
      <c r="UQC88" s="790"/>
      <c r="UQD88" s="790"/>
      <c r="UQE88" s="790"/>
      <c r="UQF88" s="790"/>
      <c r="UQG88" s="790"/>
      <c r="UQH88" s="790"/>
      <c r="UQI88" s="790"/>
      <c r="UQJ88" s="790"/>
      <c r="UQK88" s="790"/>
      <c r="UQL88" s="790"/>
      <c r="UQM88" s="790"/>
      <c r="UQN88" s="790"/>
      <c r="UQO88" s="790"/>
      <c r="UQP88" s="790"/>
      <c r="UQQ88" s="790"/>
      <c r="UQR88" s="790"/>
      <c r="UQS88" s="790"/>
      <c r="UQT88" s="790"/>
      <c r="UQU88" s="790"/>
      <c r="UQV88" s="790"/>
      <c r="UQW88" s="790"/>
      <c r="UQX88" s="790"/>
      <c r="UQY88" s="790"/>
      <c r="UQZ88" s="790"/>
      <c r="URA88" s="790"/>
      <c r="URB88" s="790"/>
      <c r="URC88" s="790"/>
      <c r="URD88" s="790"/>
      <c r="URE88" s="790"/>
      <c r="URF88" s="790"/>
      <c r="URG88" s="790"/>
      <c r="URH88" s="790"/>
      <c r="URI88" s="790"/>
      <c r="URJ88" s="790"/>
      <c r="URK88" s="790"/>
      <c r="URL88" s="790"/>
      <c r="URM88" s="790"/>
      <c r="URN88" s="790"/>
      <c r="URO88" s="790"/>
      <c r="URP88" s="790"/>
      <c r="URQ88" s="790"/>
      <c r="URR88" s="790"/>
      <c r="URS88" s="790"/>
      <c r="URT88" s="790"/>
      <c r="URU88" s="790"/>
      <c r="URV88" s="790"/>
      <c r="URW88" s="790"/>
      <c r="URX88" s="790"/>
      <c r="URY88" s="790"/>
      <c r="URZ88" s="790"/>
      <c r="USA88" s="790"/>
      <c r="USB88" s="790"/>
      <c r="USC88" s="790"/>
      <c r="USD88" s="790"/>
      <c r="USE88" s="790"/>
      <c r="USF88" s="790"/>
      <c r="USG88" s="790"/>
      <c r="USH88" s="790"/>
      <c r="USI88" s="790"/>
      <c r="USJ88" s="790"/>
      <c r="USK88" s="790"/>
      <c r="USL88" s="790"/>
      <c r="USM88" s="790"/>
      <c r="USN88" s="790"/>
      <c r="USO88" s="790"/>
      <c r="USP88" s="790"/>
      <c r="USQ88" s="790"/>
      <c r="USR88" s="790"/>
      <c r="USS88" s="790"/>
      <c r="UST88" s="790"/>
      <c r="USU88" s="790"/>
      <c r="USV88" s="790"/>
      <c r="USW88" s="790"/>
      <c r="USX88" s="790"/>
      <c r="USY88" s="790"/>
      <c r="USZ88" s="790"/>
      <c r="UTA88" s="790"/>
      <c r="UTB88" s="790"/>
      <c r="UTC88" s="790"/>
      <c r="UTD88" s="790"/>
      <c r="UTE88" s="790"/>
      <c r="UTF88" s="790"/>
      <c r="UTG88" s="790"/>
      <c r="UTH88" s="790"/>
      <c r="UTI88" s="790"/>
      <c r="UTJ88" s="790"/>
      <c r="UTK88" s="790"/>
      <c r="UTL88" s="790"/>
      <c r="UTM88" s="790"/>
      <c r="UTN88" s="790"/>
      <c r="UTO88" s="790"/>
      <c r="UTP88" s="790"/>
      <c r="UTQ88" s="790"/>
      <c r="UTR88" s="790"/>
      <c r="UTS88" s="790"/>
      <c r="UTT88" s="790"/>
      <c r="UTU88" s="790"/>
      <c r="UTV88" s="790"/>
      <c r="UTW88" s="790"/>
      <c r="UTX88" s="790"/>
      <c r="UTY88" s="790"/>
      <c r="UTZ88" s="790"/>
      <c r="UUA88" s="790"/>
      <c r="UUB88" s="790"/>
      <c r="UUC88" s="790"/>
      <c r="UUD88" s="790"/>
      <c r="UUE88" s="790"/>
      <c r="UUF88" s="790"/>
      <c r="UUG88" s="790"/>
      <c r="UUH88" s="790"/>
      <c r="UUI88" s="790"/>
      <c r="UUJ88" s="790"/>
      <c r="UUK88" s="790"/>
      <c r="UUL88" s="790"/>
      <c r="UUM88" s="790"/>
      <c r="UUN88" s="790"/>
      <c r="UUO88" s="790"/>
      <c r="UUP88" s="790"/>
      <c r="UUQ88" s="790"/>
      <c r="UUR88" s="790"/>
      <c r="UUS88" s="790"/>
      <c r="UUT88" s="790"/>
      <c r="UUU88" s="790"/>
      <c r="UUV88" s="790"/>
      <c r="UUW88" s="790"/>
      <c r="UUX88" s="790"/>
      <c r="UUY88" s="790"/>
      <c r="UUZ88" s="790"/>
      <c r="UVA88" s="790"/>
      <c r="UVB88" s="790"/>
      <c r="UVC88" s="790"/>
      <c r="UVD88" s="790"/>
      <c r="UVE88" s="790"/>
      <c r="UVF88" s="790"/>
      <c r="UVG88" s="790"/>
      <c r="UVH88" s="790"/>
      <c r="UVI88" s="790"/>
      <c r="UVJ88" s="790"/>
      <c r="UVK88" s="790"/>
      <c r="UVL88" s="790"/>
      <c r="UVM88" s="790"/>
      <c r="UVN88" s="790"/>
      <c r="UVO88" s="790"/>
      <c r="UVP88" s="790"/>
      <c r="UVQ88" s="790"/>
      <c r="UVR88" s="790"/>
      <c r="UVS88" s="790"/>
      <c r="UVT88" s="790"/>
      <c r="UVU88" s="790"/>
      <c r="UVV88" s="790"/>
      <c r="UVW88" s="790"/>
      <c r="UVX88" s="790"/>
      <c r="UVY88" s="790"/>
      <c r="UVZ88" s="790"/>
      <c r="UWA88" s="790"/>
      <c r="UWB88" s="790"/>
      <c r="UWC88" s="790"/>
      <c r="UWD88" s="790"/>
      <c r="UWE88" s="790"/>
      <c r="UWF88" s="790"/>
      <c r="UWG88" s="790"/>
      <c r="UWH88" s="790"/>
      <c r="UWI88" s="790"/>
      <c r="UWJ88" s="790"/>
      <c r="UWK88" s="790"/>
      <c r="UWL88" s="790"/>
      <c r="UWM88" s="790"/>
      <c r="UWN88" s="790"/>
      <c r="UWO88" s="790"/>
      <c r="UWP88" s="790"/>
      <c r="UWQ88" s="790"/>
      <c r="UWR88" s="790"/>
      <c r="UWS88" s="790"/>
      <c r="UWT88" s="790"/>
      <c r="UWU88" s="790"/>
      <c r="UWV88" s="790"/>
      <c r="UWW88" s="790"/>
      <c r="UWX88" s="790"/>
      <c r="UWY88" s="790"/>
      <c r="UWZ88" s="790"/>
      <c r="UXA88" s="790"/>
      <c r="UXB88" s="790"/>
      <c r="UXC88" s="790"/>
      <c r="UXD88" s="790"/>
      <c r="UXE88" s="790"/>
      <c r="UXF88" s="790"/>
      <c r="UXG88" s="790"/>
      <c r="UXH88" s="790"/>
      <c r="UXI88" s="790"/>
      <c r="UXJ88" s="790"/>
      <c r="UXK88" s="790"/>
      <c r="UXL88" s="790"/>
      <c r="UXM88" s="790"/>
      <c r="UXN88" s="790"/>
      <c r="UXO88" s="790"/>
      <c r="UXP88" s="790"/>
      <c r="UXQ88" s="790"/>
      <c r="UXR88" s="790"/>
      <c r="UXS88" s="790"/>
      <c r="UXT88" s="790"/>
      <c r="UXU88" s="790"/>
      <c r="UXV88" s="790"/>
      <c r="UXW88" s="790"/>
      <c r="UXX88" s="790"/>
      <c r="UXY88" s="790"/>
      <c r="UXZ88" s="790"/>
      <c r="UYA88" s="790"/>
      <c r="UYB88" s="790"/>
      <c r="UYC88" s="790"/>
      <c r="UYD88" s="790"/>
      <c r="UYE88" s="790"/>
      <c r="UYF88" s="790"/>
      <c r="UYG88" s="790"/>
      <c r="UYH88" s="790"/>
      <c r="UYI88" s="790"/>
      <c r="UYJ88" s="790"/>
      <c r="UYK88" s="790"/>
      <c r="UYL88" s="790"/>
      <c r="UYM88" s="790"/>
      <c r="UYN88" s="790"/>
      <c r="UYO88" s="790"/>
      <c r="UYP88" s="790"/>
      <c r="UYQ88" s="790"/>
      <c r="UYR88" s="790"/>
      <c r="UYS88" s="790"/>
      <c r="UYT88" s="790"/>
      <c r="UYU88" s="790"/>
      <c r="UYV88" s="790"/>
      <c r="UYW88" s="790"/>
      <c r="UYX88" s="790"/>
      <c r="UYY88" s="790"/>
      <c r="UYZ88" s="790"/>
      <c r="UZA88" s="790"/>
      <c r="UZB88" s="790"/>
      <c r="UZC88" s="790"/>
      <c r="UZD88" s="790"/>
      <c r="UZE88" s="790"/>
      <c r="UZF88" s="790"/>
      <c r="UZG88" s="790"/>
      <c r="UZH88" s="790"/>
      <c r="UZI88" s="790"/>
      <c r="UZJ88" s="790"/>
      <c r="UZK88" s="790"/>
      <c r="UZL88" s="790"/>
      <c r="UZM88" s="790"/>
      <c r="UZN88" s="790"/>
      <c r="UZO88" s="790"/>
      <c r="UZP88" s="790"/>
      <c r="UZQ88" s="790"/>
      <c r="UZR88" s="790"/>
      <c r="UZS88" s="790"/>
      <c r="UZT88" s="790"/>
      <c r="UZU88" s="790"/>
      <c r="UZV88" s="790"/>
      <c r="UZW88" s="790"/>
      <c r="UZX88" s="790"/>
      <c r="UZY88" s="790"/>
      <c r="UZZ88" s="790"/>
      <c r="VAA88" s="790"/>
      <c r="VAB88" s="790"/>
      <c r="VAC88" s="790"/>
      <c r="VAD88" s="790"/>
      <c r="VAE88" s="790"/>
      <c r="VAF88" s="790"/>
      <c r="VAG88" s="790"/>
      <c r="VAH88" s="790"/>
      <c r="VAI88" s="790"/>
      <c r="VAJ88" s="790"/>
      <c r="VAK88" s="790"/>
      <c r="VAL88" s="790"/>
      <c r="VAM88" s="790"/>
      <c r="VAN88" s="790"/>
      <c r="VAO88" s="790"/>
      <c r="VAP88" s="790"/>
      <c r="VAQ88" s="790"/>
      <c r="VAR88" s="790"/>
      <c r="VAS88" s="790"/>
      <c r="VAT88" s="790"/>
      <c r="VAU88" s="790"/>
      <c r="VAV88" s="790"/>
      <c r="VAW88" s="790"/>
      <c r="VAX88" s="790"/>
      <c r="VAY88" s="790"/>
      <c r="VAZ88" s="790"/>
      <c r="VBA88" s="790"/>
      <c r="VBB88" s="790"/>
      <c r="VBC88" s="790"/>
      <c r="VBD88" s="790"/>
      <c r="VBE88" s="790"/>
      <c r="VBF88" s="790"/>
      <c r="VBG88" s="790"/>
      <c r="VBH88" s="790"/>
      <c r="VBI88" s="790"/>
      <c r="VBJ88" s="790"/>
      <c r="VBK88" s="790"/>
      <c r="VBL88" s="790"/>
      <c r="VBM88" s="790"/>
      <c r="VBN88" s="790"/>
      <c r="VBO88" s="790"/>
      <c r="VBP88" s="790"/>
      <c r="VBQ88" s="790"/>
      <c r="VBR88" s="790"/>
      <c r="VBS88" s="790"/>
      <c r="VBT88" s="790"/>
      <c r="VBU88" s="790"/>
      <c r="VBV88" s="790"/>
      <c r="VBW88" s="790"/>
      <c r="VBX88" s="790"/>
      <c r="VBY88" s="790"/>
      <c r="VBZ88" s="790"/>
      <c r="VCA88" s="790"/>
      <c r="VCB88" s="790"/>
      <c r="VCC88" s="790"/>
      <c r="VCD88" s="790"/>
      <c r="VCE88" s="790"/>
      <c r="VCF88" s="790"/>
      <c r="VCG88" s="790"/>
      <c r="VCH88" s="790"/>
      <c r="VCI88" s="790"/>
      <c r="VCJ88" s="790"/>
      <c r="VCK88" s="790"/>
      <c r="VCL88" s="790"/>
      <c r="VCM88" s="790"/>
      <c r="VCN88" s="790"/>
      <c r="VCO88" s="790"/>
      <c r="VCP88" s="790"/>
      <c r="VCQ88" s="790"/>
      <c r="VCR88" s="790"/>
      <c r="VCS88" s="790"/>
      <c r="VCT88" s="790"/>
      <c r="VCU88" s="790"/>
      <c r="VCV88" s="790"/>
      <c r="VCW88" s="790"/>
      <c r="VCX88" s="790"/>
      <c r="VCY88" s="790"/>
      <c r="VCZ88" s="790"/>
      <c r="VDA88" s="790"/>
      <c r="VDB88" s="790"/>
      <c r="VDC88" s="790"/>
      <c r="VDD88" s="790"/>
      <c r="VDE88" s="790"/>
      <c r="VDF88" s="790"/>
      <c r="VDG88" s="790"/>
      <c r="VDH88" s="790"/>
      <c r="VDI88" s="790"/>
      <c r="VDJ88" s="790"/>
      <c r="VDK88" s="790"/>
      <c r="VDL88" s="790"/>
      <c r="VDM88" s="790"/>
      <c r="VDN88" s="790"/>
      <c r="VDO88" s="790"/>
      <c r="VDP88" s="790"/>
      <c r="VDQ88" s="790"/>
      <c r="VDR88" s="790"/>
      <c r="VDS88" s="790"/>
      <c r="VDT88" s="790"/>
      <c r="VDU88" s="790"/>
      <c r="VDV88" s="790"/>
      <c r="VDW88" s="790"/>
      <c r="VDX88" s="790"/>
      <c r="VDY88" s="790"/>
      <c r="VDZ88" s="790"/>
      <c r="VEA88" s="790"/>
      <c r="VEB88" s="790"/>
      <c r="VEC88" s="790"/>
      <c r="VED88" s="790"/>
      <c r="VEE88" s="790"/>
      <c r="VEF88" s="790"/>
      <c r="VEG88" s="790"/>
      <c r="VEH88" s="790"/>
      <c r="VEI88" s="790"/>
      <c r="VEJ88" s="790"/>
      <c r="VEK88" s="790"/>
      <c r="VEL88" s="790"/>
      <c r="VEM88" s="790"/>
      <c r="VEN88" s="790"/>
      <c r="VEO88" s="790"/>
      <c r="VEP88" s="790"/>
      <c r="VEQ88" s="790"/>
      <c r="VER88" s="790"/>
      <c r="VES88" s="790"/>
      <c r="VET88" s="790"/>
      <c r="VEU88" s="790"/>
      <c r="VEV88" s="790"/>
      <c r="VEW88" s="790"/>
      <c r="VEX88" s="790"/>
      <c r="VEY88" s="790"/>
      <c r="VEZ88" s="790"/>
      <c r="VFA88" s="790"/>
      <c r="VFB88" s="790"/>
      <c r="VFC88" s="790"/>
      <c r="VFD88" s="790"/>
      <c r="VFE88" s="790"/>
      <c r="VFF88" s="790"/>
      <c r="VFG88" s="790"/>
      <c r="VFH88" s="790"/>
      <c r="VFI88" s="790"/>
      <c r="VFJ88" s="790"/>
      <c r="VFK88" s="790"/>
      <c r="VFL88" s="790"/>
      <c r="VFM88" s="790"/>
      <c r="VFN88" s="790"/>
      <c r="VFO88" s="790"/>
      <c r="VFP88" s="790"/>
      <c r="VFQ88" s="790"/>
      <c r="VFR88" s="790"/>
      <c r="VFS88" s="790"/>
      <c r="VFT88" s="790"/>
      <c r="VFU88" s="790"/>
      <c r="VFV88" s="790"/>
      <c r="VFW88" s="790"/>
      <c r="VFX88" s="790"/>
      <c r="VFY88" s="790"/>
      <c r="VFZ88" s="790"/>
      <c r="VGA88" s="790"/>
      <c r="VGB88" s="790"/>
      <c r="VGC88" s="790"/>
      <c r="VGD88" s="790"/>
      <c r="VGE88" s="790"/>
      <c r="VGF88" s="790"/>
      <c r="VGG88" s="790"/>
      <c r="VGH88" s="790"/>
      <c r="VGI88" s="790"/>
      <c r="VGJ88" s="790"/>
      <c r="VGK88" s="790"/>
      <c r="VGL88" s="790"/>
      <c r="VGM88" s="790"/>
      <c r="VGN88" s="790"/>
      <c r="VGO88" s="790"/>
      <c r="VGP88" s="790"/>
      <c r="VGQ88" s="790"/>
      <c r="VGR88" s="790"/>
      <c r="VGS88" s="790"/>
      <c r="VGT88" s="790"/>
      <c r="VGU88" s="790"/>
      <c r="VGV88" s="790"/>
      <c r="VGW88" s="790"/>
      <c r="VGX88" s="790"/>
      <c r="VGY88" s="790"/>
      <c r="VGZ88" s="790"/>
      <c r="VHA88" s="790"/>
      <c r="VHB88" s="790"/>
      <c r="VHC88" s="790"/>
      <c r="VHD88" s="790"/>
      <c r="VHE88" s="790"/>
      <c r="VHF88" s="790"/>
      <c r="VHG88" s="790"/>
      <c r="VHH88" s="790"/>
      <c r="VHI88" s="790"/>
      <c r="VHJ88" s="790"/>
      <c r="VHK88" s="790"/>
      <c r="VHL88" s="790"/>
      <c r="VHM88" s="790"/>
      <c r="VHN88" s="790"/>
      <c r="VHO88" s="790"/>
      <c r="VHP88" s="790"/>
      <c r="VHQ88" s="790"/>
      <c r="VHR88" s="790"/>
      <c r="VHS88" s="790"/>
      <c r="VHT88" s="790"/>
      <c r="VHU88" s="790"/>
      <c r="VHV88" s="790"/>
      <c r="VHW88" s="790"/>
      <c r="VHX88" s="790"/>
      <c r="VHY88" s="790"/>
      <c r="VHZ88" s="790"/>
      <c r="VIA88" s="790"/>
      <c r="VIB88" s="790"/>
      <c r="VIC88" s="790"/>
      <c r="VID88" s="790"/>
      <c r="VIE88" s="790"/>
      <c r="VIF88" s="790"/>
      <c r="VIG88" s="790"/>
      <c r="VIH88" s="790"/>
      <c r="VII88" s="790"/>
      <c r="VIJ88" s="790"/>
      <c r="VIK88" s="790"/>
      <c r="VIL88" s="790"/>
      <c r="VIM88" s="790"/>
      <c r="VIN88" s="790"/>
      <c r="VIO88" s="790"/>
      <c r="VIP88" s="790"/>
      <c r="VIQ88" s="790"/>
      <c r="VIR88" s="790"/>
      <c r="VIS88" s="790"/>
      <c r="VIT88" s="790"/>
      <c r="VIU88" s="790"/>
      <c r="VIV88" s="790"/>
      <c r="VIW88" s="790"/>
      <c r="VIX88" s="790"/>
      <c r="VIY88" s="790"/>
      <c r="VIZ88" s="790"/>
      <c r="VJA88" s="790"/>
      <c r="VJB88" s="790"/>
      <c r="VJC88" s="790"/>
      <c r="VJD88" s="790"/>
      <c r="VJE88" s="790"/>
      <c r="VJF88" s="790"/>
      <c r="VJG88" s="790"/>
      <c r="VJH88" s="790"/>
      <c r="VJI88" s="790"/>
      <c r="VJJ88" s="790"/>
      <c r="VJK88" s="790"/>
      <c r="VJL88" s="790"/>
      <c r="VJM88" s="790"/>
      <c r="VJN88" s="790"/>
      <c r="VJO88" s="790"/>
      <c r="VJP88" s="790"/>
      <c r="VJQ88" s="790"/>
      <c r="VJR88" s="790"/>
      <c r="VJS88" s="790"/>
      <c r="VJT88" s="790"/>
      <c r="VJU88" s="790"/>
      <c r="VJV88" s="790"/>
      <c r="VJW88" s="790"/>
      <c r="VJX88" s="790"/>
      <c r="VJY88" s="790"/>
      <c r="VJZ88" s="790"/>
      <c r="VKA88" s="790"/>
      <c r="VKB88" s="790"/>
      <c r="VKC88" s="790"/>
      <c r="VKD88" s="790"/>
      <c r="VKE88" s="790"/>
      <c r="VKF88" s="790"/>
      <c r="VKG88" s="790"/>
      <c r="VKH88" s="790"/>
      <c r="VKI88" s="790"/>
      <c r="VKJ88" s="790"/>
      <c r="VKK88" s="790"/>
      <c r="VKL88" s="790"/>
      <c r="VKM88" s="790"/>
      <c r="VKN88" s="790"/>
      <c r="VKO88" s="790"/>
      <c r="VKP88" s="790"/>
      <c r="VKQ88" s="790"/>
      <c r="VKR88" s="790"/>
      <c r="VKS88" s="790"/>
      <c r="VKT88" s="790"/>
      <c r="VKU88" s="790"/>
      <c r="VKV88" s="790"/>
      <c r="VKW88" s="790"/>
      <c r="VKX88" s="790"/>
      <c r="VKY88" s="790"/>
      <c r="VKZ88" s="790"/>
      <c r="VLA88" s="790"/>
      <c r="VLB88" s="790"/>
      <c r="VLC88" s="790"/>
      <c r="VLD88" s="790"/>
      <c r="VLE88" s="790"/>
      <c r="VLF88" s="790"/>
      <c r="VLG88" s="790"/>
      <c r="VLH88" s="790"/>
      <c r="VLI88" s="790"/>
      <c r="VLJ88" s="790"/>
      <c r="VLK88" s="790"/>
      <c r="VLL88" s="790"/>
      <c r="VLM88" s="790"/>
      <c r="VLN88" s="790"/>
      <c r="VLO88" s="790"/>
      <c r="VLP88" s="790"/>
      <c r="VLQ88" s="790"/>
      <c r="VLR88" s="790"/>
      <c r="VLS88" s="790"/>
      <c r="VLT88" s="790"/>
      <c r="VLU88" s="790"/>
      <c r="VLV88" s="790"/>
      <c r="VLW88" s="790"/>
      <c r="VLX88" s="790"/>
      <c r="VLY88" s="790"/>
      <c r="VLZ88" s="790"/>
      <c r="VMA88" s="790"/>
      <c r="VMB88" s="790"/>
      <c r="VMC88" s="790"/>
      <c r="VMD88" s="790"/>
      <c r="VME88" s="790"/>
      <c r="VMF88" s="790"/>
      <c r="VMG88" s="790"/>
      <c r="VMH88" s="790"/>
      <c r="VMI88" s="790"/>
      <c r="VMJ88" s="790"/>
      <c r="VMK88" s="790"/>
      <c r="VML88" s="790"/>
      <c r="VMM88" s="790"/>
      <c r="VMN88" s="790"/>
      <c r="VMO88" s="790"/>
      <c r="VMP88" s="790"/>
      <c r="VMQ88" s="790"/>
      <c r="VMR88" s="790"/>
      <c r="VMS88" s="790"/>
      <c r="VMT88" s="790"/>
      <c r="VMU88" s="790"/>
      <c r="VMV88" s="790"/>
      <c r="VMW88" s="790"/>
      <c r="VMX88" s="790"/>
      <c r="VMY88" s="790"/>
      <c r="VMZ88" s="790"/>
      <c r="VNA88" s="790"/>
      <c r="VNB88" s="790"/>
      <c r="VNC88" s="790"/>
      <c r="VND88" s="790"/>
      <c r="VNE88" s="790"/>
      <c r="VNF88" s="790"/>
      <c r="VNG88" s="790"/>
      <c r="VNH88" s="790"/>
      <c r="VNI88" s="790"/>
      <c r="VNJ88" s="790"/>
      <c r="VNK88" s="790"/>
      <c r="VNL88" s="790"/>
      <c r="VNM88" s="790"/>
      <c r="VNN88" s="790"/>
      <c r="VNO88" s="790"/>
      <c r="VNP88" s="790"/>
      <c r="VNQ88" s="790"/>
      <c r="VNR88" s="790"/>
      <c r="VNS88" s="790"/>
      <c r="VNT88" s="790"/>
      <c r="VNU88" s="790"/>
      <c r="VNV88" s="790"/>
      <c r="VNW88" s="790"/>
      <c r="VNX88" s="790"/>
      <c r="VNY88" s="790"/>
      <c r="VNZ88" s="790"/>
      <c r="VOA88" s="790"/>
      <c r="VOB88" s="790"/>
      <c r="VOC88" s="790"/>
      <c r="VOD88" s="790"/>
      <c r="VOE88" s="790"/>
      <c r="VOF88" s="790"/>
      <c r="VOG88" s="790"/>
      <c r="VOH88" s="790"/>
      <c r="VOI88" s="790"/>
      <c r="VOJ88" s="790"/>
      <c r="VOK88" s="790"/>
      <c r="VOL88" s="790"/>
      <c r="VOM88" s="790"/>
      <c r="VON88" s="790"/>
      <c r="VOO88" s="790"/>
      <c r="VOP88" s="790"/>
      <c r="VOQ88" s="790"/>
      <c r="VOR88" s="790"/>
      <c r="VOS88" s="790"/>
      <c r="VOT88" s="790"/>
      <c r="VOU88" s="790"/>
      <c r="VOV88" s="790"/>
      <c r="VOW88" s="790"/>
      <c r="VOX88" s="790"/>
      <c r="VOY88" s="790"/>
      <c r="VOZ88" s="790"/>
      <c r="VPA88" s="790"/>
      <c r="VPB88" s="790"/>
      <c r="VPC88" s="790"/>
      <c r="VPD88" s="790"/>
      <c r="VPE88" s="790"/>
      <c r="VPF88" s="790"/>
      <c r="VPG88" s="790"/>
      <c r="VPH88" s="790"/>
      <c r="VPI88" s="790"/>
      <c r="VPJ88" s="790"/>
      <c r="VPK88" s="790"/>
      <c r="VPL88" s="790"/>
      <c r="VPM88" s="790"/>
      <c r="VPN88" s="790"/>
      <c r="VPO88" s="790"/>
      <c r="VPP88" s="790"/>
      <c r="VPQ88" s="790"/>
      <c r="VPR88" s="790"/>
      <c r="VPS88" s="790"/>
      <c r="VPT88" s="790"/>
      <c r="VPU88" s="790"/>
      <c r="VPV88" s="790"/>
      <c r="VPW88" s="790"/>
      <c r="VPX88" s="790"/>
      <c r="VPY88" s="790"/>
      <c r="VPZ88" s="790"/>
      <c r="VQA88" s="790"/>
      <c r="VQB88" s="790"/>
      <c r="VQC88" s="790"/>
      <c r="VQD88" s="790"/>
      <c r="VQE88" s="790"/>
      <c r="VQF88" s="790"/>
      <c r="VQG88" s="790"/>
      <c r="VQH88" s="790"/>
      <c r="VQI88" s="790"/>
      <c r="VQJ88" s="790"/>
      <c r="VQK88" s="790"/>
      <c r="VQL88" s="790"/>
      <c r="VQM88" s="790"/>
      <c r="VQN88" s="790"/>
      <c r="VQO88" s="790"/>
      <c r="VQP88" s="790"/>
      <c r="VQQ88" s="790"/>
      <c r="VQR88" s="790"/>
      <c r="VQS88" s="790"/>
      <c r="VQT88" s="790"/>
      <c r="VQU88" s="790"/>
      <c r="VQV88" s="790"/>
      <c r="VQW88" s="790"/>
      <c r="VQX88" s="790"/>
      <c r="VQY88" s="790"/>
      <c r="VQZ88" s="790"/>
      <c r="VRA88" s="790"/>
      <c r="VRB88" s="790"/>
      <c r="VRC88" s="790"/>
      <c r="VRD88" s="790"/>
      <c r="VRE88" s="790"/>
      <c r="VRF88" s="790"/>
      <c r="VRG88" s="790"/>
      <c r="VRH88" s="790"/>
      <c r="VRI88" s="790"/>
      <c r="VRJ88" s="790"/>
      <c r="VRK88" s="790"/>
      <c r="VRL88" s="790"/>
      <c r="VRM88" s="790"/>
      <c r="VRN88" s="790"/>
      <c r="VRO88" s="790"/>
      <c r="VRP88" s="790"/>
      <c r="VRQ88" s="790"/>
      <c r="VRR88" s="790"/>
      <c r="VRS88" s="790"/>
      <c r="VRT88" s="790"/>
      <c r="VRU88" s="790"/>
      <c r="VRV88" s="790"/>
      <c r="VRW88" s="790"/>
      <c r="VRX88" s="790"/>
      <c r="VRY88" s="790"/>
      <c r="VRZ88" s="790"/>
      <c r="VSA88" s="790"/>
      <c r="VSB88" s="790"/>
      <c r="VSC88" s="790"/>
      <c r="VSD88" s="790"/>
      <c r="VSE88" s="790"/>
      <c r="VSF88" s="790"/>
      <c r="VSG88" s="790"/>
      <c r="VSH88" s="790"/>
      <c r="VSI88" s="790"/>
      <c r="VSJ88" s="790"/>
      <c r="VSK88" s="790"/>
      <c r="VSL88" s="790"/>
      <c r="VSM88" s="790"/>
      <c r="VSN88" s="790"/>
      <c r="VSO88" s="790"/>
      <c r="VSP88" s="790"/>
      <c r="VSQ88" s="790"/>
      <c r="VSR88" s="790"/>
      <c r="VSS88" s="790"/>
      <c r="VST88" s="790"/>
      <c r="VSU88" s="790"/>
      <c r="VSV88" s="790"/>
      <c r="VSW88" s="790"/>
      <c r="VSX88" s="790"/>
      <c r="VSY88" s="790"/>
      <c r="VSZ88" s="790"/>
      <c r="VTA88" s="790"/>
      <c r="VTB88" s="790"/>
      <c r="VTC88" s="790"/>
      <c r="VTD88" s="790"/>
      <c r="VTE88" s="790"/>
      <c r="VTF88" s="790"/>
      <c r="VTG88" s="790"/>
      <c r="VTH88" s="790"/>
      <c r="VTI88" s="790"/>
      <c r="VTJ88" s="790"/>
      <c r="VTK88" s="790"/>
      <c r="VTL88" s="790"/>
      <c r="VTM88" s="790"/>
      <c r="VTN88" s="790"/>
      <c r="VTO88" s="790"/>
      <c r="VTP88" s="790"/>
      <c r="VTQ88" s="790"/>
      <c r="VTR88" s="790"/>
      <c r="VTS88" s="790"/>
      <c r="VTT88" s="790"/>
      <c r="VTU88" s="790"/>
      <c r="VTV88" s="790"/>
      <c r="VTW88" s="790"/>
      <c r="VTX88" s="790"/>
      <c r="VTY88" s="790"/>
      <c r="VTZ88" s="790"/>
      <c r="VUA88" s="790"/>
      <c r="VUB88" s="790"/>
      <c r="VUC88" s="790"/>
      <c r="VUD88" s="790"/>
      <c r="VUE88" s="790"/>
      <c r="VUF88" s="790"/>
      <c r="VUG88" s="790"/>
      <c r="VUH88" s="790"/>
      <c r="VUI88" s="790"/>
      <c r="VUJ88" s="790"/>
      <c r="VUK88" s="790"/>
      <c r="VUL88" s="790"/>
      <c r="VUM88" s="790"/>
      <c r="VUN88" s="790"/>
      <c r="VUO88" s="790"/>
      <c r="VUP88" s="790"/>
      <c r="VUQ88" s="790"/>
      <c r="VUR88" s="790"/>
      <c r="VUS88" s="790"/>
      <c r="VUT88" s="790"/>
      <c r="VUU88" s="790"/>
      <c r="VUV88" s="790"/>
      <c r="VUW88" s="790"/>
      <c r="VUX88" s="790"/>
      <c r="VUY88" s="790"/>
      <c r="VUZ88" s="790"/>
      <c r="VVA88" s="790"/>
      <c r="VVB88" s="790"/>
      <c r="VVC88" s="790"/>
      <c r="VVD88" s="790"/>
      <c r="VVE88" s="790"/>
      <c r="VVF88" s="790"/>
      <c r="VVG88" s="790"/>
      <c r="VVH88" s="790"/>
      <c r="VVI88" s="790"/>
      <c r="VVJ88" s="790"/>
      <c r="VVK88" s="790"/>
      <c r="VVL88" s="790"/>
      <c r="VVM88" s="790"/>
      <c r="VVN88" s="790"/>
      <c r="VVO88" s="790"/>
      <c r="VVP88" s="790"/>
      <c r="VVQ88" s="790"/>
      <c r="VVR88" s="790"/>
      <c r="VVS88" s="790"/>
      <c r="VVT88" s="790"/>
      <c r="VVU88" s="790"/>
      <c r="VVV88" s="790"/>
      <c r="VVW88" s="790"/>
      <c r="VVX88" s="790"/>
      <c r="VVY88" s="790"/>
      <c r="VVZ88" s="790"/>
      <c r="VWA88" s="790"/>
      <c r="VWB88" s="790"/>
      <c r="VWC88" s="790"/>
      <c r="VWD88" s="790"/>
      <c r="VWE88" s="790"/>
      <c r="VWF88" s="790"/>
      <c r="VWG88" s="790"/>
      <c r="VWH88" s="790"/>
      <c r="VWI88" s="790"/>
      <c r="VWJ88" s="790"/>
      <c r="VWK88" s="790"/>
      <c r="VWL88" s="790"/>
      <c r="VWM88" s="790"/>
      <c r="VWN88" s="790"/>
      <c r="VWO88" s="790"/>
      <c r="VWP88" s="790"/>
      <c r="VWQ88" s="790"/>
      <c r="VWR88" s="790"/>
      <c r="VWS88" s="790"/>
      <c r="VWT88" s="790"/>
      <c r="VWU88" s="790"/>
      <c r="VWV88" s="790"/>
      <c r="VWW88" s="790"/>
      <c r="VWX88" s="790"/>
      <c r="VWY88" s="790"/>
      <c r="VWZ88" s="790"/>
      <c r="VXA88" s="790"/>
      <c r="VXB88" s="790"/>
      <c r="VXC88" s="790"/>
      <c r="VXD88" s="790"/>
      <c r="VXE88" s="790"/>
      <c r="VXF88" s="790"/>
      <c r="VXG88" s="790"/>
      <c r="VXH88" s="790"/>
      <c r="VXI88" s="790"/>
      <c r="VXJ88" s="790"/>
      <c r="VXK88" s="790"/>
      <c r="VXL88" s="790"/>
      <c r="VXM88" s="790"/>
      <c r="VXN88" s="790"/>
      <c r="VXO88" s="790"/>
      <c r="VXP88" s="790"/>
      <c r="VXQ88" s="790"/>
      <c r="VXR88" s="790"/>
      <c r="VXS88" s="790"/>
      <c r="VXT88" s="790"/>
      <c r="VXU88" s="790"/>
      <c r="VXV88" s="790"/>
      <c r="VXW88" s="790"/>
      <c r="VXX88" s="790"/>
      <c r="VXY88" s="790"/>
      <c r="VXZ88" s="790"/>
      <c r="VYA88" s="790"/>
      <c r="VYB88" s="790"/>
      <c r="VYC88" s="790"/>
      <c r="VYD88" s="790"/>
      <c r="VYE88" s="790"/>
      <c r="VYF88" s="790"/>
      <c r="VYG88" s="790"/>
      <c r="VYH88" s="790"/>
      <c r="VYI88" s="790"/>
      <c r="VYJ88" s="790"/>
      <c r="VYK88" s="790"/>
      <c r="VYL88" s="790"/>
      <c r="VYM88" s="790"/>
      <c r="VYN88" s="790"/>
      <c r="VYO88" s="790"/>
      <c r="VYP88" s="790"/>
      <c r="VYQ88" s="790"/>
      <c r="VYR88" s="790"/>
      <c r="VYS88" s="790"/>
      <c r="VYT88" s="790"/>
      <c r="VYU88" s="790"/>
      <c r="VYV88" s="790"/>
      <c r="VYW88" s="790"/>
      <c r="VYX88" s="790"/>
      <c r="VYY88" s="790"/>
      <c r="VYZ88" s="790"/>
      <c r="VZA88" s="790"/>
      <c r="VZB88" s="790"/>
      <c r="VZC88" s="790"/>
      <c r="VZD88" s="790"/>
      <c r="VZE88" s="790"/>
      <c r="VZF88" s="790"/>
      <c r="VZG88" s="790"/>
      <c r="VZH88" s="790"/>
      <c r="VZI88" s="790"/>
      <c r="VZJ88" s="790"/>
      <c r="VZK88" s="790"/>
      <c r="VZL88" s="790"/>
      <c r="VZM88" s="790"/>
      <c r="VZN88" s="790"/>
      <c r="VZO88" s="790"/>
      <c r="VZP88" s="790"/>
      <c r="VZQ88" s="790"/>
      <c r="VZR88" s="790"/>
      <c r="VZS88" s="790"/>
      <c r="VZT88" s="790"/>
      <c r="VZU88" s="790"/>
      <c r="VZV88" s="790"/>
      <c r="VZW88" s="790"/>
      <c r="VZX88" s="790"/>
      <c r="VZY88" s="790"/>
      <c r="VZZ88" s="790"/>
      <c r="WAA88" s="790"/>
      <c r="WAB88" s="790"/>
      <c r="WAC88" s="790"/>
      <c r="WAD88" s="790"/>
      <c r="WAE88" s="790"/>
      <c r="WAF88" s="790"/>
      <c r="WAG88" s="790"/>
      <c r="WAH88" s="790"/>
      <c r="WAI88" s="790"/>
      <c r="WAJ88" s="790"/>
      <c r="WAK88" s="790"/>
      <c r="WAL88" s="790"/>
      <c r="WAM88" s="790"/>
      <c r="WAN88" s="790"/>
      <c r="WAO88" s="790"/>
      <c r="WAP88" s="790"/>
      <c r="WAQ88" s="790"/>
      <c r="WAR88" s="790"/>
      <c r="WAS88" s="790"/>
      <c r="WAT88" s="790"/>
      <c r="WAU88" s="790"/>
      <c r="WAV88" s="790"/>
      <c r="WAW88" s="790"/>
      <c r="WAX88" s="790"/>
      <c r="WAY88" s="790"/>
      <c r="WAZ88" s="790"/>
      <c r="WBA88" s="790"/>
      <c r="WBB88" s="790"/>
      <c r="WBC88" s="790"/>
      <c r="WBD88" s="790"/>
      <c r="WBE88" s="790"/>
      <c r="WBF88" s="790"/>
      <c r="WBG88" s="790"/>
      <c r="WBH88" s="790"/>
      <c r="WBI88" s="790"/>
      <c r="WBJ88" s="790"/>
      <c r="WBK88" s="790"/>
      <c r="WBL88" s="790"/>
      <c r="WBM88" s="790"/>
      <c r="WBN88" s="790"/>
      <c r="WBO88" s="790"/>
      <c r="WBP88" s="790"/>
      <c r="WBQ88" s="790"/>
      <c r="WBR88" s="790"/>
      <c r="WBS88" s="790"/>
      <c r="WBT88" s="790"/>
      <c r="WBU88" s="790"/>
      <c r="WBV88" s="790"/>
      <c r="WBW88" s="790"/>
      <c r="WBX88" s="790"/>
      <c r="WBY88" s="790"/>
      <c r="WBZ88" s="790"/>
      <c r="WCA88" s="790"/>
      <c r="WCB88" s="790"/>
      <c r="WCC88" s="790"/>
      <c r="WCD88" s="790"/>
      <c r="WCE88" s="790"/>
      <c r="WCF88" s="790"/>
      <c r="WCG88" s="790"/>
      <c r="WCH88" s="790"/>
      <c r="WCI88" s="790"/>
      <c r="WCJ88" s="790"/>
      <c r="WCK88" s="790"/>
      <c r="WCL88" s="790"/>
      <c r="WCM88" s="790"/>
      <c r="WCN88" s="790"/>
      <c r="WCO88" s="790"/>
      <c r="WCP88" s="790"/>
      <c r="WCQ88" s="790"/>
      <c r="WCR88" s="790"/>
      <c r="WCS88" s="790"/>
      <c r="WCT88" s="790"/>
      <c r="WCU88" s="790"/>
      <c r="WCV88" s="790"/>
      <c r="WCW88" s="790"/>
      <c r="WCX88" s="790"/>
      <c r="WCY88" s="790"/>
      <c r="WCZ88" s="790"/>
      <c r="WDA88" s="790"/>
      <c r="WDB88" s="790"/>
      <c r="WDC88" s="790"/>
      <c r="WDD88" s="790"/>
      <c r="WDE88" s="790"/>
      <c r="WDF88" s="790"/>
      <c r="WDG88" s="790"/>
      <c r="WDH88" s="790"/>
      <c r="WDI88" s="790"/>
      <c r="WDJ88" s="790"/>
      <c r="WDK88" s="790"/>
      <c r="WDL88" s="790"/>
      <c r="WDM88" s="790"/>
      <c r="WDN88" s="790"/>
      <c r="WDO88" s="790"/>
      <c r="WDP88" s="790"/>
      <c r="WDQ88" s="790"/>
      <c r="WDR88" s="790"/>
      <c r="WDS88" s="790"/>
      <c r="WDT88" s="790"/>
      <c r="WDU88" s="790"/>
      <c r="WDV88" s="790"/>
      <c r="WDW88" s="790"/>
      <c r="WDX88" s="790"/>
      <c r="WDY88" s="790"/>
      <c r="WDZ88" s="790"/>
      <c r="WEA88" s="790"/>
      <c r="WEB88" s="790"/>
      <c r="WEC88" s="790"/>
      <c r="WED88" s="790"/>
      <c r="WEE88" s="790"/>
      <c r="WEF88" s="790"/>
      <c r="WEG88" s="790"/>
      <c r="WEH88" s="790"/>
      <c r="WEI88" s="790"/>
      <c r="WEJ88" s="790"/>
      <c r="WEK88" s="790"/>
      <c r="WEL88" s="790"/>
      <c r="WEM88" s="790"/>
      <c r="WEN88" s="790"/>
      <c r="WEO88" s="790"/>
      <c r="WEP88" s="790"/>
      <c r="WEQ88" s="790"/>
      <c r="WER88" s="790"/>
      <c r="WES88" s="790"/>
      <c r="WET88" s="790"/>
      <c r="WEU88" s="790"/>
      <c r="WEV88" s="790"/>
      <c r="WEW88" s="790"/>
      <c r="WEX88" s="790"/>
      <c r="WEY88" s="790"/>
      <c r="WEZ88" s="790"/>
      <c r="WFA88" s="790"/>
      <c r="WFB88" s="790"/>
      <c r="WFC88" s="790"/>
      <c r="WFD88" s="790"/>
      <c r="WFE88" s="790"/>
      <c r="WFF88" s="790"/>
      <c r="WFG88" s="790"/>
      <c r="WFH88" s="790"/>
      <c r="WFI88" s="790"/>
      <c r="WFJ88" s="790"/>
      <c r="WFK88" s="790"/>
      <c r="WFL88" s="790"/>
      <c r="WFM88" s="790"/>
      <c r="WFN88" s="790"/>
      <c r="WFO88" s="790"/>
      <c r="WFP88" s="790"/>
      <c r="WFQ88" s="790"/>
      <c r="WFR88" s="790"/>
      <c r="WFS88" s="790"/>
      <c r="WFT88" s="790"/>
      <c r="WFU88" s="790"/>
      <c r="WFV88" s="790"/>
      <c r="WFW88" s="790"/>
      <c r="WFX88" s="790"/>
      <c r="WFY88" s="790"/>
      <c r="WFZ88" s="790"/>
      <c r="WGA88" s="790"/>
      <c r="WGB88" s="790"/>
      <c r="WGC88" s="790"/>
      <c r="WGD88" s="790"/>
      <c r="WGE88" s="790"/>
      <c r="WGF88" s="790"/>
      <c r="WGG88" s="790"/>
      <c r="WGH88" s="790"/>
      <c r="WGI88" s="790"/>
      <c r="WGJ88" s="790"/>
      <c r="WGK88" s="790"/>
      <c r="WGL88" s="790"/>
      <c r="WGM88" s="790"/>
      <c r="WGN88" s="790"/>
      <c r="WGO88" s="790"/>
      <c r="WGP88" s="790"/>
      <c r="WGQ88" s="790"/>
      <c r="WGR88" s="790"/>
      <c r="WGS88" s="790"/>
      <c r="WGT88" s="790"/>
      <c r="WGU88" s="790"/>
      <c r="WGV88" s="790"/>
      <c r="WGW88" s="790"/>
      <c r="WGX88" s="790"/>
      <c r="WGY88" s="790"/>
      <c r="WGZ88" s="790"/>
      <c r="WHA88" s="790"/>
      <c r="WHB88" s="790"/>
      <c r="WHC88" s="790"/>
      <c r="WHD88" s="790"/>
      <c r="WHE88" s="790"/>
      <c r="WHF88" s="790"/>
      <c r="WHG88" s="790"/>
      <c r="WHH88" s="790"/>
      <c r="WHI88" s="790"/>
      <c r="WHJ88" s="790"/>
      <c r="WHK88" s="790"/>
      <c r="WHL88" s="790"/>
      <c r="WHM88" s="790"/>
      <c r="WHN88" s="790"/>
      <c r="WHO88" s="790"/>
      <c r="WHP88" s="790"/>
      <c r="WHQ88" s="790"/>
      <c r="WHR88" s="790"/>
      <c r="WHS88" s="790"/>
      <c r="WHT88" s="790"/>
      <c r="WHU88" s="790"/>
      <c r="WHV88" s="790"/>
      <c r="WHW88" s="790"/>
      <c r="WHX88" s="790"/>
      <c r="WHY88" s="790"/>
      <c r="WHZ88" s="790"/>
      <c r="WIA88" s="790"/>
      <c r="WIB88" s="790"/>
      <c r="WIC88" s="790"/>
      <c r="WID88" s="790"/>
      <c r="WIE88" s="790"/>
      <c r="WIF88" s="790"/>
      <c r="WIG88" s="790"/>
      <c r="WIH88" s="790"/>
      <c r="WII88" s="790"/>
      <c r="WIJ88" s="790"/>
      <c r="WIK88" s="790"/>
      <c r="WIL88" s="790"/>
      <c r="WIM88" s="790"/>
      <c r="WIN88" s="790"/>
      <c r="WIO88" s="790"/>
      <c r="WIP88" s="790"/>
      <c r="WIQ88" s="790"/>
      <c r="WIR88" s="790"/>
      <c r="WIS88" s="790"/>
      <c r="WIT88" s="790"/>
      <c r="WIU88" s="790"/>
      <c r="WIV88" s="790"/>
      <c r="WIW88" s="790"/>
      <c r="WIX88" s="790"/>
      <c r="WIY88" s="790"/>
      <c r="WIZ88" s="790"/>
      <c r="WJA88" s="790"/>
      <c r="WJB88" s="790"/>
      <c r="WJC88" s="790"/>
      <c r="WJD88" s="790"/>
      <c r="WJE88" s="790"/>
      <c r="WJF88" s="790"/>
      <c r="WJG88" s="790"/>
      <c r="WJH88" s="790"/>
      <c r="WJI88" s="790"/>
      <c r="WJJ88" s="790"/>
      <c r="WJK88" s="790"/>
      <c r="WJL88" s="790"/>
      <c r="WJM88" s="790"/>
      <c r="WJN88" s="790"/>
      <c r="WJO88" s="790"/>
      <c r="WJP88" s="790"/>
      <c r="WJQ88" s="790"/>
      <c r="WJR88" s="790"/>
      <c r="WJS88" s="790"/>
      <c r="WJT88" s="790"/>
      <c r="WJU88" s="790"/>
      <c r="WJV88" s="790"/>
      <c r="WJW88" s="790"/>
      <c r="WJX88" s="790"/>
      <c r="WJY88" s="790"/>
      <c r="WJZ88" s="790"/>
      <c r="WKA88" s="790"/>
      <c r="WKB88" s="790"/>
      <c r="WKC88" s="790"/>
      <c r="WKD88" s="790"/>
      <c r="WKE88" s="790"/>
      <c r="WKF88" s="790"/>
      <c r="WKG88" s="790"/>
      <c r="WKH88" s="790"/>
      <c r="WKI88" s="790"/>
      <c r="WKJ88" s="790"/>
      <c r="WKK88" s="790"/>
      <c r="WKL88" s="790"/>
      <c r="WKM88" s="790"/>
      <c r="WKN88" s="790"/>
      <c r="WKO88" s="790"/>
      <c r="WKP88" s="790"/>
      <c r="WKQ88" s="790"/>
      <c r="WKR88" s="790"/>
      <c r="WKS88" s="790"/>
      <c r="WKT88" s="790"/>
      <c r="WKU88" s="790"/>
      <c r="WKV88" s="790"/>
      <c r="WKW88" s="790"/>
      <c r="WKX88" s="790"/>
      <c r="WKY88" s="790"/>
      <c r="WKZ88" s="790"/>
      <c r="WLA88" s="790"/>
      <c r="WLB88" s="790"/>
      <c r="WLC88" s="790"/>
      <c r="WLD88" s="790"/>
      <c r="WLE88" s="790"/>
      <c r="WLF88" s="790"/>
      <c r="WLG88" s="790"/>
      <c r="WLH88" s="790"/>
      <c r="WLI88" s="790"/>
      <c r="WLJ88" s="790"/>
      <c r="WLK88" s="790"/>
      <c r="WLL88" s="790"/>
      <c r="WLM88" s="790"/>
      <c r="WLN88" s="790"/>
      <c r="WLO88" s="790"/>
      <c r="WLP88" s="790"/>
      <c r="WLQ88" s="790"/>
      <c r="WLR88" s="790"/>
      <c r="WLS88" s="790"/>
      <c r="WLT88" s="790"/>
      <c r="WLU88" s="790"/>
      <c r="WLV88" s="790"/>
      <c r="WLW88" s="790"/>
      <c r="WLX88" s="790"/>
      <c r="WLY88" s="790"/>
      <c r="WLZ88" s="790"/>
      <c r="WMA88" s="790"/>
      <c r="WMB88" s="790"/>
      <c r="WMC88" s="790"/>
      <c r="WMD88" s="790"/>
      <c r="WME88" s="790"/>
      <c r="WMF88" s="790"/>
      <c r="WMG88" s="790"/>
      <c r="WMH88" s="790"/>
      <c r="WMI88" s="790"/>
      <c r="WMJ88" s="790"/>
      <c r="WMK88" s="790"/>
      <c r="WML88" s="790"/>
      <c r="WMM88" s="790"/>
      <c r="WMN88" s="790"/>
      <c r="WMO88" s="790"/>
      <c r="WMP88" s="790"/>
      <c r="WMQ88" s="790"/>
      <c r="WMR88" s="790"/>
      <c r="WMS88" s="790"/>
      <c r="WMT88" s="790"/>
      <c r="WMU88" s="790"/>
      <c r="WMV88" s="790"/>
      <c r="WMW88" s="790"/>
      <c r="WMX88" s="790"/>
      <c r="WMY88" s="790"/>
      <c r="WMZ88" s="790"/>
      <c r="WNA88" s="790"/>
      <c r="WNB88" s="790"/>
      <c r="WNC88" s="790"/>
      <c r="WND88" s="790"/>
      <c r="WNE88" s="790"/>
      <c r="WNF88" s="790"/>
      <c r="WNG88" s="790"/>
      <c r="WNH88" s="790"/>
      <c r="WNI88" s="790"/>
      <c r="WNJ88" s="790"/>
      <c r="WNK88" s="790"/>
      <c r="WNL88" s="790"/>
      <c r="WNM88" s="790"/>
      <c r="WNN88" s="790"/>
      <c r="WNO88" s="790"/>
      <c r="WNP88" s="790"/>
      <c r="WNQ88" s="790"/>
      <c r="WNR88" s="790"/>
      <c r="WNS88" s="790"/>
      <c r="WNT88" s="790"/>
      <c r="WNU88" s="790"/>
      <c r="WNV88" s="790"/>
      <c r="WNW88" s="790"/>
      <c r="WNX88" s="790"/>
      <c r="WNY88" s="790"/>
      <c r="WNZ88" s="790"/>
      <c r="WOA88" s="790"/>
      <c r="WOB88" s="790"/>
      <c r="WOC88" s="790"/>
      <c r="WOD88" s="790"/>
      <c r="WOE88" s="790"/>
      <c r="WOF88" s="790"/>
      <c r="WOG88" s="790"/>
      <c r="WOH88" s="790"/>
      <c r="WOI88" s="790"/>
      <c r="WOJ88" s="790"/>
      <c r="WOK88" s="790"/>
      <c r="WOL88" s="790"/>
      <c r="WOM88" s="790"/>
      <c r="WON88" s="790"/>
      <c r="WOO88" s="790"/>
      <c r="WOP88" s="790"/>
      <c r="WOQ88" s="790"/>
      <c r="WOR88" s="790"/>
      <c r="WOS88" s="790"/>
      <c r="WOT88" s="790"/>
      <c r="WOU88" s="790"/>
      <c r="WOV88" s="790"/>
      <c r="WOW88" s="790"/>
      <c r="WOX88" s="790"/>
      <c r="WOY88" s="790"/>
      <c r="WOZ88" s="790"/>
      <c r="WPA88" s="790"/>
      <c r="WPB88" s="790"/>
      <c r="WPC88" s="790"/>
      <c r="WPD88" s="790"/>
      <c r="WPE88" s="790"/>
      <c r="WPF88" s="790"/>
      <c r="WPG88" s="790"/>
      <c r="WPH88" s="790"/>
      <c r="WPI88" s="790"/>
      <c r="WPJ88" s="790"/>
      <c r="WPK88" s="790"/>
      <c r="WPL88" s="790"/>
      <c r="WPM88" s="790"/>
      <c r="WPN88" s="790"/>
      <c r="WPO88" s="790"/>
      <c r="WPP88" s="790"/>
      <c r="WPQ88" s="790"/>
      <c r="WPR88" s="790"/>
      <c r="WPS88" s="790"/>
      <c r="WPT88" s="790"/>
      <c r="WPU88" s="790"/>
      <c r="WPV88" s="790"/>
      <c r="WPW88" s="790"/>
      <c r="WPX88" s="790"/>
      <c r="WPY88" s="790"/>
      <c r="WPZ88" s="790"/>
      <c r="WQA88" s="790"/>
      <c r="WQB88" s="790"/>
      <c r="WQC88" s="790"/>
      <c r="WQD88" s="790"/>
      <c r="WQE88" s="790"/>
      <c r="WQF88" s="790"/>
      <c r="WQG88" s="790"/>
      <c r="WQH88" s="790"/>
      <c r="WQI88" s="790"/>
      <c r="WQJ88" s="790"/>
      <c r="WQK88" s="790"/>
      <c r="WQL88" s="790"/>
      <c r="WQM88" s="790"/>
      <c r="WQN88" s="790"/>
      <c r="WQO88" s="790"/>
      <c r="WQP88" s="790"/>
      <c r="WQQ88" s="790"/>
      <c r="WQR88" s="790"/>
      <c r="WQS88" s="790"/>
      <c r="WQT88" s="790"/>
      <c r="WQU88" s="790"/>
      <c r="WQV88" s="790"/>
      <c r="WQW88" s="790"/>
      <c r="WQX88" s="790"/>
      <c r="WQY88" s="790"/>
      <c r="WQZ88" s="790"/>
      <c r="WRA88" s="790"/>
      <c r="WRB88" s="790"/>
      <c r="WRC88" s="790"/>
      <c r="WRD88" s="790"/>
      <c r="WRE88" s="790"/>
      <c r="WRF88" s="790"/>
      <c r="WRG88" s="790"/>
      <c r="WRH88" s="790"/>
      <c r="WRI88" s="790"/>
      <c r="WRJ88" s="790"/>
      <c r="WRK88" s="790"/>
      <c r="WRL88" s="790"/>
      <c r="WRM88" s="790"/>
      <c r="WRN88" s="790"/>
      <c r="WRO88" s="790"/>
      <c r="WRP88" s="790"/>
      <c r="WRQ88" s="790"/>
      <c r="WRR88" s="790"/>
      <c r="WRS88" s="790"/>
      <c r="WRT88" s="790"/>
      <c r="WRU88" s="790"/>
      <c r="WRV88" s="790"/>
      <c r="WRW88" s="790"/>
      <c r="WRX88" s="790"/>
      <c r="WRY88" s="790"/>
      <c r="WRZ88" s="790"/>
      <c r="WSA88" s="790"/>
      <c r="WSB88" s="790"/>
      <c r="WSC88" s="790"/>
      <c r="WSD88" s="790"/>
      <c r="WSE88" s="790"/>
      <c r="WSF88" s="790"/>
      <c r="WSG88" s="790"/>
      <c r="WSH88" s="790"/>
      <c r="WSI88" s="790"/>
      <c r="WSJ88" s="790"/>
      <c r="WSK88" s="790"/>
      <c r="WSL88" s="790"/>
      <c r="WSM88" s="790"/>
      <c r="WSN88" s="790"/>
      <c r="WSO88" s="790"/>
      <c r="WSP88" s="790"/>
      <c r="WSQ88" s="790"/>
      <c r="WSR88" s="790"/>
      <c r="WSS88" s="790"/>
      <c r="WST88" s="790"/>
      <c r="WSU88" s="790"/>
      <c r="WSV88" s="790"/>
      <c r="WSW88" s="790"/>
      <c r="WSX88" s="790"/>
      <c r="WSY88" s="790"/>
      <c r="WSZ88" s="790"/>
      <c r="WTA88" s="790"/>
      <c r="WTB88" s="790"/>
      <c r="WTC88" s="790"/>
      <c r="WTD88" s="790"/>
      <c r="WTE88" s="790"/>
      <c r="WTF88" s="790"/>
      <c r="WTG88" s="790"/>
      <c r="WTH88" s="790"/>
      <c r="WTI88" s="790"/>
      <c r="WTJ88" s="790"/>
      <c r="WTK88" s="790"/>
      <c r="WTL88" s="790"/>
      <c r="WTM88" s="790"/>
      <c r="WTN88" s="790"/>
      <c r="WTO88" s="790"/>
      <c r="WTP88" s="790"/>
      <c r="WTQ88" s="790"/>
      <c r="WTR88" s="790"/>
      <c r="WTS88" s="790"/>
      <c r="WTT88" s="790"/>
      <c r="WTU88" s="790"/>
      <c r="WTV88" s="790"/>
      <c r="WTW88" s="790"/>
      <c r="WTX88" s="790"/>
      <c r="WTY88" s="790"/>
      <c r="WTZ88" s="790"/>
      <c r="WUA88" s="790"/>
      <c r="WUB88" s="790"/>
      <c r="WUC88" s="790"/>
      <c r="WUD88" s="790"/>
      <c r="WUE88" s="790"/>
      <c r="WUF88" s="790"/>
      <c r="WUG88" s="790"/>
      <c r="WUH88" s="790"/>
      <c r="WUI88" s="790"/>
      <c r="WUJ88" s="790"/>
      <c r="WUK88" s="790"/>
      <c r="WUL88" s="790"/>
      <c r="WUM88" s="790"/>
      <c r="WUN88" s="790"/>
      <c r="WUO88" s="790"/>
      <c r="WUP88" s="790"/>
      <c r="WUQ88" s="790"/>
    </row>
    <row r="89" spans="1:16111" s="180" customFormat="1" ht="24.75" customHeight="1">
      <c r="A89" s="248">
        <v>26</v>
      </c>
      <c r="B89" s="1617"/>
      <c r="C89" s="255" t="s">
        <v>848</v>
      </c>
      <c r="D89" s="325" t="s">
        <v>1049</v>
      </c>
      <c r="E89" s="751">
        <f t="shared" si="18"/>
        <v>0</v>
      </c>
      <c r="F89" s="751">
        <v>0</v>
      </c>
      <c r="G89" s="751">
        <v>0</v>
      </c>
      <c r="H89" s="751">
        <v>0</v>
      </c>
      <c r="I89" s="77">
        <f t="shared" si="10"/>
        <v>0</v>
      </c>
      <c r="J89" s="751">
        <f t="shared" si="11"/>
        <v>0</v>
      </c>
      <c r="K89" s="751">
        <f t="shared" si="12"/>
        <v>0</v>
      </c>
      <c r="L89" s="751">
        <f t="shared" si="13"/>
        <v>0</v>
      </c>
      <c r="M89" s="751">
        <f t="shared" si="14"/>
        <v>0</v>
      </c>
      <c r="N89" s="751">
        <f t="shared" si="15"/>
        <v>0</v>
      </c>
      <c r="O89" s="751">
        <f t="shared" si="16"/>
        <v>0</v>
      </c>
      <c r="P89" s="751">
        <f t="shared" si="17"/>
        <v>0</v>
      </c>
      <c r="Q89" s="751"/>
      <c r="R89" s="751"/>
      <c r="S89" s="775"/>
      <c r="T89" s="775"/>
      <c r="U89" s="332"/>
      <c r="V89" s="332"/>
      <c r="W89" s="332"/>
      <c r="X89" s="332"/>
      <c r="Y89" s="775"/>
      <c r="Z89" s="775"/>
      <c r="AA89" s="775"/>
      <c r="AB89" s="775"/>
      <c r="AC89" s="775"/>
      <c r="AD89" s="775"/>
      <c r="AE89" s="775"/>
      <c r="AF89" s="775"/>
      <c r="AG89" s="775"/>
      <c r="AH89" s="775"/>
      <c r="AI89" s="775"/>
      <c r="AJ89" s="775"/>
      <c r="AK89" s="775"/>
      <c r="AL89" s="775"/>
      <c r="AM89" s="775"/>
      <c r="AN89" s="775"/>
      <c r="AO89" s="775"/>
      <c r="AP89" s="775"/>
      <c r="AQ89" s="775"/>
      <c r="AR89" s="775"/>
      <c r="AS89" s="775"/>
      <c r="AT89" s="775"/>
      <c r="AU89" s="775"/>
      <c r="AV89" s="775"/>
      <c r="AW89" s="775"/>
      <c r="AX89" s="775"/>
      <c r="AY89" s="775"/>
      <c r="AZ89" s="775"/>
      <c r="BA89" s="775"/>
      <c r="BB89" s="775"/>
      <c r="BC89" s="775"/>
      <c r="BD89" s="775"/>
      <c r="BE89" s="775"/>
      <c r="BF89" s="775"/>
      <c r="BG89" s="775"/>
      <c r="BH89" s="775"/>
      <c r="BI89" s="775"/>
      <c r="BJ89" s="775"/>
      <c r="BK89" s="775"/>
      <c r="BL89" s="775"/>
      <c r="BM89" s="775"/>
      <c r="BN89" s="775"/>
      <c r="BO89" s="775"/>
      <c r="BP89" s="775"/>
      <c r="BQ89" s="775"/>
      <c r="BR89" s="775"/>
      <c r="BS89" s="775"/>
      <c r="BT89" s="775"/>
      <c r="BU89" s="775"/>
      <c r="BV89" s="775"/>
      <c r="BW89" s="775"/>
      <c r="BX89" s="775"/>
      <c r="BY89" s="775"/>
      <c r="BZ89" s="775"/>
      <c r="CA89" s="775"/>
      <c r="CB89" s="775"/>
      <c r="CC89" s="775"/>
      <c r="CD89" s="775"/>
      <c r="CE89" s="775"/>
      <c r="CF89" s="775"/>
      <c r="CG89" s="775"/>
      <c r="CH89" s="775"/>
      <c r="CI89" s="775"/>
      <c r="CJ89" s="775"/>
      <c r="CK89" s="775"/>
      <c r="CL89" s="775"/>
      <c r="CM89" s="775"/>
      <c r="CN89" s="775"/>
      <c r="CO89" s="775"/>
      <c r="CP89" s="775"/>
      <c r="CQ89" s="775"/>
      <c r="CR89" s="775"/>
      <c r="CS89" s="775"/>
      <c r="CT89" s="775"/>
      <c r="CU89" s="775"/>
      <c r="CV89" s="775"/>
      <c r="CW89" s="775"/>
      <c r="CX89" s="775"/>
      <c r="CY89" s="775"/>
      <c r="CZ89" s="775"/>
      <c r="DA89" s="775"/>
      <c r="DB89" s="775"/>
      <c r="DC89" s="775"/>
      <c r="DD89" s="775"/>
      <c r="DE89" s="775"/>
      <c r="DF89" s="775"/>
      <c r="DG89" s="775"/>
      <c r="DH89" s="775"/>
      <c r="DI89" s="775"/>
      <c r="DJ89" s="775"/>
      <c r="DK89" s="775"/>
      <c r="DL89" s="775"/>
      <c r="DM89" s="775"/>
      <c r="DN89" s="775"/>
      <c r="DO89" s="775"/>
      <c r="DP89" s="775"/>
      <c r="DQ89" s="775"/>
      <c r="DR89" s="775"/>
      <c r="DS89" s="775"/>
      <c r="DT89" s="775"/>
      <c r="DU89" s="775"/>
      <c r="DV89" s="775"/>
      <c r="DW89" s="775"/>
      <c r="DX89" s="775"/>
      <c r="DY89" s="775"/>
      <c r="DZ89" s="775"/>
      <c r="EA89" s="775"/>
      <c r="EB89" s="775"/>
      <c r="EC89" s="775"/>
      <c r="ED89" s="775"/>
      <c r="EE89" s="775"/>
      <c r="EF89" s="775"/>
      <c r="EG89" s="775"/>
      <c r="EH89" s="775"/>
      <c r="EI89" s="775"/>
      <c r="EJ89" s="775"/>
      <c r="EK89" s="775"/>
      <c r="EL89" s="775"/>
      <c r="EM89" s="775"/>
      <c r="EN89" s="775"/>
      <c r="EO89" s="775"/>
      <c r="EP89" s="775"/>
      <c r="EQ89" s="775"/>
      <c r="ER89" s="775"/>
      <c r="ES89" s="775"/>
      <c r="ET89" s="775"/>
      <c r="EU89" s="775"/>
      <c r="EV89" s="775"/>
      <c r="EW89" s="775"/>
      <c r="EX89" s="332"/>
      <c r="EY89" s="258" t="s">
        <v>1050</v>
      </c>
      <c r="EZ89" s="346"/>
      <c r="FA89" s="347"/>
      <c r="FB89" s="284"/>
      <c r="FC89" s="348" t="s">
        <v>852</v>
      </c>
    </row>
    <row r="90" spans="1:16111" s="181" customFormat="1" ht="77.25" customHeight="1">
      <c r="A90" s="253">
        <v>27</v>
      </c>
      <c r="B90" s="1637"/>
      <c r="C90" s="254" t="s">
        <v>843</v>
      </c>
      <c r="D90" s="326" t="s">
        <v>1051</v>
      </c>
      <c r="E90" s="751">
        <f t="shared" si="18"/>
        <v>0</v>
      </c>
      <c r="F90" s="751">
        <v>0</v>
      </c>
      <c r="G90" s="751">
        <v>0</v>
      </c>
      <c r="H90" s="751">
        <v>0</v>
      </c>
      <c r="I90" s="77">
        <f t="shared" si="10"/>
        <v>0</v>
      </c>
      <c r="J90" s="751">
        <f t="shared" si="11"/>
        <v>0</v>
      </c>
      <c r="K90" s="751">
        <f t="shared" si="12"/>
        <v>0</v>
      </c>
      <c r="L90" s="751">
        <f t="shared" si="13"/>
        <v>0</v>
      </c>
      <c r="M90" s="751">
        <f t="shared" si="14"/>
        <v>0</v>
      </c>
      <c r="N90" s="751">
        <f t="shared" si="15"/>
        <v>0</v>
      </c>
      <c r="O90" s="751">
        <f t="shared" si="16"/>
        <v>0</v>
      </c>
      <c r="P90" s="751">
        <f t="shared" si="17"/>
        <v>0</v>
      </c>
      <c r="Q90" s="751"/>
      <c r="R90" s="751"/>
      <c r="S90" s="935"/>
      <c r="T90" s="935"/>
      <c r="U90" s="952"/>
      <c r="V90" s="952"/>
      <c r="W90" s="952"/>
      <c r="X90" s="952"/>
      <c r="Y90" s="970"/>
      <c r="Z90" s="976"/>
      <c r="AA90" s="982"/>
      <c r="AB90" s="982"/>
      <c r="AC90" s="982"/>
      <c r="AD90" s="982"/>
      <c r="AE90" s="982"/>
      <c r="AF90" s="982"/>
      <c r="AG90" s="982"/>
      <c r="AH90" s="995"/>
      <c r="AI90" s="1002"/>
      <c r="AJ90" s="1002"/>
      <c r="AK90" s="1002"/>
      <c r="AL90" s="1008"/>
      <c r="AM90" s="1023"/>
      <c r="AN90" s="1028"/>
      <c r="AO90" s="1036"/>
      <c r="AP90" s="1049"/>
      <c r="AQ90" s="1058"/>
      <c r="AR90" s="1058"/>
      <c r="AS90" s="1063"/>
      <c r="AT90" s="1068"/>
      <c r="AU90" s="1073"/>
      <c r="AV90" s="1083"/>
      <c r="AW90" s="1083"/>
      <c r="AX90" s="1083"/>
      <c r="AY90" s="1083"/>
      <c r="AZ90" s="1083"/>
      <c r="BA90" s="1083"/>
      <c r="BB90" s="1083"/>
      <c r="BC90" s="1083"/>
      <c r="BD90" s="1083"/>
      <c r="BE90" s="1083"/>
      <c r="BF90" s="1083"/>
      <c r="BG90" s="1083"/>
      <c r="BH90" s="1099"/>
      <c r="BI90" s="1103"/>
      <c r="BJ90" s="1108"/>
      <c r="BK90" s="1114"/>
      <c r="BL90" s="1114"/>
      <c r="BM90" s="1114"/>
      <c r="BN90" s="1121"/>
      <c r="BO90" s="1126"/>
      <c r="BP90" s="1126"/>
      <c r="BQ90" s="1132"/>
      <c r="BR90" s="1143"/>
      <c r="BS90" s="1143"/>
      <c r="BT90" s="1143"/>
      <c r="BU90" s="1148"/>
      <c r="BV90" s="1154"/>
      <c r="BW90" s="1159"/>
      <c r="BX90" s="1159"/>
      <c r="BY90" s="1166"/>
      <c r="BZ90" s="1166"/>
      <c r="CA90" s="1166"/>
      <c r="CB90" s="1180"/>
      <c r="CC90" s="1190"/>
      <c r="CD90" s="1190"/>
      <c r="CE90" s="1195"/>
      <c r="CF90" s="1204"/>
      <c r="CG90" s="1204"/>
      <c r="CH90" s="1204"/>
      <c r="CI90" s="1213"/>
      <c r="CJ90" s="1220"/>
      <c r="CK90" s="1225"/>
      <c r="CL90" s="1238"/>
      <c r="CM90" s="1247"/>
      <c r="CN90" s="1247"/>
      <c r="CO90" s="1247"/>
      <c r="CP90" s="1254"/>
      <c r="CQ90" s="1259"/>
      <c r="CR90" s="1266"/>
      <c r="CS90" s="1271"/>
      <c r="CT90" s="1277"/>
      <c r="CU90" s="1277"/>
      <c r="CV90" s="1277"/>
      <c r="CW90" s="1289"/>
      <c r="CX90" s="1294"/>
      <c r="CY90" s="1301"/>
      <c r="CZ90" s="1308"/>
      <c r="DA90" s="1313"/>
      <c r="DB90" s="1313"/>
      <c r="DC90" s="1313"/>
      <c r="DD90" s="1322"/>
      <c r="DE90" s="1328"/>
      <c r="DF90" s="1333"/>
      <c r="DG90" s="1340"/>
      <c r="DH90" s="1340"/>
      <c r="DI90" s="1340"/>
      <c r="DJ90" s="1346"/>
      <c r="DK90" s="1354"/>
      <c r="DL90" s="1360"/>
      <c r="DM90" s="1365"/>
      <c r="DN90" s="1371"/>
      <c r="DO90" s="1381"/>
      <c r="DP90" s="1381"/>
      <c r="DQ90" s="1381"/>
      <c r="DR90" s="1389"/>
      <c r="DS90" s="1393"/>
      <c r="DT90" s="1400"/>
      <c r="DU90" s="1405"/>
      <c r="DV90" s="1420"/>
      <c r="DW90" s="1420"/>
      <c r="DX90" s="1420"/>
      <c r="DY90" s="1424"/>
      <c r="DZ90" s="1429"/>
      <c r="EA90" s="1435"/>
      <c r="EB90" s="1441"/>
      <c r="EC90" s="1448"/>
      <c r="ED90" s="1448"/>
      <c r="EE90" s="1454"/>
      <c r="EF90" s="1454"/>
      <c r="EG90" s="1454"/>
      <c r="EH90" s="1454"/>
      <c r="EI90" s="1454"/>
      <c r="EJ90" s="1454"/>
      <c r="EK90" s="1454"/>
      <c r="EL90" s="1454"/>
      <c r="EM90" s="1463"/>
      <c r="EN90" s="1468"/>
      <c r="EO90" s="1474"/>
      <c r="EP90" s="1480"/>
      <c r="EQ90" s="1489"/>
      <c r="ER90" s="1489"/>
      <c r="ES90" s="1489"/>
      <c r="ET90" s="1496"/>
      <c r="EU90" s="1502"/>
      <c r="EV90" s="1513"/>
      <c r="EW90" s="1518"/>
      <c r="EX90" s="803"/>
      <c r="EY90" s="337" t="s">
        <v>1052</v>
      </c>
      <c r="EZ90" s="337" t="s">
        <v>1174</v>
      </c>
      <c r="FA90" s="254"/>
      <c r="FB90" s="349"/>
      <c r="FC90" s="288" t="s">
        <v>847</v>
      </c>
    </row>
    <row r="91" spans="1:16111" s="181" customFormat="1" ht="63.75" customHeight="1">
      <c r="A91" s="260"/>
      <c r="B91" s="1630" t="s">
        <v>1053</v>
      </c>
      <c r="C91" s="254" t="s">
        <v>843</v>
      </c>
      <c r="D91" s="327" t="s">
        <v>1054</v>
      </c>
      <c r="E91" s="751">
        <f t="shared" si="18"/>
        <v>0</v>
      </c>
      <c r="F91" s="751">
        <v>0</v>
      </c>
      <c r="G91" s="751">
        <v>0</v>
      </c>
      <c r="H91" s="751">
        <v>0</v>
      </c>
      <c r="I91" s="77">
        <f t="shared" si="10"/>
        <v>0</v>
      </c>
      <c r="J91" s="751">
        <f t="shared" si="11"/>
        <v>0</v>
      </c>
      <c r="K91" s="751">
        <f t="shared" si="12"/>
        <v>0</v>
      </c>
      <c r="L91" s="751">
        <f t="shared" si="13"/>
        <v>0</v>
      </c>
      <c r="M91" s="751">
        <f t="shared" si="14"/>
        <v>0</v>
      </c>
      <c r="N91" s="751">
        <f t="shared" si="15"/>
        <v>0</v>
      </c>
      <c r="O91" s="751">
        <f t="shared" si="16"/>
        <v>0</v>
      </c>
      <c r="P91" s="751">
        <f t="shared" si="17"/>
        <v>0</v>
      </c>
      <c r="Q91" s="751"/>
      <c r="R91" s="751"/>
      <c r="S91" s="936"/>
      <c r="T91" s="936"/>
      <c r="U91" s="766"/>
      <c r="V91" s="766"/>
      <c r="W91" s="766"/>
      <c r="X91" s="766"/>
      <c r="Y91" s="969"/>
      <c r="Z91" s="975"/>
      <c r="AA91" s="981"/>
      <c r="AB91" s="981"/>
      <c r="AC91" s="981"/>
      <c r="AD91" s="981"/>
      <c r="AE91" s="981"/>
      <c r="AF91" s="981"/>
      <c r="AG91" s="981"/>
      <c r="AH91" s="994"/>
      <c r="AI91" s="1001"/>
      <c r="AJ91" s="1001"/>
      <c r="AK91" s="1001"/>
      <c r="AL91" s="1007"/>
      <c r="AM91" s="1022"/>
      <c r="AN91" s="1027"/>
      <c r="AO91" s="1035"/>
      <c r="AP91" s="1048"/>
      <c r="AQ91" s="1059"/>
      <c r="AR91" s="1059"/>
      <c r="AS91" s="1064"/>
      <c r="AT91" s="1069"/>
      <c r="AU91" s="1074"/>
      <c r="AV91" s="1084"/>
      <c r="AW91" s="1084"/>
      <c r="AX91" s="1084"/>
      <c r="AY91" s="1084"/>
      <c r="AZ91" s="1084"/>
      <c r="BA91" s="1084"/>
      <c r="BB91" s="1084"/>
      <c r="BC91" s="1084"/>
      <c r="BD91" s="1084"/>
      <c r="BE91" s="1084"/>
      <c r="BF91" s="1084"/>
      <c r="BG91" s="1084"/>
      <c r="BH91" s="1100"/>
      <c r="BI91" s="1104"/>
      <c r="BJ91" s="1109"/>
      <c r="BK91" s="1115"/>
      <c r="BL91" s="1115"/>
      <c r="BM91" s="1115"/>
      <c r="BN91" s="1122"/>
      <c r="BO91" s="1127"/>
      <c r="BP91" s="1127"/>
      <c r="BQ91" s="1133"/>
      <c r="BR91" s="1144"/>
      <c r="BS91" s="1144"/>
      <c r="BT91" s="1144"/>
      <c r="BU91" s="1149"/>
      <c r="BV91" s="1155"/>
      <c r="BW91" s="1160"/>
      <c r="BX91" s="1160"/>
      <c r="BY91" s="1167"/>
      <c r="BZ91" s="1167"/>
      <c r="CA91" s="1167"/>
      <c r="CB91" s="1181"/>
      <c r="CC91" s="1191"/>
      <c r="CD91" s="1191"/>
      <c r="CE91" s="1196"/>
      <c r="CF91" s="1205"/>
      <c r="CG91" s="1205"/>
      <c r="CH91" s="1205"/>
      <c r="CI91" s="1214"/>
      <c r="CJ91" s="1221"/>
      <c r="CK91" s="1226"/>
      <c r="CL91" s="1239"/>
      <c r="CM91" s="1248"/>
      <c r="CN91" s="1248"/>
      <c r="CO91" s="1248"/>
      <c r="CP91" s="1255"/>
      <c r="CQ91" s="1260"/>
      <c r="CR91" s="1267"/>
      <c r="CS91" s="1272"/>
      <c r="CT91" s="1278"/>
      <c r="CU91" s="1278"/>
      <c r="CV91" s="1278"/>
      <c r="CW91" s="1290"/>
      <c r="CX91" s="1295"/>
      <c r="CY91" s="1302"/>
      <c r="CZ91" s="1309"/>
      <c r="DA91" s="1314"/>
      <c r="DB91" s="1314"/>
      <c r="DC91" s="1314"/>
      <c r="DD91" s="1323"/>
      <c r="DE91" s="1329"/>
      <c r="DF91" s="1334"/>
      <c r="DG91" s="1341"/>
      <c r="DH91" s="1341"/>
      <c r="DI91" s="1341"/>
      <c r="DJ91" s="1347"/>
      <c r="DK91" s="1355"/>
      <c r="DL91" s="1361"/>
      <c r="DM91" s="1366"/>
      <c r="DN91" s="1372"/>
      <c r="DO91" s="1382"/>
      <c r="DP91" s="1382"/>
      <c r="DQ91" s="1382"/>
      <c r="DR91" s="1390"/>
      <c r="DS91" s="1394"/>
      <c r="DT91" s="1401"/>
      <c r="DU91" s="1406"/>
      <c r="DV91" s="1421"/>
      <c r="DW91" s="1421"/>
      <c r="DX91" s="1421"/>
      <c r="DY91" s="1425"/>
      <c r="DZ91" s="1430"/>
      <c r="EA91" s="1436"/>
      <c r="EB91" s="1442"/>
      <c r="EC91" s="1449"/>
      <c r="ED91" s="1449"/>
      <c r="EE91" s="1455"/>
      <c r="EF91" s="1455"/>
      <c r="EG91" s="1455"/>
      <c r="EH91" s="1455"/>
      <c r="EI91" s="1455"/>
      <c r="EJ91" s="1455"/>
      <c r="EK91" s="1455"/>
      <c r="EL91" s="1455"/>
      <c r="EM91" s="1464"/>
      <c r="EN91" s="1469"/>
      <c r="EO91" s="1475"/>
      <c r="EP91" s="1481"/>
      <c r="EQ91" s="1490"/>
      <c r="ER91" s="1490"/>
      <c r="ES91" s="1490"/>
      <c r="ET91" s="1497"/>
      <c r="EU91" s="1503"/>
      <c r="EV91" s="1514"/>
      <c r="EW91" s="1519"/>
      <c r="EX91" s="261"/>
      <c r="EY91" s="268"/>
      <c r="EZ91" s="289"/>
      <c r="FA91" s="290"/>
      <c r="FB91" s="291"/>
      <c r="FC91" s="350"/>
    </row>
    <row r="92" spans="1:16111" s="181" customFormat="1" ht="63.75" customHeight="1">
      <c r="A92" s="735"/>
      <c r="B92" s="1631"/>
      <c r="C92" s="1050" t="s">
        <v>843</v>
      </c>
      <c r="D92" s="1050" t="s">
        <v>1283</v>
      </c>
      <c r="E92" s="751">
        <f t="shared" si="18"/>
        <v>0</v>
      </c>
      <c r="F92" s="751">
        <v>0</v>
      </c>
      <c r="G92" s="751">
        <v>0</v>
      </c>
      <c r="H92" s="751">
        <v>0</v>
      </c>
      <c r="I92" s="77">
        <f t="shared" si="10"/>
        <v>0</v>
      </c>
      <c r="J92" s="751">
        <f t="shared" si="11"/>
        <v>0</v>
      </c>
      <c r="K92" s="751">
        <f t="shared" si="12"/>
        <v>0</v>
      </c>
      <c r="L92" s="751">
        <f t="shared" si="13"/>
        <v>0</v>
      </c>
      <c r="M92" s="751">
        <f t="shared" si="14"/>
        <v>0</v>
      </c>
      <c r="N92" s="751">
        <f t="shared" si="15"/>
        <v>0</v>
      </c>
      <c r="O92" s="751">
        <f t="shared" si="16"/>
        <v>0</v>
      </c>
      <c r="P92" s="751">
        <f t="shared" si="17"/>
        <v>0</v>
      </c>
      <c r="Q92" s="751"/>
      <c r="R92" s="751"/>
      <c r="S92" s="1048"/>
      <c r="T92" s="1048"/>
      <c r="U92" s="1048"/>
      <c r="V92" s="1048"/>
      <c r="W92" s="1048"/>
      <c r="X92" s="1048"/>
      <c r="Y92" s="1048"/>
      <c r="Z92" s="1048"/>
      <c r="AA92" s="1048"/>
      <c r="AB92" s="1048"/>
      <c r="AC92" s="1048"/>
      <c r="AD92" s="1048"/>
      <c r="AE92" s="1048"/>
      <c r="AF92" s="1048"/>
      <c r="AG92" s="1048"/>
      <c r="AH92" s="1048"/>
      <c r="AI92" s="1048"/>
      <c r="AJ92" s="1049"/>
      <c r="AK92" s="1049"/>
      <c r="AL92" s="1049"/>
      <c r="AM92" s="1049"/>
      <c r="AN92" s="1049"/>
      <c r="AO92" s="1049"/>
      <c r="AP92" s="1049"/>
      <c r="AQ92" s="1058"/>
      <c r="AR92" s="1058"/>
      <c r="AS92" s="1063"/>
      <c r="AT92" s="1068"/>
      <c r="AU92" s="1073"/>
      <c r="AV92" s="1083"/>
      <c r="AW92" s="1083"/>
      <c r="AX92" s="1083"/>
      <c r="AY92" s="1083"/>
      <c r="AZ92" s="1083"/>
      <c r="BA92" s="1083"/>
      <c r="BB92" s="1083"/>
      <c r="BC92" s="1083"/>
      <c r="BD92" s="1083"/>
      <c r="BE92" s="1083"/>
      <c r="BF92" s="1083"/>
      <c r="BG92" s="1083"/>
      <c r="BH92" s="1099"/>
      <c r="BI92" s="1103"/>
      <c r="BJ92" s="1108"/>
      <c r="BK92" s="1114"/>
      <c r="BL92" s="1114"/>
      <c r="BM92" s="1114"/>
      <c r="BN92" s="1121"/>
      <c r="BO92" s="1126"/>
      <c r="BP92" s="1126"/>
      <c r="BQ92" s="1132"/>
      <c r="BR92" s="1143"/>
      <c r="BS92" s="1143"/>
      <c r="BT92" s="1143"/>
      <c r="BU92" s="1148"/>
      <c r="BV92" s="1154"/>
      <c r="BW92" s="1159"/>
      <c r="BX92" s="1159"/>
      <c r="BY92" s="1166"/>
      <c r="BZ92" s="1166"/>
      <c r="CA92" s="1166"/>
      <c r="CB92" s="1180"/>
      <c r="CC92" s="1190"/>
      <c r="CD92" s="1190"/>
      <c r="CE92" s="1195"/>
      <c r="CF92" s="1204"/>
      <c r="CG92" s="1204"/>
      <c r="CH92" s="1204"/>
      <c r="CI92" s="1213"/>
      <c r="CJ92" s="1220"/>
      <c r="CK92" s="1225"/>
      <c r="CL92" s="1238"/>
      <c r="CM92" s="1247"/>
      <c r="CN92" s="1247"/>
      <c r="CO92" s="1247"/>
      <c r="CP92" s="1254"/>
      <c r="CQ92" s="1259"/>
      <c r="CR92" s="1266"/>
      <c r="CS92" s="1271"/>
      <c r="CT92" s="1277"/>
      <c r="CU92" s="1277"/>
      <c r="CV92" s="1277"/>
      <c r="CW92" s="1289"/>
      <c r="CX92" s="1294"/>
      <c r="CY92" s="1301"/>
      <c r="CZ92" s="1308"/>
      <c r="DA92" s="1313"/>
      <c r="DB92" s="1313"/>
      <c r="DC92" s="1313"/>
      <c r="DD92" s="1322"/>
      <c r="DE92" s="1328"/>
      <c r="DF92" s="1333"/>
      <c r="DG92" s="1340"/>
      <c r="DH92" s="1340"/>
      <c r="DI92" s="1340"/>
      <c r="DJ92" s="1346"/>
      <c r="DK92" s="1354"/>
      <c r="DL92" s="1360"/>
      <c r="DM92" s="1365"/>
      <c r="DN92" s="1371"/>
      <c r="DO92" s="1381"/>
      <c r="DP92" s="1381"/>
      <c r="DQ92" s="1381"/>
      <c r="DR92" s="1389"/>
      <c r="DS92" s="1393"/>
      <c r="DT92" s="1400"/>
      <c r="DU92" s="1405"/>
      <c r="DV92" s="1420"/>
      <c r="DW92" s="1420"/>
      <c r="DX92" s="1420"/>
      <c r="DY92" s="1424"/>
      <c r="DZ92" s="1429"/>
      <c r="EA92" s="1435"/>
      <c r="EB92" s="1441"/>
      <c r="EC92" s="1448"/>
      <c r="ED92" s="1448"/>
      <c r="EE92" s="1454"/>
      <c r="EF92" s="1454"/>
      <c r="EG92" s="1454"/>
      <c r="EH92" s="1454"/>
      <c r="EI92" s="1454"/>
      <c r="EJ92" s="1454"/>
      <c r="EK92" s="1454"/>
      <c r="EL92" s="1454"/>
      <c r="EM92" s="1463"/>
      <c r="EN92" s="1468"/>
      <c r="EO92" s="1474"/>
      <c r="EP92" s="1480"/>
      <c r="EQ92" s="1489"/>
      <c r="ER92" s="1489"/>
      <c r="ES92" s="1489"/>
      <c r="ET92" s="1496"/>
      <c r="EU92" s="1502"/>
      <c r="EV92" s="1513"/>
      <c r="EW92" s="1518"/>
      <c r="EX92" s="1049"/>
      <c r="EY92" s="1052"/>
      <c r="EZ92" s="1052"/>
      <c r="FA92" s="1050"/>
      <c r="FB92" s="1053"/>
      <c r="FC92" s="762" t="s">
        <v>847</v>
      </c>
    </row>
    <row r="93" spans="1:16111" s="181" customFormat="1" ht="64.5" customHeight="1">
      <c r="A93" s="735"/>
      <c r="B93" s="1631"/>
      <c r="C93" s="254" t="s">
        <v>843</v>
      </c>
      <c r="D93" s="254" t="s">
        <v>1055</v>
      </c>
      <c r="E93" s="751">
        <f t="shared" si="18"/>
        <v>0</v>
      </c>
      <c r="F93" s="751">
        <v>0</v>
      </c>
      <c r="G93" s="751">
        <v>0</v>
      </c>
      <c r="H93" s="751">
        <v>0</v>
      </c>
      <c r="I93" s="77">
        <f t="shared" si="10"/>
        <v>0</v>
      </c>
      <c r="J93" s="751">
        <f t="shared" si="11"/>
        <v>0</v>
      </c>
      <c r="K93" s="751">
        <f t="shared" si="12"/>
        <v>0</v>
      </c>
      <c r="L93" s="751">
        <f t="shared" si="13"/>
        <v>0</v>
      </c>
      <c r="M93" s="751">
        <f t="shared" si="14"/>
        <v>0</v>
      </c>
      <c r="N93" s="751">
        <f t="shared" si="15"/>
        <v>0</v>
      </c>
      <c r="O93" s="751">
        <f t="shared" si="16"/>
        <v>0</v>
      </c>
      <c r="P93" s="751">
        <f t="shared" si="17"/>
        <v>0</v>
      </c>
      <c r="Q93" s="751"/>
      <c r="R93" s="751"/>
      <c r="S93" s="955"/>
      <c r="T93" s="955"/>
      <c r="U93" s="955"/>
      <c r="V93" s="955"/>
      <c r="W93" s="955"/>
      <c r="X93" s="955"/>
      <c r="Y93" s="970"/>
      <c r="Z93" s="976"/>
      <c r="AA93" s="982"/>
      <c r="AB93" s="982"/>
      <c r="AC93" s="982"/>
      <c r="AD93" s="982"/>
      <c r="AE93" s="982"/>
      <c r="AF93" s="982"/>
      <c r="AG93" s="982"/>
      <c r="AH93" s="995"/>
      <c r="AI93" s="1002"/>
      <c r="AJ93" s="1002"/>
      <c r="AK93" s="1002"/>
      <c r="AL93" s="1008"/>
      <c r="AM93" s="1023"/>
      <c r="AN93" s="1028"/>
      <c r="AO93" s="1036"/>
      <c r="AP93" s="1049"/>
      <c r="AQ93" s="1058"/>
      <c r="AR93" s="1058"/>
      <c r="AS93" s="1063"/>
      <c r="AT93" s="1068"/>
      <c r="AU93" s="1073"/>
      <c r="AV93" s="1083"/>
      <c r="AW93" s="1083"/>
      <c r="AX93" s="1083"/>
      <c r="AY93" s="1083"/>
      <c r="AZ93" s="1083"/>
      <c r="BA93" s="1083"/>
      <c r="BB93" s="1083"/>
      <c r="BC93" s="1083"/>
      <c r="BD93" s="1083"/>
      <c r="BE93" s="1083"/>
      <c r="BF93" s="1083"/>
      <c r="BG93" s="1083"/>
      <c r="BH93" s="1099"/>
      <c r="BI93" s="1103"/>
      <c r="BJ93" s="1108"/>
      <c r="BK93" s="1114"/>
      <c r="BL93" s="1114"/>
      <c r="BM93" s="1114"/>
      <c r="BN93" s="1121"/>
      <c r="BO93" s="1126"/>
      <c r="BP93" s="1126"/>
      <c r="BQ93" s="1132"/>
      <c r="BR93" s="1143"/>
      <c r="BS93" s="1143"/>
      <c r="BT93" s="1143"/>
      <c r="BU93" s="1148"/>
      <c r="BV93" s="1154"/>
      <c r="BW93" s="1159"/>
      <c r="BX93" s="1159"/>
      <c r="BY93" s="1166"/>
      <c r="BZ93" s="1166"/>
      <c r="CA93" s="1166"/>
      <c r="CB93" s="1180"/>
      <c r="CC93" s="1190"/>
      <c r="CD93" s="1190"/>
      <c r="CE93" s="1195"/>
      <c r="CF93" s="1204"/>
      <c r="CG93" s="1204"/>
      <c r="CH93" s="1204"/>
      <c r="CI93" s="1213"/>
      <c r="CJ93" s="1220"/>
      <c r="CK93" s="1225"/>
      <c r="CL93" s="1238"/>
      <c r="CM93" s="1247"/>
      <c r="CN93" s="1247"/>
      <c r="CO93" s="1247"/>
      <c r="CP93" s="1254"/>
      <c r="CQ93" s="1259"/>
      <c r="CR93" s="1266"/>
      <c r="CS93" s="1271"/>
      <c r="CT93" s="1277"/>
      <c r="CU93" s="1277"/>
      <c r="CV93" s="1277"/>
      <c r="CW93" s="1289"/>
      <c r="CX93" s="1294"/>
      <c r="CY93" s="1301"/>
      <c r="CZ93" s="1308"/>
      <c r="DA93" s="1313"/>
      <c r="DB93" s="1313"/>
      <c r="DC93" s="1313"/>
      <c r="DD93" s="1322"/>
      <c r="DE93" s="1328"/>
      <c r="DF93" s="1333"/>
      <c r="DG93" s="1340"/>
      <c r="DH93" s="1340"/>
      <c r="DI93" s="1340"/>
      <c r="DJ93" s="1346"/>
      <c r="DK93" s="1354"/>
      <c r="DL93" s="1360"/>
      <c r="DM93" s="1365"/>
      <c r="DN93" s="1371"/>
      <c r="DO93" s="1381"/>
      <c r="DP93" s="1381"/>
      <c r="DQ93" s="1381"/>
      <c r="DR93" s="1389"/>
      <c r="DS93" s="1393"/>
      <c r="DT93" s="1400"/>
      <c r="DU93" s="1405"/>
      <c r="DV93" s="1420"/>
      <c r="DW93" s="1420"/>
      <c r="DX93" s="1420"/>
      <c r="DY93" s="1424"/>
      <c r="DZ93" s="1429"/>
      <c r="EA93" s="1435"/>
      <c r="EB93" s="1441"/>
      <c r="EC93" s="1448"/>
      <c r="ED93" s="1448"/>
      <c r="EE93" s="1454"/>
      <c r="EF93" s="1454"/>
      <c r="EG93" s="1454"/>
      <c r="EH93" s="1454"/>
      <c r="EI93" s="1454"/>
      <c r="EJ93" s="1454"/>
      <c r="EK93" s="1454"/>
      <c r="EL93" s="1454"/>
      <c r="EM93" s="1463"/>
      <c r="EN93" s="1468"/>
      <c r="EO93" s="1474"/>
      <c r="EP93" s="1480"/>
      <c r="EQ93" s="1489"/>
      <c r="ER93" s="1489"/>
      <c r="ES93" s="1489"/>
      <c r="ET93" s="1496"/>
      <c r="EU93" s="1502"/>
      <c r="EV93" s="1513"/>
      <c r="EW93" s="1518"/>
      <c r="EX93" s="955"/>
      <c r="EY93" s="337" t="s">
        <v>1056</v>
      </c>
      <c r="EZ93" s="337" t="s">
        <v>877</v>
      </c>
      <c r="FA93" s="254"/>
      <c r="FB93" s="349"/>
      <c r="FC93" s="288" t="s">
        <v>847</v>
      </c>
    </row>
    <row r="94" spans="1:16111" s="181" customFormat="1" ht="48" customHeight="1">
      <c r="A94" s="211"/>
      <c r="B94" s="1630"/>
      <c r="C94" s="255" t="s">
        <v>843</v>
      </c>
      <c r="D94" s="255" t="s">
        <v>1057</v>
      </c>
      <c r="E94" s="751">
        <f t="shared" si="18"/>
        <v>0</v>
      </c>
      <c r="F94" s="751">
        <v>0</v>
      </c>
      <c r="G94" s="751">
        <v>0</v>
      </c>
      <c r="H94" s="751">
        <v>0</v>
      </c>
      <c r="I94" s="77">
        <f t="shared" si="10"/>
        <v>0</v>
      </c>
      <c r="J94" s="751">
        <f t="shared" si="11"/>
        <v>0</v>
      </c>
      <c r="K94" s="751">
        <f t="shared" si="12"/>
        <v>0</v>
      </c>
      <c r="L94" s="751">
        <f t="shared" si="13"/>
        <v>0</v>
      </c>
      <c r="M94" s="751">
        <f t="shared" si="14"/>
        <v>0</v>
      </c>
      <c r="N94" s="751">
        <f t="shared" si="15"/>
        <v>0</v>
      </c>
      <c r="O94" s="751">
        <f t="shared" si="16"/>
        <v>0</v>
      </c>
      <c r="P94" s="751">
        <f t="shared" si="17"/>
        <v>0</v>
      </c>
      <c r="Q94" s="751"/>
      <c r="R94" s="751"/>
      <c r="S94" s="935"/>
      <c r="T94" s="935"/>
      <c r="U94" s="952"/>
      <c r="V94" s="952"/>
      <c r="W94" s="952"/>
      <c r="X94" s="952"/>
      <c r="Y94" s="970"/>
      <c r="Z94" s="976"/>
      <c r="AA94" s="982"/>
      <c r="AB94" s="982"/>
      <c r="AC94" s="982"/>
      <c r="AD94" s="982"/>
      <c r="AE94" s="982"/>
      <c r="AF94" s="982"/>
      <c r="AG94" s="982"/>
      <c r="AH94" s="995"/>
      <c r="AI94" s="1002"/>
      <c r="AJ94" s="1002"/>
      <c r="AK94" s="1002"/>
      <c r="AL94" s="1008"/>
      <c r="AM94" s="1023"/>
      <c r="AN94" s="1028"/>
      <c r="AO94" s="1036"/>
      <c r="AP94" s="1049"/>
      <c r="AQ94" s="1058"/>
      <c r="AR94" s="1058"/>
      <c r="AS94" s="1063"/>
      <c r="AT94" s="1068"/>
      <c r="AU94" s="1073"/>
      <c r="AV94" s="1083"/>
      <c r="AW94" s="1083"/>
      <c r="AX94" s="1083"/>
      <c r="AY94" s="1083"/>
      <c r="AZ94" s="1083"/>
      <c r="BA94" s="1083"/>
      <c r="BB94" s="1083"/>
      <c r="BC94" s="1083"/>
      <c r="BD94" s="1083"/>
      <c r="BE94" s="1083"/>
      <c r="BF94" s="1083"/>
      <c r="BG94" s="1083"/>
      <c r="BH94" s="1099"/>
      <c r="BI94" s="1103"/>
      <c r="BJ94" s="1108"/>
      <c r="BK94" s="1114"/>
      <c r="BL94" s="1114"/>
      <c r="BM94" s="1114"/>
      <c r="BN94" s="1121"/>
      <c r="BO94" s="1126"/>
      <c r="BP94" s="1126"/>
      <c r="BQ94" s="1132"/>
      <c r="BR94" s="1143"/>
      <c r="BS94" s="1143"/>
      <c r="BT94" s="1143"/>
      <c r="BU94" s="1148"/>
      <c r="BV94" s="1154"/>
      <c r="BW94" s="1159"/>
      <c r="BX94" s="1159"/>
      <c r="BY94" s="1166"/>
      <c r="BZ94" s="1166"/>
      <c r="CA94" s="1166"/>
      <c r="CB94" s="1180"/>
      <c r="CC94" s="1190"/>
      <c r="CD94" s="1190"/>
      <c r="CE94" s="1195"/>
      <c r="CF94" s="1204"/>
      <c r="CG94" s="1204"/>
      <c r="CH94" s="1204"/>
      <c r="CI94" s="1213"/>
      <c r="CJ94" s="1220"/>
      <c r="CK94" s="1225"/>
      <c r="CL94" s="1238"/>
      <c r="CM94" s="1247"/>
      <c r="CN94" s="1247"/>
      <c r="CO94" s="1247"/>
      <c r="CP94" s="1254"/>
      <c r="CQ94" s="1259"/>
      <c r="CR94" s="1266"/>
      <c r="CS94" s="1271"/>
      <c r="CT94" s="1277"/>
      <c r="CU94" s="1277"/>
      <c r="CV94" s="1277"/>
      <c r="CW94" s="1289"/>
      <c r="CX94" s="1294"/>
      <c r="CY94" s="1301"/>
      <c r="CZ94" s="1308"/>
      <c r="DA94" s="1313"/>
      <c r="DB94" s="1313"/>
      <c r="DC94" s="1313"/>
      <c r="DD94" s="1322"/>
      <c r="DE94" s="1328"/>
      <c r="DF94" s="1333"/>
      <c r="DG94" s="1340"/>
      <c r="DH94" s="1340"/>
      <c r="DI94" s="1340"/>
      <c r="DJ94" s="1346"/>
      <c r="DK94" s="1354"/>
      <c r="DL94" s="1360"/>
      <c r="DM94" s="1365"/>
      <c r="DN94" s="1371"/>
      <c r="DO94" s="1381"/>
      <c r="DP94" s="1381"/>
      <c r="DQ94" s="1381"/>
      <c r="DR94" s="1389"/>
      <c r="DS94" s="1393"/>
      <c r="DT94" s="1400"/>
      <c r="DU94" s="1405"/>
      <c r="DV94" s="1420"/>
      <c r="DW94" s="1420"/>
      <c r="DX94" s="1420"/>
      <c r="DY94" s="1424"/>
      <c r="DZ94" s="1429"/>
      <c r="EA94" s="1435"/>
      <c r="EB94" s="1441"/>
      <c r="EC94" s="1448"/>
      <c r="ED94" s="1448"/>
      <c r="EE94" s="1454"/>
      <c r="EF94" s="1454"/>
      <c r="EG94" s="1454"/>
      <c r="EH94" s="1454"/>
      <c r="EI94" s="1454"/>
      <c r="EJ94" s="1454"/>
      <c r="EK94" s="1454"/>
      <c r="EL94" s="1454"/>
      <c r="EM94" s="1463"/>
      <c r="EN94" s="1468"/>
      <c r="EO94" s="1474"/>
      <c r="EP94" s="1480"/>
      <c r="EQ94" s="1489"/>
      <c r="ER94" s="1489"/>
      <c r="ES94" s="1489"/>
      <c r="ET94" s="1496"/>
      <c r="EU94" s="1502"/>
      <c r="EV94" s="1513"/>
      <c r="EW94" s="1518"/>
      <c r="EX94" s="255"/>
      <c r="EY94" s="259" t="s">
        <v>1058</v>
      </c>
      <c r="EZ94" s="259" t="s">
        <v>1059</v>
      </c>
      <c r="FA94" s="292"/>
      <c r="FB94" s="287"/>
      <c r="FC94" s="288" t="s">
        <v>847</v>
      </c>
    </row>
    <row r="95" spans="1:16111" s="178" customFormat="1" ht="57">
      <c r="A95" s="215">
        <v>19</v>
      </c>
      <c r="B95" s="1632" t="s">
        <v>911</v>
      </c>
      <c r="C95" s="263" t="s">
        <v>848</v>
      </c>
      <c r="D95" s="264" t="s">
        <v>1060</v>
      </c>
      <c r="E95" s="751">
        <f t="shared" si="18"/>
        <v>0</v>
      </c>
      <c r="F95" s="751">
        <v>0</v>
      </c>
      <c r="G95" s="751">
        <v>0</v>
      </c>
      <c r="H95" s="751">
        <v>0</v>
      </c>
      <c r="I95" s="77">
        <f t="shared" si="10"/>
        <v>0</v>
      </c>
      <c r="J95" s="751">
        <f t="shared" si="11"/>
        <v>0</v>
      </c>
      <c r="K95" s="751">
        <f t="shared" si="12"/>
        <v>0</v>
      </c>
      <c r="L95" s="751">
        <f t="shared" si="13"/>
        <v>0</v>
      </c>
      <c r="M95" s="751">
        <f t="shared" si="14"/>
        <v>0</v>
      </c>
      <c r="N95" s="751">
        <f t="shared" si="15"/>
        <v>0</v>
      </c>
      <c r="O95" s="751">
        <f t="shared" si="16"/>
        <v>0</v>
      </c>
      <c r="P95" s="751">
        <f t="shared" si="17"/>
        <v>0</v>
      </c>
      <c r="Q95" s="751"/>
      <c r="R95" s="751"/>
      <c r="S95" s="769"/>
      <c r="T95" s="769"/>
      <c r="U95" s="331"/>
      <c r="V95" s="331"/>
      <c r="W95" s="331"/>
      <c r="X95" s="331"/>
      <c r="Y95" s="769"/>
      <c r="Z95" s="769"/>
      <c r="AA95" s="769"/>
      <c r="AB95" s="769"/>
      <c r="AC95" s="769"/>
      <c r="AD95" s="769"/>
      <c r="AE95" s="769"/>
      <c r="AF95" s="769"/>
      <c r="AG95" s="769"/>
      <c r="AH95" s="769"/>
      <c r="AI95" s="769"/>
      <c r="AJ95" s="769"/>
      <c r="AK95" s="769"/>
      <c r="AL95" s="769"/>
      <c r="AM95" s="769"/>
      <c r="AN95" s="769"/>
      <c r="AO95" s="769"/>
      <c r="AP95" s="769"/>
      <c r="AQ95" s="769"/>
      <c r="AR95" s="769"/>
      <c r="AS95" s="769"/>
      <c r="AT95" s="769"/>
      <c r="AU95" s="769"/>
      <c r="AV95" s="769"/>
      <c r="AW95" s="769"/>
      <c r="AX95" s="769"/>
      <c r="AY95" s="769"/>
      <c r="AZ95" s="769"/>
      <c r="BA95" s="769"/>
      <c r="BB95" s="769"/>
      <c r="BC95" s="769"/>
      <c r="BD95" s="769"/>
      <c r="BE95" s="769"/>
      <c r="BF95" s="769"/>
      <c r="BG95" s="769"/>
      <c r="BH95" s="769"/>
      <c r="BI95" s="769"/>
      <c r="BJ95" s="769"/>
      <c r="BK95" s="769"/>
      <c r="BL95" s="769"/>
      <c r="BM95" s="769"/>
      <c r="BN95" s="769"/>
      <c r="BO95" s="769"/>
      <c r="BP95" s="769"/>
      <c r="BQ95" s="769"/>
      <c r="BR95" s="769"/>
      <c r="BS95" s="769"/>
      <c r="BT95" s="769"/>
      <c r="BU95" s="769"/>
      <c r="BV95" s="769"/>
      <c r="BW95" s="769"/>
      <c r="BX95" s="769"/>
      <c r="BY95" s="769"/>
      <c r="BZ95" s="769"/>
      <c r="CA95" s="769"/>
      <c r="CB95" s="769"/>
      <c r="CC95" s="769"/>
      <c r="CD95" s="769"/>
      <c r="CE95" s="769"/>
      <c r="CF95" s="769"/>
      <c r="CG95" s="769"/>
      <c r="CH95" s="769"/>
      <c r="CI95" s="769"/>
      <c r="CJ95" s="769"/>
      <c r="CK95" s="769"/>
      <c r="CL95" s="769"/>
      <c r="CM95" s="769"/>
      <c r="CN95" s="769"/>
      <c r="CO95" s="769"/>
      <c r="CP95" s="769"/>
      <c r="CQ95" s="769"/>
      <c r="CR95" s="769"/>
      <c r="CS95" s="769"/>
      <c r="CT95" s="769"/>
      <c r="CU95" s="769"/>
      <c r="CV95" s="769"/>
      <c r="CW95" s="769"/>
      <c r="CX95" s="769"/>
      <c r="CY95" s="769"/>
      <c r="CZ95" s="769"/>
      <c r="DA95" s="769"/>
      <c r="DB95" s="769"/>
      <c r="DC95" s="769"/>
      <c r="DD95" s="769"/>
      <c r="DE95" s="769"/>
      <c r="DF95" s="769"/>
      <c r="DG95" s="769"/>
      <c r="DH95" s="769"/>
      <c r="DI95" s="769"/>
      <c r="DJ95" s="769"/>
      <c r="DK95" s="769"/>
      <c r="DL95" s="769"/>
      <c r="DM95" s="769"/>
      <c r="DN95" s="769"/>
      <c r="DO95" s="769"/>
      <c r="DP95" s="769"/>
      <c r="DQ95" s="769"/>
      <c r="DR95" s="769"/>
      <c r="DS95" s="769"/>
      <c r="DT95" s="769"/>
      <c r="DU95" s="769"/>
      <c r="DV95" s="769"/>
      <c r="DW95" s="769"/>
      <c r="DX95" s="769"/>
      <c r="DY95" s="769"/>
      <c r="DZ95" s="769"/>
      <c r="EA95" s="769"/>
      <c r="EB95" s="769"/>
      <c r="EC95" s="769"/>
      <c r="ED95" s="769"/>
      <c r="EE95" s="769"/>
      <c r="EF95" s="769"/>
      <c r="EG95" s="769"/>
      <c r="EH95" s="769"/>
      <c r="EI95" s="769"/>
      <c r="EJ95" s="769"/>
      <c r="EK95" s="769"/>
      <c r="EL95" s="769"/>
      <c r="EM95" s="769"/>
      <c r="EN95" s="769"/>
      <c r="EO95" s="769"/>
      <c r="EP95" s="769"/>
      <c r="EQ95" s="769"/>
      <c r="ER95" s="769"/>
      <c r="ES95" s="769"/>
      <c r="ET95" s="769"/>
      <c r="EU95" s="769"/>
      <c r="EV95" s="769"/>
      <c r="EW95" s="769"/>
      <c r="EX95" s="331"/>
      <c r="EY95" s="242" t="s">
        <v>1061</v>
      </c>
      <c r="EZ95" s="242"/>
      <c r="FA95" s="293"/>
      <c r="FB95" s="294"/>
      <c r="FC95" s="275" t="s">
        <v>852</v>
      </c>
    </row>
    <row r="96" spans="1:16111" s="5" customFormat="1" ht="46.5" customHeight="1">
      <c r="A96" s="265"/>
      <c r="B96" s="1632"/>
      <c r="C96" s="255" t="s">
        <v>843</v>
      </c>
      <c r="D96" s="225" t="s">
        <v>1062</v>
      </c>
      <c r="E96" s="751">
        <f t="shared" si="18"/>
        <v>0</v>
      </c>
      <c r="F96" s="751">
        <v>0</v>
      </c>
      <c r="G96" s="751">
        <v>0</v>
      </c>
      <c r="H96" s="751">
        <v>0</v>
      </c>
      <c r="I96" s="77">
        <f t="shared" si="10"/>
        <v>0</v>
      </c>
      <c r="J96" s="751">
        <f t="shared" si="11"/>
        <v>0</v>
      </c>
      <c r="K96" s="751">
        <f t="shared" si="12"/>
        <v>0</v>
      </c>
      <c r="L96" s="751">
        <f t="shared" si="13"/>
        <v>0</v>
      </c>
      <c r="M96" s="751">
        <f t="shared" si="14"/>
        <v>0</v>
      </c>
      <c r="N96" s="751">
        <f t="shared" si="15"/>
        <v>0</v>
      </c>
      <c r="O96" s="751">
        <f t="shared" si="16"/>
        <v>0</v>
      </c>
      <c r="P96" s="751">
        <f t="shared" si="17"/>
        <v>0</v>
      </c>
      <c r="Q96" s="751"/>
      <c r="R96" s="751"/>
      <c r="S96" s="741"/>
      <c r="T96" s="741"/>
      <c r="U96" s="335"/>
      <c r="V96" s="335"/>
      <c r="W96" s="335"/>
      <c r="X96" s="335"/>
      <c r="Y96" s="741"/>
      <c r="Z96" s="741"/>
      <c r="AA96" s="741"/>
      <c r="AB96" s="741"/>
      <c r="AC96" s="741"/>
      <c r="AD96" s="741"/>
      <c r="AE96" s="741"/>
      <c r="AF96" s="741"/>
      <c r="AG96" s="741"/>
      <c r="AH96" s="741"/>
      <c r="AI96" s="741"/>
      <c r="AJ96" s="741"/>
      <c r="AK96" s="741"/>
      <c r="AL96" s="741"/>
      <c r="AM96" s="741"/>
      <c r="AN96" s="741"/>
      <c r="AO96" s="741"/>
      <c r="AP96" s="741"/>
      <c r="AQ96" s="741"/>
      <c r="AR96" s="741"/>
      <c r="AS96" s="741"/>
      <c r="AT96" s="741"/>
      <c r="AU96" s="741"/>
      <c r="AV96" s="741"/>
      <c r="AW96" s="741"/>
      <c r="AX96" s="741"/>
      <c r="AY96" s="741"/>
      <c r="AZ96" s="741"/>
      <c r="BA96" s="741"/>
      <c r="BB96" s="741"/>
      <c r="BC96" s="741"/>
      <c r="BD96" s="741"/>
      <c r="BE96" s="741"/>
      <c r="BF96" s="741"/>
      <c r="BG96" s="741"/>
      <c r="BH96" s="741"/>
      <c r="BI96" s="741"/>
      <c r="BJ96" s="741"/>
      <c r="BK96" s="741"/>
      <c r="BL96" s="741"/>
      <c r="BM96" s="741"/>
      <c r="BN96" s="741"/>
      <c r="BO96" s="741"/>
      <c r="BP96" s="741"/>
      <c r="BQ96" s="741"/>
      <c r="BR96" s="741"/>
      <c r="BS96" s="741"/>
      <c r="BT96" s="741"/>
      <c r="BU96" s="741"/>
      <c r="BV96" s="741"/>
      <c r="BW96" s="741"/>
      <c r="BX96" s="741"/>
      <c r="BY96" s="741"/>
      <c r="BZ96" s="741"/>
      <c r="CA96" s="741"/>
      <c r="CB96" s="741"/>
      <c r="CC96" s="741"/>
      <c r="CD96" s="741"/>
      <c r="CE96" s="741"/>
      <c r="CF96" s="741"/>
      <c r="CG96" s="741"/>
      <c r="CH96" s="741"/>
      <c r="CI96" s="741"/>
      <c r="CJ96" s="741"/>
      <c r="CK96" s="741"/>
      <c r="CL96" s="741"/>
      <c r="CM96" s="741"/>
      <c r="CN96" s="741"/>
      <c r="CO96" s="741"/>
      <c r="CP96" s="741"/>
      <c r="CQ96" s="741"/>
      <c r="CR96" s="741"/>
      <c r="CS96" s="741"/>
      <c r="CT96" s="741"/>
      <c r="CU96" s="741"/>
      <c r="CV96" s="741"/>
      <c r="CW96" s="741"/>
      <c r="CX96" s="741"/>
      <c r="CY96" s="741"/>
      <c r="CZ96" s="741"/>
      <c r="DA96" s="741"/>
      <c r="DB96" s="741"/>
      <c r="DC96" s="741"/>
      <c r="DD96" s="741"/>
      <c r="DE96" s="741"/>
      <c r="DF96" s="741"/>
      <c r="DG96" s="741"/>
      <c r="DH96" s="741"/>
      <c r="DI96" s="741"/>
      <c r="DJ96" s="741"/>
      <c r="DK96" s="741"/>
      <c r="DL96" s="741"/>
      <c r="DM96" s="741"/>
      <c r="DN96" s="741"/>
      <c r="DO96" s="741"/>
      <c r="DP96" s="741"/>
      <c r="DQ96" s="741"/>
      <c r="DR96" s="741"/>
      <c r="DS96" s="741"/>
      <c r="DT96" s="741"/>
      <c r="DU96" s="741"/>
      <c r="DV96" s="741"/>
      <c r="DW96" s="741"/>
      <c r="DX96" s="741"/>
      <c r="DY96" s="741"/>
      <c r="DZ96" s="741"/>
      <c r="EA96" s="741"/>
      <c r="EB96" s="741"/>
      <c r="EC96" s="741"/>
      <c r="ED96" s="741"/>
      <c r="EE96" s="741"/>
      <c r="EF96" s="741"/>
      <c r="EG96" s="741"/>
      <c r="EH96" s="741"/>
      <c r="EI96" s="741"/>
      <c r="EJ96" s="741"/>
      <c r="EK96" s="741"/>
      <c r="EL96" s="741"/>
      <c r="EM96" s="741"/>
      <c r="EN96" s="741"/>
      <c r="EO96" s="741"/>
      <c r="EP96" s="741"/>
      <c r="EQ96" s="741"/>
      <c r="ER96" s="741"/>
      <c r="ES96" s="741"/>
      <c r="ET96" s="741"/>
      <c r="EU96" s="741"/>
      <c r="EV96" s="741"/>
      <c r="EW96" s="741"/>
      <c r="EX96" s="335"/>
      <c r="EY96" s="295" t="s">
        <v>1063</v>
      </c>
      <c r="EZ96" s="295" t="s">
        <v>1064</v>
      </c>
      <c r="FA96" s="295"/>
      <c r="FB96" s="295" t="s">
        <v>1065</v>
      </c>
      <c r="FC96" s="295" t="s">
        <v>1066</v>
      </c>
    </row>
    <row r="97" spans="1:16043" s="182" customFormat="1" ht="87" customHeight="1">
      <c r="A97" s="158"/>
      <c r="B97" s="1633"/>
      <c r="C97" s="254" t="s">
        <v>904</v>
      </c>
      <c r="D97" s="266" t="s">
        <v>1067</v>
      </c>
      <c r="E97" s="751">
        <f t="shared" si="18"/>
        <v>0</v>
      </c>
      <c r="F97" s="751">
        <v>0</v>
      </c>
      <c r="G97" s="751">
        <v>0</v>
      </c>
      <c r="H97" s="751">
        <v>0</v>
      </c>
      <c r="I97" s="77">
        <f t="shared" si="10"/>
        <v>0</v>
      </c>
      <c r="J97" s="751">
        <f t="shared" si="11"/>
        <v>0</v>
      </c>
      <c r="K97" s="751">
        <f t="shared" si="12"/>
        <v>0</v>
      </c>
      <c r="L97" s="751">
        <f t="shared" si="13"/>
        <v>0</v>
      </c>
      <c r="M97" s="751">
        <f t="shared" si="14"/>
        <v>0</v>
      </c>
      <c r="N97" s="751">
        <f t="shared" si="15"/>
        <v>0</v>
      </c>
      <c r="O97" s="751">
        <f t="shared" si="16"/>
        <v>0</v>
      </c>
      <c r="P97" s="751">
        <f t="shared" si="17"/>
        <v>0</v>
      </c>
      <c r="Q97" s="751"/>
      <c r="R97" s="751"/>
      <c r="S97" s="936"/>
      <c r="T97" s="936"/>
      <c r="U97" s="766"/>
      <c r="V97" s="766"/>
      <c r="W97" s="766"/>
      <c r="X97" s="766"/>
      <c r="Y97" s="969"/>
      <c r="Z97" s="975"/>
      <c r="AA97" s="981"/>
      <c r="AB97" s="981"/>
      <c r="AC97" s="981"/>
      <c r="AD97" s="981"/>
      <c r="AE97" s="981"/>
      <c r="AF97" s="981"/>
      <c r="AG97" s="981"/>
      <c r="AH97" s="994"/>
      <c r="AI97" s="1001"/>
      <c r="AJ97" s="1001"/>
      <c r="AK97" s="1001"/>
      <c r="AL97" s="1007"/>
      <c r="AM97" s="1022"/>
      <c r="AN97" s="1027"/>
      <c r="AO97" s="1035"/>
      <c r="AP97" s="1048"/>
      <c r="AQ97" s="1059"/>
      <c r="AR97" s="1059"/>
      <c r="AS97" s="1064"/>
      <c r="AT97" s="1069"/>
      <c r="AU97" s="1074"/>
      <c r="AV97" s="1084"/>
      <c r="AW97" s="1084"/>
      <c r="AX97" s="1084"/>
      <c r="AY97" s="1084"/>
      <c r="AZ97" s="1084"/>
      <c r="BA97" s="1084"/>
      <c r="BB97" s="1084"/>
      <c r="BC97" s="1084"/>
      <c r="BD97" s="1084"/>
      <c r="BE97" s="1084"/>
      <c r="BF97" s="1084"/>
      <c r="BG97" s="1084"/>
      <c r="BH97" s="1100"/>
      <c r="BI97" s="1104"/>
      <c r="BJ97" s="1109"/>
      <c r="BK97" s="1115"/>
      <c r="BL97" s="1115"/>
      <c r="BM97" s="1115"/>
      <c r="BN97" s="1122"/>
      <c r="BO97" s="1127"/>
      <c r="BP97" s="1127"/>
      <c r="BQ97" s="1133"/>
      <c r="BR97" s="1144"/>
      <c r="BS97" s="1144"/>
      <c r="BT97" s="1144"/>
      <c r="BU97" s="1149"/>
      <c r="BV97" s="1155"/>
      <c r="BW97" s="1160"/>
      <c r="BX97" s="1160"/>
      <c r="BY97" s="1167"/>
      <c r="BZ97" s="1167"/>
      <c r="CA97" s="1167"/>
      <c r="CB97" s="1181"/>
      <c r="CC97" s="1191"/>
      <c r="CD97" s="1191"/>
      <c r="CE97" s="1196"/>
      <c r="CF97" s="1205"/>
      <c r="CG97" s="1205"/>
      <c r="CH97" s="1205"/>
      <c r="CI97" s="1214"/>
      <c r="CJ97" s="1221"/>
      <c r="CK97" s="1226"/>
      <c r="CL97" s="1239"/>
      <c r="CM97" s="1248"/>
      <c r="CN97" s="1248"/>
      <c r="CO97" s="1248"/>
      <c r="CP97" s="1255"/>
      <c r="CQ97" s="1260"/>
      <c r="CR97" s="1267"/>
      <c r="CS97" s="1272"/>
      <c r="CT97" s="1278"/>
      <c r="CU97" s="1278"/>
      <c r="CV97" s="1278"/>
      <c r="CW97" s="1290"/>
      <c r="CX97" s="1295"/>
      <c r="CY97" s="1302"/>
      <c r="CZ97" s="1309"/>
      <c r="DA97" s="1314"/>
      <c r="DB97" s="1314"/>
      <c r="DC97" s="1314"/>
      <c r="DD97" s="1323"/>
      <c r="DE97" s="1329"/>
      <c r="DF97" s="1334"/>
      <c r="DG97" s="1341"/>
      <c r="DH97" s="1341"/>
      <c r="DI97" s="1341"/>
      <c r="DJ97" s="1347"/>
      <c r="DK97" s="1355"/>
      <c r="DL97" s="1361"/>
      <c r="DM97" s="1366"/>
      <c r="DN97" s="1372"/>
      <c r="DO97" s="1382"/>
      <c r="DP97" s="1382"/>
      <c r="DQ97" s="1382"/>
      <c r="DR97" s="1390"/>
      <c r="DS97" s="1394"/>
      <c r="DT97" s="1401"/>
      <c r="DU97" s="1406"/>
      <c r="DV97" s="1421"/>
      <c r="DW97" s="1421"/>
      <c r="DX97" s="1421"/>
      <c r="DY97" s="1425"/>
      <c r="DZ97" s="1430"/>
      <c r="EA97" s="1436"/>
      <c r="EB97" s="1442"/>
      <c r="EC97" s="1449"/>
      <c r="ED97" s="1449"/>
      <c r="EE97" s="1455"/>
      <c r="EF97" s="1455"/>
      <c r="EG97" s="1455"/>
      <c r="EH97" s="1455"/>
      <c r="EI97" s="1455"/>
      <c r="EJ97" s="1455"/>
      <c r="EK97" s="1455"/>
      <c r="EL97" s="1455"/>
      <c r="EM97" s="1464"/>
      <c r="EN97" s="1469"/>
      <c r="EO97" s="1475"/>
      <c r="EP97" s="1481"/>
      <c r="EQ97" s="1490"/>
      <c r="ER97" s="1490"/>
      <c r="ES97" s="1490"/>
      <c r="ET97" s="1497"/>
      <c r="EU97" s="1503"/>
      <c r="EV97" s="1514"/>
      <c r="EW97" s="1519"/>
      <c r="EX97" s="261"/>
      <c r="EY97" s="259"/>
      <c r="EZ97" s="259" t="s">
        <v>1068</v>
      </c>
      <c r="FA97" s="292"/>
      <c r="FB97" s="287"/>
      <c r="FC97" s="288" t="s">
        <v>1069</v>
      </c>
    </row>
    <row r="98" spans="1:16043" s="18" customFormat="1" ht="128.25">
      <c r="A98" s="248">
        <v>28</v>
      </c>
      <c r="B98" s="223" t="s">
        <v>1070</v>
      </c>
      <c r="C98" s="255" t="s">
        <v>843</v>
      </c>
      <c r="D98" s="328" t="s">
        <v>1071</v>
      </c>
      <c r="E98" s="751">
        <f t="shared" si="18"/>
        <v>0</v>
      </c>
      <c r="F98" s="751">
        <v>0</v>
      </c>
      <c r="G98" s="751">
        <v>0</v>
      </c>
      <c r="H98" s="751">
        <v>0</v>
      </c>
      <c r="I98" s="77">
        <f t="shared" si="10"/>
        <v>0</v>
      </c>
      <c r="J98" s="751">
        <f t="shared" si="11"/>
        <v>0</v>
      </c>
      <c r="K98" s="751">
        <f t="shared" si="12"/>
        <v>0</v>
      </c>
      <c r="L98" s="751">
        <f t="shared" si="13"/>
        <v>0</v>
      </c>
      <c r="M98" s="751">
        <f t="shared" si="14"/>
        <v>0</v>
      </c>
      <c r="N98" s="751">
        <f t="shared" si="15"/>
        <v>0</v>
      </c>
      <c r="O98" s="751">
        <f t="shared" si="16"/>
        <v>0</v>
      </c>
      <c r="P98" s="751">
        <f t="shared" si="17"/>
        <v>0</v>
      </c>
      <c r="Q98" s="751"/>
      <c r="R98" s="751"/>
      <c r="S98" s="734"/>
      <c r="T98" s="734"/>
      <c r="U98" s="86"/>
      <c r="V98" s="86"/>
      <c r="W98" s="86"/>
      <c r="X98" s="86"/>
      <c r="Y98" s="734"/>
      <c r="Z98" s="734"/>
      <c r="AA98" s="734"/>
      <c r="AB98" s="734"/>
      <c r="AC98" s="734"/>
      <c r="AD98" s="734"/>
      <c r="AE98" s="734"/>
      <c r="AF98" s="734"/>
      <c r="AG98" s="734"/>
      <c r="AH98" s="734"/>
      <c r="AI98" s="734"/>
      <c r="AJ98" s="734"/>
      <c r="AK98" s="734"/>
      <c r="AL98" s="734"/>
      <c r="AM98" s="734"/>
      <c r="AN98" s="734"/>
      <c r="AO98" s="734"/>
      <c r="AP98" s="734"/>
      <c r="AQ98" s="734"/>
      <c r="AR98" s="734"/>
      <c r="AS98" s="734"/>
      <c r="AT98" s="734"/>
      <c r="AU98" s="734"/>
      <c r="AV98" s="734"/>
      <c r="AW98" s="734"/>
      <c r="AX98" s="734"/>
      <c r="AY98" s="734"/>
      <c r="AZ98" s="734"/>
      <c r="BA98" s="734"/>
      <c r="BB98" s="734"/>
      <c r="BC98" s="734"/>
      <c r="BD98" s="734"/>
      <c r="BE98" s="734"/>
      <c r="BF98" s="734"/>
      <c r="BG98" s="734"/>
      <c r="BH98" s="734"/>
      <c r="BI98" s="734"/>
      <c r="BJ98" s="734"/>
      <c r="BK98" s="734"/>
      <c r="BL98" s="734"/>
      <c r="BM98" s="734"/>
      <c r="BN98" s="734"/>
      <c r="BO98" s="734"/>
      <c r="BP98" s="734"/>
      <c r="BQ98" s="734"/>
      <c r="BR98" s="734"/>
      <c r="BS98" s="734"/>
      <c r="BT98" s="734"/>
      <c r="BU98" s="734"/>
      <c r="BV98" s="734"/>
      <c r="BW98" s="734"/>
      <c r="BX98" s="734"/>
      <c r="BY98" s="734"/>
      <c r="BZ98" s="734"/>
      <c r="CA98" s="734"/>
      <c r="CB98" s="734"/>
      <c r="CC98" s="734"/>
      <c r="CD98" s="734"/>
      <c r="CE98" s="734"/>
      <c r="CF98" s="734"/>
      <c r="CG98" s="734"/>
      <c r="CH98" s="734"/>
      <c r="CI98" s="734"/>
      <c r="CJ98" s="734"/>
      <c r="CK98" s="734"/>
      <c r="CL98" s="734"/>
      <c r="CM98" s="734"/>
      <c r="CN98" s="734"/>
      <c r="CO98" s="734"/>
      <c r="CP98" s="734"/>
      <c r="CQ98" s="734"/>
      <c r="CR98" s="734"/>
      <c r="CS98" s="734"/>
      <c r="CT98" s="734"/>
      <c r="CU98" s="734"/>
      <c r="CV98" s="734"/>
      <c r="CW98" s="734"/>
      <c r="CX98" s="734"/>
      <c r="CY98" s="734"/>
      <c r="CZ98" s="734"/>
      <c r="DA98" s="734"/>
      <c r="DB98" s="734"/>
      <c r="DC98" s="734"/>
      <c r="DD98" s="734"/>
      <c r="DE98" s="734"/>
      <c r="DF98" s="734"/>
      <c r="DG98" s="734"/>
      <c r="DH98" s="734"/>
      <c r="DI98" s="734"/>
      <c r="DJ98" s="734"/>
      <c r="DK98" s="734"/>
      <c r="DL98" s="734"/>
      <c r="DM98" s="734"/>
      <c r="DN98" s="734"/>
      <c r="DO98" s="734"/>
      <c r="DP98" s="734"/>
      <c r="DQ98" s="734"/>
      <c r="DR98" s="734"/>
      <c r="DS98" s="734"/>
      <c r="DT98" s="734"/>
      <c r="DU98" s="734"/>
      <c r="DV98" s="734"/>
      <c r="DW98" s="734"/>
      <c r="DX98" s="734"/>
      <c r="DY98" s="734"/>
      <c r="DZ98" s="734"/>
      <c r="EA98" s="734"/>
      <c r="EB98" s="734"/>
      <c r="EC98" s="734"/>
      <c r="ED98" s="734"/>
      <c r="EE98" s="734"/>
      <c r="EF98" s="734"/>
      <c r="EG98" s="734"/>
      <c r="EH98" s="734"/>
      <c r="EI98" s="734"/>
      <c r="EJ98" s="734"/>
      <c r="EK98" s="734"/>
      <c r="EL98" s="734"/>
      <c r="EM98" s="734"/>
      <c r="EN98" s="734"/>
      <c r="EO98" s="734"/>
      <c r="EP98" s="734"/>
      <c r="EQ98" s="734"/>
      <c r="ER98" s="734"/>
      <c r="ES98" s="734"/>
      <c r="ET98" s="734"/>
      <c r="EU98" s="734"/>
      <c r="EV98" s="734"/>
      <c r="EW98" s="734"/>
      <c r="EX98" s="86"/>
      <c r="EY98" s="338" t="s">
        <v>1163</v>
      </c>
      <c r="EZ98" s="338"/>
      <c r="FA98" s="87"/>
      <c r="FB98" s="351"/>
      <c r="FC98" s="352" t="s">
        <v>844</v>
      </c>
      <c r="FD98" s="15"/>
      <c r="FE98" s="353"/>
      <c r="FF98" s="353"/>
      <c r="FG98" s="353"/>
      <c r="FH98" s="353"/>
      <c r="FI98" s="353"/>
      <c r="FJ98" s="353"/>
      <c r="FK98" s="353"/>
      <c r="FL98" s="353"/>
      <c r="FM98" s="353"/>
      <c r="FN98" s="353"/>
      <c r="FO98" s="353"/>
      <c r="FP98" s="353"/>
      <c r="FQ98" s="353"/>
      <c r="FR98" s="353"/>
      <c r="FS98" s="353"/>
      <c r="FT98" s="353"/>
      <c r="FU98" s="353"/>
      <c r="FV98" s="353"/>
      <c r="FW98" s="353"/>
      <c r="FX98" s="353"/>
      <c r="FY98" s="353"/>
      <c r="FZ98" s="353"/>
      <c r="GA98" s="353"/>
      <c r="GB98" s="353"/>
      <c r="GC98" s="353"/>
      <c r="GD98" s="353"/>
      <c r="GE98" s="353"/>
      <c r="GF98" s="353"/>
      <c r="GG98" s="353"/>
      <c r="GH98" s="353"/>
      <c r="GI98" s="353"/>
      <c r="GJ98" s="353"/>
      <c r="GK98" s="353"/>
      <c r="GL98" s="353"/>
      <c r="GM98" s="353"/>
      <c r="GN98" s="353"/>
      <c r="GO98" s="353"/>
      <c r="GP98" s="353"/>
      <c r="GQ98" s="353"/>
      <c r="GR98" s="353"/>
      <c r="GS98" s="353"/>
      <c r="GT98" s="353"/>
      <c r="GU98" s="353"/>
      <c r="GV98" s="353"/>
      <c r="GW98" s="353"/>
      <c r="GX98" s="353"/>
      <c r="GY98" s="353"/>
      <c r="GZ98" s="353"/>
      <c r="HA98" s="353"/>
      <c r="HB98" s="353"/>
      <c r="HC98" s="353"/>
      <c r="HD98" s="353"/>
      <c r="HE98" s="353"/>
      <c r="HF98" s="353"/>
      <c r="HG98" s="353"/>
      <c r="HH98" s="353"/>
      <c r="HI98" s="353"/>
      <c r="HJ98" s="353"/>
      <c r="HK98" s="353"/>
      <c r="HL98" s="353"/>
      <c r="HM98" s="353"/>
      <c r="HN98" s="353"/>
      <c r="HO98" s="353"/>
      <c r="HP98" s="353"/>
      <c r="HQ98" s="353"/>
      <c r="HR98" s="353"/>
      <c r="HS98" s="353"/>
      <c r="HT98" s="353"/>
      <c r="HU98" s="353"/>
      <c r="HV98" s="353"/>
      <c r="HW98" s="353"/>
      <c r="HX98" s="353"/>
      <c r="HY98" s="353"/>
      <c r="HZ98" s="353"/>
      <c r="IA98" s="353"/>
      <c r="IB98" s="353"/>
      <c r="IC98" s="353"/>
      <c r="ID98" s="353"/>
      <c r="IE98" s="353"/>
      <c r="IF98" s="353"/>
      <c r="IG98" s="353"/>
      <c r="IH98" s="353"/>
      <c r="II98" s="353"/>
      <c r="IJ98" s="353"/>
      <c r="IK98" s="353"/>
      <c r="IL98" s="353"/>
      <c r="IM98" s="353"/>
      <c r="IN98" s="353"/>
      <c r="IO98" s="353"/>
      <c r="IP98" s="353"/>
      <c r="IQ98" s="353"/>
      <c r="IR98" s="353"/>
      <c r="IS98" s="353"/>
      <c r="IT98" s="353"/>
      <c r="IU98" s="353"/>
      <c r="IV98" s="353"/>
      <c r="IW98" s="353"/>
      <c r="IX98" s="353"/>
      <c r="IY98" s="353"/>
      <c r="IZ98" s="353"/>
      <c r="JA98" s="353"/>
      <c r="JB98" s="353"/>
      <c r="JC98" s="353"/>
      <c r="JD98" s="353"/>
      <c r="JE98" s="353"/>
      <c r="JF98" s="353"/>
      <c r="JG98" s="353"/>
      <c r="JH98" s="353"/>
      <c r="JI98" s="353"/>
      <c r="JJ98" s="353"/>
      <c r="JK98" s="353"/>
      <c r="JL98" s="353"/>
      <c r="JM98" s="353"/>
      <c r="JN98" s="353"/>
      <c r="JO98" s="353"/>
      <c r="JP98" s="353"/>
      <c r="JQ98" s="353"/>
      <c r="JR98" s="353"/>
      <c r="JS98" s="353"/>
      <c r="JT98" s="353"/>
      <c r="JU98" s="353"/>
      <c r="JV98" s="353"/>
      <c r="JW98" s="353"/>
      <c r="JX98" s="353"/>
      <c r="JY98" s="353"/>
      <c r="JZ98" s="353"/>
      <c r="KA98" s="353"/>
      <c r="KB98" s="353"/>
      <c r="KC98" s="353"/>
      <c r="KD98" s="353"/>
      <c r="KE98" s="353"/>
      <c r="KF98" s="353"/>
      <c r="KG98" s="353"/>
      <c r="KH98" s="353"/>
      <c r="KI98" s="353"/>
      <c r="KJ98" s="353"/>
      <c r="KK98" s="353"/>
      <c r="KL98" s="353"/>
      <c r="KM98" s="353"/>
      <c r="KN98" s="353"/>
      <c r="KO98" s="353"/>
      <c r="KP98" s="353"/>
      <c r="KQ98" s="353"/>
      <c r="KR98" s="353"/>
      <c r="KS98" s="353"/>
      <c r="KT98" s="353"/>
      <c r="KU98" s="353"/>
      <c r="KV98" s="353"/>
      <c r="KW98" s="353"/>
      <c r="KX98" s="353"/>
      <c r="KY98" s="353"/>
      <c r="KZ98" s="353"/>
      <c r="LA98" s="353"/>
      <c r="LB98" s="353"/>
      <c r="LC98" s="353"/>
      <c r="LD98" s="353"/>
      <c r="LE98" s="353"/>
      <c r="LF98" s="353"/>
      <c r="LG98" s="353"/>
      <c r="LH98" s="353"/>
      <c r="LI98" s="353"/>
      <c r="LJ98" s="353"/>
      <c r="LK98" s="353"/>
      <c r="LL98" s="353"/>
      <c r="LM98" s="353"/>
      <c r="LN98" s="353"/>
      <c r="LO98" s="353"/>
      <c r="LP98" s="353"/>
      <c r="LQ98" s="353"/>
      <c r="LR98" s="353"/>
      <c r="LS98" s="353"/>
      <c r="LT98" s="353"/>
      <c r="LU98" s="353"/>
      <c r="LV98" s="353"/>
      <c r="LW98" s="353"/>
      <c r="LX98" s="353"/>
      <c r="LY98" s="353"/>
      <c r="LZ98" s="353"/>
      <c r="MA98" s="353"/>
      <c r="MB98" s="353"/>
      <c r="MC98" s="353"/>
      <c r="MD98" s="353"/>
      <c r="ME98" s="353"/>
      <c r="MF98" s="353"/>
      <c r="MG98" s="353"/>
      <c r="MH98" s="353"/>
      <c r="MI98" s="353"/>
      <c r="MJ98" s="353"/>
      <c r="MK98" s="353"/>
      <c r="ML98" s="353"/>
      <c r="MM98" s="353"/>
      <c r="MN98" s="353"/>
      <c r="MO98" s="353"/>
      <c r="MP98" s="353"/>
      <c r="MQ98" s="353"/>
      <c r="MR98" s="353"/>
      <c r="MS98" s="353"/>
      <c r="MT98" s="353"/>
      <c r="MU98" s="353"/>
      <c r="MV98" s="353"/>
      <c r="MW98" s="353"/>
      <c r="MX98" s="353"/>
      <c r="MY98" s="353"/>
      <c r="MZ98" s="353"/>
      <c r="NA98" s="353"/>
      <c r="NB98" s="353"/>
      <c r="NC98" s="353"/>
      <c r="ND98" s="353"/>
      <c r="NE98" s="353"/>
      <c r="NF98" s="353"/>
      <c r="NG98" s="353"/>
      <c r="NH98" s="353"/>
      <c r="NI98" s="353"/>
      <c r="NJ98" s="353"/>
      <c r="NK98" s="353"/>
      <c r="NL98" s="353"/>
      <c r="NM98" s="353"/>
      <c r="NN98" s="353"/>
      <c r="NO98" s="353"/>
      <c r="NP98" s="353"/>
      <c r="NQ98" s="353"/>
      <c r="NR98" s="353"/>
      <c r="NS98" s="353"/>
      <c r="NT98" s="353"/>
      <c r="NU98" s="353"/>
      <c r="NV98" s="353"/>
      <c r="NW98" s="353"/>
      <c r="NX98" s="353"/>
      <c r="NY98" s="353"/>
      <c r="NZ98" s="353"/>
      <c r="OA98" s="353"/>
      <c r="OB98" s="353"/>
      <c r="OC98" s="353"/>
      <c r="OD98" s="353"/>
      <c r="OE98" s="353"/>
      <c r="OF98" s="353"/>
      <c r="OG98" s="353"/>
      <c r="OH98" s="353"/>
      <c r="OI98" s="353"/>
      <c r="OJ98" s="353"/>
      <c r="OK98" s="353"/>
      <c r="OL98" s="353"/>
      <c r="OM98" s="353"/>
      <c r="ON98" s="353"/>
      <c r="OO98" s="353"/>
      <c r="OP98" s="353"/>
      <c r="OQ98" s="353"/>
      <c r="OR98" s="353"/>
      <c r="OS98" s="353"/>
      <c r="OT98" s="353"/>
      <c r="OU98" s="353"/>
      <c r="OV98" s="353"/>
      <c r="OW98" s="353"/>
      <c r="OX98" s="353"/>
      <c r="OY98" s="353"/>
      <c r="OZ98" s="353"/>
      <c r="PA98" s="353"/>
      <c r="PB98" s="353"/>
      <c r="PC98" s="353"/>
      <c r="PD98" s="353"/>
      <c r="PE98" s="353"/>
      <c r="PF98" s="353"/>
      <c r="PG98" s="353"/>
      <c r="PH98" s="353"/>
      <c r="PI98" s="353"/>
      <c r="PJ98" s="353"/>
      <c r="PK98" s="353"/>
      <c r="PL98" s="353"/>
      <c r="PM98" s="353"/>
      <c r="PN98" s="353"/>
      <c r="PO98" s="353"/>
      <c r="PP98" s="353"/>
      <c r="PQ98" s="353"/>
      <c r="PR98" s="353"/>
      <c r="PS98" s="353"/>
      <c r="PT98" s="353"/>
      <c r="PU98" s="353"/>
      <c r="PV98" s="353"/>
      <c r="PW98" s="353"/>
      <c r="PX98" s="353"/>
      <c r="PY98" s="353"/>
      <c r="PZ98" s="353"/>
      <c r="QA98" s="353"/>
      <c r="QB98" s="353"/>
      <c r="QC98" s="353"/>
      <c r="QD98" s="353"/>
      <c r="QE98" s="353"/>
      <c r="QF98" s="353"/>
      <c r="QG98" s="353"/>
      <c r="QH98" s="353"/>
      <c r="QI98" s="353"/>
      <c r="QJ98" s="353"/>
      <c r="QK98" s="353"/>
      <c r="QL98" s="353"/>
      <c r="QM98" s="353"/>
      <c r="QN98" s="353"/>
      <c r="QO98" s="353"/>
      <c r="QP98" s="353"/>
      <c r="QQ98" s="353"/>
      <c r="QR98" s="353"/>
      <c r="QS98" s="353"/>
      <c r="QT98" s="353"/>
      <c r="QU98" s="353"/>
      <c r="QV98" s="353"/>
      <c r="QW98" s="353"/>
      <c r="QX98" s="353"/>
      <c r="QY98" s="353"/>
      <c r="QZ98" s="353"/>
      <c r="RA98" s="353"/>
      <c r="RB98" s="353"/>
      <c r="RC98" s="353"/>
      <c r="RD98" s="353"/>
      <c r="RE98" s="353"/>
      <c r="RF98" s="353"/>
      <c r="RG98" s="353"/>
      <c r="RH98" s="353"/>
      <c r="RI98" s="353"/>
      <c r="RJ98" s="353"/>
      <c r="RK98" s="353"/>
      <c r="RL98" s="353"/>
      <c r="RM98" s="353"/>
      <c r="RN98" s="353"/>
      <c r="RO98" s="353"/>
      <c r="RP98" s="353"/>
      <c r="RQ98" s="353"/>
      <c r="RR98" s="353"/>
      <c r="RS98" s="353"/>
      <c r="RT98" s="353"/>
      <c r="RU98" s="353"/>
      <c r="RV98" s="353"/>
      <c r="RW98" s="353"/>
      <c r="RX98" s="353"/>
      <c r="RY98" s="353"/>
      <c r="RZ98" s="353"/>
      <c r="SA98" s="353"/>
      <c r="SB98" s="353"/>
      <c r="SC98" s="353"/>
      <c r="SD98" s="353"/>
      <c r="SE98" s="353"/>
      <c r="SF98" s="353"/>
      <c r="SG98" s="353"/>
      <c r="SH98" s="353"/>
      <c r="SI98" s="353"/>
      <c r="SJ98" s="353"/>
      <c r="SK98" s="353"/>
      <c r="SL98" s="353"/>
      <c r="SM98" s="353"/>
      <c r="SN98" s="353"/>
      <c r="SO98" s="353"/>
      <c r="SP98" s="353"/>
      <c r="SQ98" s="353"/>
      <c r="SR98" s="353"/>
      <c r="SS98" s="353"/>
      <c r="ST98" s="353"/>
      <c r="SU98" s="353"/>
      <c r="SV98" s="353"/>
      <c r="SW98" s="353"/>
      <c r="SX98" s="353"/>
      <c r="SY98" s="353"/>
      <c r="SZ98" s="353"/>
      <c r="TA98" s="353"/>
      <c r="TB98" s="353"/>
      <c r="TC98" s="353"/>
      <c r="TD98" s="353"/>
      <c r="TE98" s="353"/>
      <c r="TF98" s="353"/>
      <c r="TG98" s="353"/>
      <c r="TH98" s="353"/>
      <c r="TI98" s="353"/>
      <c r="TJ98" s="353"/>
      <c r="TK98" s="353"/>
      <c r="TL98" s="353"/>
      <c r="TM98" s="353"/>
      <c r="TN98" s="353"/>
      <c r="TO98" s="353"/>
      <c r="TP98" s="353"/>
      <c r="TQ98" s="353"/>
      <c r="TR98" s="353"/>
      <c r="TS98" s="353"/>
      <c r="TT98" s="353"/>
      <c r="TU98" s="353"/>
      <c r="TV98" s="353"/>
      <c r="TW98" s="353"/>
      <c r="TX98" s="353"/>
      <c r="TY98" s="353"/>
      <c r="TZ98" s="353"/>
      <c r="UA98" s="353"/>
      <c r="UB98" s="353"/>
      <c r="UC98" s="353"/>
      <c r="UD98" s="353"/>
      <c r="UE98" s="353"/>
      <c r="UF98" s="353"/>
      <c r="UG98" s="353"/>
      <c r="UH98" s="353"/>
      <c r="UI98" s="353"/>
      <c r="UJ98" s="353"/>
      <c r="UK98" s="353"/>
      <c r="UL98" s="353"/>
      <c r="UM98" s="353"/>
      <c r="UN98" s="353"/>
      <c r="UO98" s="353"/>
      <c r="UP98" s="353"/>
      <c r="UQ98" s="353"/>
      <c r="UR98" s="353"/>
      <c r="US98" s="353"/>
      <c r="UT98" s="353"/>
      <c r="UU98" s="353"/>
      <c r="UV98" s="353"/>
      <c r="UW98" s="353"/>
      <c r="UX98" s="353"/>
      <c r="UY98" s="353"/>
      <c r="UZ98" s="353"/>
      <c r="VA98" s="353"/>
      <c r="VB98" s="353"/>
      <c r="VC98" s="353"/>
      <c r="VD98" s="353"/>
      <c r="VE98" s="353"/>
      <c r="VF98" s="353"/>
      <c r="VG98" s="353"/>
      <c r="VH98" s="353"/>
      <c r="VI98" s="353"/>
      <c r="VJ98" s="353"/>
      <c r="VK98" s="353"/>
      <c r="VL98" s="353"/>
      <c r="VM98" s="353"/>
      <c r="VN98" s="353"/>
      <c r="VO98" s="353"/>
      <c r="VP98" s="353"/>
      <c r="VQ98" s="353"/>
      <c r="VR98" s="353"/>
      <c r="VS98" s="353"/>
      <c r="VT98" s="353"/>
      <c r="VU98" s="353"/>
      <c r="VV98" s="353"/>
      <c r="VW98" s="353"/>
      <c r="VX98" s="353"/>
      <c r="VY98" s="353"/>
      <c r="VZ98" s="353"/>
      <c r="WA98" s="353"/>
      <c r="WB98" s="353"/>
      <c r="WC98" s="353"/>
      <c r="WD98" s="353"/>
      <c r="WE98" s="353"/>
      <c r="WF98" s="353"/>
      <c r="WG98" s="353"/>
      <c r="WH98" s="353"/>
      <c r="WI98" s="353"/>
      <c r="WJ98" s="353"/>
      <c r="WK98" s="353"/>
      <c r="WL98" s="353"/>
      <c r="WM98" s="353"/>
      <c r="WN98" s="353"/>
      <c r="WO98" s="353"/>
      <c r="WP98" s="353"/>
      <c r="WQ98" s="353"/>
      <c r="WR98" s="353"/>
      <c r="WS98" s="353"/>
      <c r="WT98" s="353"/>
      <c r="WU98" s="353"/>
      <c r="WV98" s="353"/>
      <c r="WW98" s="353"/>
      <c r="WX98" s="353"/>
      <c r="WY98" s="353"/>
      <c r="WZ98" s="353"/>
      <c r="XA98" s="353"/>
      <c r="XB98" s="353"/>
      <c r="XC98" s="353"/>
      <c r="XD98" s="353"/>
      <c r="XE98" s="353"/>
      <c r="XF98" s="353"/>
      <c r="XG98" s="353"/>
      <c r="XH98" s="353"/>
      <c r="XI98" s="353"/>
      <c r="XJ98" s="353"/>
      <c r="XK98" s="353"/>
      <c r="XL98" s="353"/>
      <c r="XM98" s="353"/>
      <c r="XN98" s="353"/>
      <c r="XO98" s="353"/>
      <c r="XP98" s="353"/>
      <c r="XQ98" s="353"/>
      <c r="XR98" s="353"/>
      <c r="XS98" s="353"/>
      <c r="XT98" s="353"/>
      <c r="XU98" s="353"/>
      <c r="XV98" s="353"/>
      <c r="XW98" s="353"/>
      <c r="XX98" s="353"/>
      <c r="XY98" s="353"/>
      <c r="XZ98" s="353"/>
      <c r="YA98" s="353"/>
      <c r="YB98" s="353"/>
      <c r="YC98" s="353"/>
      <c r="YD98" s="353"/>
      <c r="YE98" s="353"/>
      <c r="YF98" s="353"/>
      <c r="YG98" s="353"/>
      <c r="YH98" s="353"/>
      <c r="YI98" s="353"/>
      <c r="YJ98" s="353"/>
      <c r="YK98" s="353"/>
      <c r="YL98" s="353"/>
      <c r="YM98" s="353"/>
      <c r="YN98" s="353"/>
      <c r="YO98" s="353"/>
      <c r="YP98" s="353"/>
      <c r="YQ98" s="353"/>
      <c r="YR98" s="353"/>
      <c r="YS98" s="353"/>
      <c r="YT98" s="353"/>
      <c r="YU98" s="353"/>
      <c r="YV98" s="353"/>
      <c r="YW98" s="353"/>
      <c r="YX98" s="353"/>
      <c r="YY98" s="353"/>
      <c r="YZ98" s="353"/>
      <c r="ZA98" s="353"/>
      <c r="ZB98" s="353"/>
      <c r="ZC98" s="353"/>
      <c r="ZD98" s="353"/>
      <c r="ZE98" s="353"/>
      <c r="ZF98" s="353"/>
      <c r="ZG98" s="353"/>
      <c r="ZH98" s="353"/>
      <c r="ZI98" s="353"/>
      <c r="ZJ98" s="353"/>
      <c r="ZK98" s="353"/>
      <c r="ZL98" s="353"/>
      <c r="ZM98" s="353"/>
      <c r="ZN98" s="353"/>
      <c r="ZO98" s="353"/>
      <c r="ZP98" s="353"/>
      <c r="ZQ98" s="353"/>
      <c r="ZR98" s="353"/>
      <c r="ZS98" s="353"/>
      <c r="ZT98" s="353"/>
      <c r="ZU98" s="353"/>
      <c r="ZV98" s="353"/>
      <c r="ZW98" s="353"/>
      <c r="ZX98" s="353"/>
      <c r="ZY98" s="353"/>
      <c r="ZZ98" s="353"/>
      <c r="AAA98" s="353"/>
      <c r="AAB98" s="353"/>
      <c r="AAC98" s="353"/>
      <c r="AAD98" s="353"/>
      <c r="AAE98" s="353"/>
      <c r="AAF98" s="353"/>
      <c r="AAG98" s="353"/>
      <c r="AAH98" s="353"/>
      <c r="AAI98" s="353"/>
      <c r="AAJ98" s="353"/>
      <c r="AAK98" s="353"/>
      <c r="AAL98" s="353"/>
      <c r="AAM98" s="353"/>
      <c r="AAN98" s="353"/>
      <c r="AAO98" s="353"/>
      <c r="AAP98" s="353"/>
      <c r="AAQ98" s="353"/>
      <c r="AAR98" s="353"/>
      <c r="AAS98" s="353"/>
      <c r="AAT98" s="353"/>
      <c r="AAU98" s="353"/>
      <c r="AAV98" s="353"/>
      <c r="AAW98" s="353"/>
      <c r="AAX98" s="353"/>
      <c r="AAY98" s="353"/>
      <c r="AAZ98" s="353"/>
      <c r="ABA98" s="353"/>
      <c r="ABB98" s="353"/>
      <c r="ABC98" s="353"/>
      <c r="ABD98" s="353"/>
      <c r="ABE98" s="353"/>
      <c r="ABF98" s="353"/>
      <c r="ABG98" s="353"/>
      <c r="ABH98" s="353"/>
      <c r="ABI98" s="353"/>
      <c r="ABJ98" s="353"/>
      <c r="ABK98" s="353"/>
      <c r="ABL98" s="353"/>
      <c r="ABM98" s="353"/>
      <c r="ABN98" s="353"/>
      <c r="ABO98" s="353"/>
      <c r="ABP98" s="353"/>
      <c r="ABQ98" s="353"/>
      <c r="ABR98" s="353"/>
      <c r="ABS98" s="353"/>
      <c r="ABT98" s="353"/>
      <c r="ABU98" s="353"/>
      <c r="ABV98" s="353"/>
      <c r="ABW98" s="353"/>
      <c r="ABX98" s="353"/>
      <c r="ABY98" s="353"/>
      <c r="ABZ98" s="353"/>
      <c r="ACA98" s="353"/>
      <c r="ACB98" s="353"/>
      <c r="ACC98" s="353"/>
      <c r="ACD98" s="353"/>
      <c r="ACE98" s="353"/>
      <c r="ACF98" s="353"/>
      <c r="ACG98" s="353"/>
      <c r="ACH98" s="353"/>
      <c r="ACI98" s="353"/>
      <c r="ACJ98" s="353"/>
      <c r="ACK98" s="353"/>
      <c r="ACL98" s="353"/>
      <c r="ACM98" s="353"/>
      <c r="ACN98" s="353"/>
      <c r="ACO98" s="353"/>
      <c r="ACP98" s="353"/>
      <c r="ACQ98" s="353"/>
      <c r="ACR98" s="353"/>
      <c r="ACS98" s="353"/>
      <c r="ACT98" s="353"/>
      <c r="ACU98" s="353"/>
      <c r="ACV98" s="353"/>
      <c r="ACW98" s="353"/>
      <c r="ACX98" s="353"/>
      <c r="ACY98" s="353"/>
      <c r="ACZ98" s="353"/>
      <c r="ADA98" s="353"/>
      <c r="ADB98" s="353"/>
      <c r="ADC98" s="353"/>
      <c r="ADD98" s="353"/>
      <c r="ADE98" s="353"/>
      <c r="ADF98" s="353"/>
      <c r="ADG98" s="353"/>
      <c r="ADH98" s="353"/>
      <c r="ADI98" s="353"/>
      <c r="ADJ98" s="353"/>
      <c r="ADK98" s="353"/>
      <c r="ADL98" s="353"/>
      <c r="ADM98" s="353"/>
      <c r="ADN98" s="353"/>
      <c r="ADO98" s="353"/>
      <c r="ADP98" s="353"/>
      <c r="ADQ98" s="353"/>
      <c r="ADR98" s="353"/>
      <c r="ADS98" s="353"/>
      <c r="ADT98" s="353"/>
      <c r="ADU98" s="353"/>
      <c r="ADV98" s="353"/>
      <c r="ADW98" s="353"/>
      <c r="ADX98" s="353"/>
      <c r="ADY98" s="353"/>
      <c r="ADZ98" s="353"/>
      <c r="AEA98" s="353"/>
      <c r="AEB98" s="353"/>
      <c r="AEC98" s="353"/>
      <c r="AED98" s="353"/>
      <c r="AEE98" s="353"/>
      <c r="AEF98" s="353"/>
      <c r="AEG98" s="353"/>
      <c r="AEH98" s="353"/>
      <c r="AEI98" s="353"/>
      <c r="AEJ98" s="353"/>
      <c r="AEK98" s="353"/>
      <c r="AEL98" s="353"/>
      <c r="AEM98" s="353"/>
      <c r="AEN98" s="353"/>
      <c r="AEO98" s="353"/>
      <c r="AEP98" s="353"/>
      <c r="AEQ98" s="353"/>
      <c r="AER98" s="353"/>
      <c r="AES98" s="353"/>
      <c r="AET98" s="353"/>
      <c r="AEU98" s="353"/>
      <c r="AEV98" s="353"/>
      <c r="AEW98" s="353"/>
      <c r="AEX98" s="353"/>
      <c r="AEY98" s="353"/>
      <c r="AEZ98" s="353"/>
      <c r="AFA98" s="353"/>
      <c r="AFB98" s="353"/>
      <c r="AFC98" s="353"/>
      <c r="AFD98" s="353"/>
      <c r="AFE98" s="353"/>
      <c r="AFF98" s="353"/>
      <c r="AFG98" s="353"/>
      <c r="AFH98" s="353"/>
      <c r="AFI98" s="353"/>
      <c r="AFJ98" s="353"/>
      <c r="AFK98" s="353"/>
      <c r="AFL98" s="353"/>
      <c r="AFM98" s="353"/>
      <c r="AFN98" s="353"/>
      <c r="AFO98" s="353"/>
      <c r="AFP98" s="353"/>
      <c r="AFQ98" s="353"/>
      <c r="AFR98" s="353"/>
      <c r="AFS98" s="353"/>
      <c r="AFT98" s="353"/>
      <c r="AFU98" s="353"/>
      <c r="AFV98" s="353"/>
      <c r="AFW98" s="353"/>
      <c r="AFX98" s="353"/>
      <c r="AFY98" s="353"/>
      <c r="AFZ98" s="353"/>
      <c r="AGA98" s="353"/>
      <c r="AGB98" s="353"/>
      <c r="AGC98" s="353"/>
      <c r="AGD98" s="353"/>
      <c r="AGE98" s="353"/>
      <c r="AGF98" s="353"/>
      <c r="AGG98" s="353"/>
      <c r="AGH98" s="353"/>
      <c r="AGI98" s="353"/>
      <c r="AGJ98" s="353"/>
      <c r="AGK98" s="353"/>
      <c r="AGL98" s="353"/>
      <c r="AGM98" s="353"/>
      <c r="AGN98" s="353"/>
      <c r="AGO98" s="353"/>
      <c r="AGP98" s="353"/>
      <c r="AGQ98" s="353"/>
      <c r="AGR98" s="353"/>
      <c r="AGS98" s="353"/>
      <c r="AGT98" s="353"/>
      <c r="AGU98" s="353"/>
      <c r="AGV98" s="353"/>
      <c r="AGW98" s="353"/>
      <c r="AGX98" s="353"/>
      <c r="AGY98" s="353"/>
      <c r="AGZ98" s="353"/>
      <c r="AHA98" s="353"/>
      <c r="AHB98" s="353"/>
      <c r="AHC98" s="353"/>
      <c r="AHD98" s="353"/>
      <c r="AHE98" s="353"/>
      <c r="AHF98" s="353"/>
      <c r="AHG98" s="353"/>
      <c r="AHH98" s="353"/>
      <c r="AHI98" s="353"/>
      <c r="AHJ98" s="353"/>
      <c r="AHK98" s="353"/>
      <c r="AHL98" s="353"/>
      <c r="AHM98" s="353"/>
      <c r="AHN98" s="353"/>
      <c r="AHO98" s="353"/>
      <c r="AHP98" s="353"/>
      <c r="AHQ98" s="353"/>
      <c r="AHR98" s="353"/>
      <c r="AHS98" s="353"/>
      <c r="AHT98" s="353"/>
      <c r="AHU98" s="353"/>
      <c r="AHV98" s="353"/>
      <c r="AHW98" s="353"/>
      <c r="AHX98" s="353"/>
      <c r="AHY98" s="353"/>
      <c r="AHZ98" s="353"/>
      <c r="AIA98" s="353"/>
      <c r="AIB98" s="353"/>
      <c r="AIC98" s="353"/>
      <c r="AID98" s="353"/>
      <c r="AIE98" s="353"/>
      <c r="AIF98" s="353"/>
      <c r="AIG98" s="353"/>
      <c r="AIH98" s="353"/>
      <c r="AII98" s="353"/>
      <c r="AIJ98" s="353"/>
      <c r="AIK98" s="353"/>
      <c r="AIL98" s="353"/>
      <c r="AIM98" s="353"/>
      <c r="AIN98" s="353"/>
      <c r="AIO98" s="353"/>
      <c r="AIP98" s="353"/>
      <c r="AIQ98" s="353"/>
      <c r="AIR98" s="353"/>
      <c r="AIS98" s="353"/>
      <c r="AIT98" s="353"/>
      <c r="AIU98" s="353"/>
      <c r="AIV98" s="353"/>
      <c r="AIW98" s="353"/>
      <c r="AIX98" s="353"/>
      <c r="AIY98" s="353"/>
      <c r="AIZ98" s="353"/>
      <c r="AJA98" s="353"/>
      <c r="AJB98" s="353"/>
      <c r="AJC98" s="353"/>
      <c r="AJD98" s="353"/>
      <c r="AJE98" s="353"/>
      <c r="AJF98" s="353"/>
      <c r="AJG98" s="353"/>
      <c r="AJH98" s="353"/>
      <c r="AJI98" s="353"/>
      <c r="AJJ98" s="353"/>
      <c r="AJK98" s="353"/>
      <c r="AJL98" s="353"/>
      <c r="AJM98" s="353"/>
      <c r="AJN98" s="353"/>
      <c r="AJO98" s="353"/>
      <c r="AJP98" s="353"/>
      <c r="AJQ98" s="353"/>
      <c r="AJR98" s="353"/>
      <c r="AJS98" s="353"/>
      <c r="AJT98" s="353"/>
      <c r="AJU98" s="353"/>
      <c r="AJV98" s="353"/>
      <c r="AJW98" s="353"/>
      <c r="AJX98" s="353"/>
      <c r="AJY98" s="353"/>
      <c r="AJZ98" s="353"/>
      <c r="AKA98" s="353"/>
      <c r="AKB98" s="353"/>
      <c r="AKC98" s="353"/>
      <c r="AKD98" s="353"/>
      <c r="AKE98" s="353"/>
      <c r="AKF98" s="353"/>
      <c r="AKG98" s="353"/>
      <c r="AKH98" s="353"/>
      <c r="AKI98" s="353"/>
      <c r="AKJ98" s="353"/>
      <c r="AKK98" s="353"/>
      <c r="AKL98" s="353"/>
      <c r="AKM98" s="353"/>
      <c r="AKN98" s="353"/>
      <c r="AKO98" s="353"/>
      <c r="AKP98" s="353"/>
      <c r="AKQ98" s="353"/>
      <c r="AKR98" s="353"/>
      <c r="AKS98" s="353"/>
      <c r="AKT98" s="353"/>
      <c r="AKU98" s="353"/>
      <c r="AKV98" s="353"/>
      <c r="AKW98" s="353"/>
      <c r="AKX98" s="353"/>
      <c r="AKY98" s="353"/>
      <c r="AKZ98" s="353"/>
      <c r="ALA98" s="353"/>
      <c r="ALB98" s="353"/>
      <c r="ALC98" s="353"/>
      <c r="ALD98" s="353"/>
      <c r="ALE98" s="353"/>
      <c r="ALF98" s="353"/>
      <c r="ALG98" s="353"/>
      <c r="ALH98" s="353"/>
      <c r="ALI98" s="353"/>
      <c r="ALJ98" s="353"/>
      <c r="ALK98" s="353"/>
      <c r="ALL98" s="353"/>
      <c r="ALM98" s="353"/>
      <c r="ALN98" s="353"/>
      <c r="ALO98" s="353"/>
      <c r="ALP98" s="353"/>
      <c r="ALQ98" s="353"/>
      <c r="ALR98" s="353"/>
      <c r="ALS98" s="353"/>
      <c r="ALT98" s="353"/>
      <c r="ALU98" s="353"/>
      <c r="ALV98" s="353"/>
      <c r="ALW98" s="353"/>
      <c r="ALX98" s="353"/>
      <c r="ALY98" s="353"/>
      <c r="ALZ98" s="353"/>
      <c r="AMA98" s="353"/>
      <c r="AMB98" s="353"/>
      <c r="AMC98" s="353"/>
      <c r="AMD98" s="353"/>
      <c r="AME98" s="353"/>
      <c r="AMF98" s="353"/>
      <c r="AMG98" s="353"/>
      <c r="AMH98" s="353"/>
      <c r="AMI98" s="353"/>
      <c r="AMJ98" s="353"/>
      <c r="AMK98" s="353"/>
      <c r="AML98" s="353"/>
      <c r="AMM98" s="353"/>
      <c r="AMN98" s="353"/>
      <c r="AMO98" s="353"/>
      <c r="AMP98" s="353"/>
      <c r="AMQ98" s="353"/>
      <c r="AMR98" s="353"/>
      <c r="AMS98" s="353"/>
      <c r="AMT98" s="353"/>
      <c r="AMU98" s="353"/>
      <c r="AMV98" s="353"/>
      <c r="AMW98" s="353"/>
      <c r="AMX98" s="353"/>
      <c r="AMY98" s="353"/>
      <c r="AMZ98" s="353"/>
      <c r="ANA98" s="353"/>
      <c r="ANB98" s="353"/>
      <c r="ANC98" s="353"/>
      <c r="AND98" s="353"/>
      <c r="ANE98" s="353"/>
      <c r="ANF98" s="353"/>
      <c r="ANG98" s="353"/>
      <c r="ANH98" s="353"/>
      <c r="ANI98" s="353"/>
      <c r="ANJ98" s="353"/>
      <c r="ANK98" s="353"/>
      <c r="ANL98" s="353"/>
      <c r="ANM98" s="353"/>
      <c r="ANN98" s="353"/>
      <c r="ANO98" s="353"/>
      <c r="ANP98" s="353"/>
      <c r="ANQ98" s="353"/>
      <c r="ANR98" s="353"/>
      <c r="ANS98" s="353"/>
      <c r="ANT98" s="353"/>
      <c r="ANU98" s="353"/>
      <c r="ANV98" s="353"/>
      <c r="ANW98" s="353"/>
      <c r="ANX98" s="353"/>
      <c r="ANY98" s="353"/>
      <c r="ANZ98" s="353"/>
      <c r="AOA98" s="353"/>
      <c r="AOB98" s="353"/>
      <c r="AOC98" s="353"/>
      <c r="AOD98" s="353"/>
      <c r="AOE98" s="353"/>
      <c r="AOF98" s="353"/>
      <c r="AOG98" s="353"/>
      <c r="AOH98" s="353"/>
      <c r="AOI98" s="353"/>
      <c r="AOJ98" s="353"/>
      <c r="AOK98" s="353"/>
      <c r="AOL98" s="353"/>
      <c r="AOM98" s="353"/>
      <c r="AON98" s="353"/>
      <c r="AOO98" s="353"/>
      <c r="AOP98" s="353"/>
      <c r="AOQ98" s="353"/>
      <c r="AOR98" s="353"/>
      <c r="AOS98" s="353"/>
      <c r="AOT98" s="353"/>
      <c r="AOU98" s="353"/>
      <c r="AOV98" s="353"/>
      <c r="AOW98" s="353"/>
      <c r="AOX98" s="353"/>
      <c r="AOY98" s="353"/>
      <c r="AOZ98" s="353"/>
      <c r="APA98" s="353"/>
      <c r="APB98" s="353"/>
      <c r="APC98" s="353"/>
      <c r="APD98" s="353"/>
      <c r="APE98" s="353"/>
      <c r="APF98" s="353"/>
      <c r="APG98" s="353"/>
      <c r="APH98" s="353"/>
      <c r="API98" s="353"/>
      <c r="APJ98" s="353"/>
      <c r="APK98" s="353"/>
      <c r="APL98" s="353"/>
      <c r="APM98" s="353"/>
      <c r="APN98" s="353"/>
      <c r="APO98" s="353"/>
      <c r="APP98" s="353"/>
      <c r="APQ98" s="353"/>
      <c r="APR98" s="353"/>
      <c r="APS98" s="353"/>
      <c r="APT98" s="353"/>
      <c r="APU98" s="353"/>
      <c r="APV98" s="353"/>
      <c r="APW98" s="353"/>
      <c r="APX98" s="353"/>
      <c r="APY98" s="353"/>
      <c r="APZ98" s="353"/>
      <c r="AQA98" s="353"/>
      <c r="AQB98" s="353"/>
      <c r="AQC98" s="353"/>
      <c r="AQD98" s="353"/>
      <c r="AQE98" s="353"/>
      <c r="AQF98" s="353"/>
      <c r="AQG98" s="353"/>
      <c r="AQH98" s="353"/>
      <c r="AQI98" s="353"/>
      <c r="AQJ98" s="353"/>
      <c r="AQK98" s="353"/>
      <c r="AQL98" s="353"/>
      <c r="AQM98" s="353"/>
      <c r="AQN98" s="353"/>
      <c r="AQO98" s="353"/>
      <c r="AQP98" s="353"/>
      <c r="AQQ98" s="353"/>
      <c r="AQR98" s="353"/>
      <c r="AQS98" s="353"/>
      <c r="AQT98" s="353"/>
      <c r="AQU98" s="353"/>
      <c r="AQV98" s="353"/>
      <c r="AQW98" s="353"/>
      <c r="AQX98" s="353"/>
      <c r="AQY98" s="353"/>
      <c r="AQZ98" s="353"/>
      <c r="ARA98" s="353"/>
      <c r="ARB98" s="353"/>
      <c r="ARC98" s="353"/>
      <c r="ARD98" s="353"/>
      <c r="ARE98" s="353"/>
      <c r="ARF98" s="353"/>
      <c r="ARG98" s="353"/>
      <c r="ARH98" s="353"/>
      <c r="ARI98" s="353"/>
      <c r="ARJ98" s="353"/>
      <c r="ARK98" s="353"/>
      <c r="ARL98" s="353"/>
      <c r="ARM98" s="353"/>
      <c r="ARN98" s="353"/>
      <c r="ARO98" s="353"/>
      <c r="ARP98" s="353"/>
      <c r="ARQ98" s="353"/>
      <c r="ARR98" s="353"/>
      <c r="ARS98" s="353"/>
      <c r="ART98" s="353"/>
      <c r="ARU98" s="353"/>
      <c r="ARV98" s="353"/>
      <c r="ARW98" s="353"/>
      <c r="ARX98" s="353"/>
      <c r="ARY98" s="353"/>
      <c r="ARZ98" s="353"/>
      <c r="ASA98" s="353"/>
      <c r="ASB98" s="353"/>
      <c r="ASC98" s="353"/>
      <c r="ASD98" s="353"/>
      <c r="ASE98" s="353"/>
      <c r="ASF98" s="353"/>
      <c r="ASG98" s="353"/>
      <c r="ASH98" s="353"/>
      <c r="ASI98" s="353"/>
      <c r="ASJ98" s="353"/>
      <c r="ASK98" s="353"/>
      <c r="ASL98" s="353"/>
      <c r="ASM98" s="353"/>
      <c r="ASN98" s="353"/>
      <c r="ASO98" s="353"/>
      <c r="ASP98" s="353"/>
      <c r="ASQ98" s="353"/>
      <c r="ASR98" s="353"/>
      <c r="ASS98" s="353"/>
      <c r="AST98" s="353"/>
      <c r="ASU98" s="353"/>
      <c r="ASV98" s="353"/>
      <c r="ASW98" s="353"/>
      <c r="ASX98" s="353"/>
      <c r="ASY98" s="353"/>
      <c r="ASZ98" s="353"/>
      <c r="ATA98" s="353"/>
      <c r="ATB98" s="353"/>
      <c r="ATC98" s="353"/>
      <c r="ATD98" s="353"/>
      <c r="ATE98" s="353"/>
      <c r="ATF98" s="353"/>
      <c r="ATG98" s="353"/>
      <c r="ATH98" s="353"/>
      <c r="ATI98" s="353"/>
      <c r="ATJ98" s="353"/>
      <c r="ATK98" s="353"/>
      <c r="ATL98" s="353"/>
      <c r="ATM98" s="353"/>
      <c r="ATN98" s="353"/>
      <c r="ATO98" s="353"/>
      <c r="ATP98" s="353"/>
      <c r="ATQ98" s="353"/>
      <c r="ATR98" s="353"/>
      <c r="ATS98" s="353"/>
      <c r="ATT98" s="353"/>
      <c r="ATU98" s="353"/>
      <c r="ATV98" s="353"/>
      <c r="ATW98" s="353"/>
      <c r="ATX98" s="353"/>
      <c r="ATY98" s="353"/>
      <c r="ATZ98" s="353"/>
      <c r="AUA98" s="353"/>
      <c r="AUB98" s="353"/>
      <c r="AUC98" s="353"/>
      <c r="AUD98" s="353"/>
      <c r="AUE98" s="353"/>
      <c r="AUF98" s="353"/>
      <c r="AUG98" s="353"/>
      <c r="AUH98" s="353"/>
      <c r="AUI98" s="353"/>
      <c r="AUJ98" s="353"/>
      <c r="AUK98" s="353"/>
      <c r="AUL98" s="353"/>
      <c r="AUM98" s="353"/>
      <c r="AUN98" s="353"/>
      <c r="AUO98" s="353"/>
      <c r="AUP98" s="353"/>
      <c r="AUQ98" s="353"/>
      <c r="AUR98" s="353"/>
      <c r="AUS98" s="353"/>
      <c r="AUT98" s="353"/>
      <c r="AUU98" s="353"/>
      <c r="AUV98" s="353"/>
      <c r="AUW98" s="353"/>
      <c r="AUX98" s="353"/>
      <c r="AUY98" s="353"/>
      <c r="AUZ98" s="353"/>
      <c r="AVA98" s="353"/>
      <c r="AVB98" s="353"/>
      <c r="AVC98" s="353"/>
      <c r="AVD98" s="353"/>
      <c r="AVE98" s="353"/>
      <c r="AVF98" s="353"/>
      <c r="AVG98" s="353"/>
      <c r="AVH98" s="353"/>
      <c r="AVI98" s="353"/>
      <c r="AVJ98" s="353"/>
      <c r="AVK98" s="353"/>
      <c r="AVL98" s="353"/>
      <c r="AVM98" s="353"/>
      <c r="AVN98" s="353"/>
      <c r="AVO98" s="353"/>
      <c r="AVP98" s="353"/>
      <c r="AVQ98" s="353"/>
      <c r="AVR98" s="353"/>
      <c r="AVS98" s="353"/>
      <c r="AVT98" s="353"/>
      <c r="AVU98" s="353"/>
      <c r="AVV98" s="353"/>
      <c r="AVW98" s="353"/>
      <c r="AVX98" s="353"/>
      <c r="AVY98" s="353"/>
      <c r="AVZ98" s="353"/>
      <c r="AWA98" s="353"/>
      <c r="AWB98" s="353"/>
      <c r="AWC98" s="353"/>
      <c r="AWD98" s="353"/>
      <c r="AWE98" s="353"/>
      <c r="AWF98" s="353"/>
      <c r="AWG98" s="353"/>
      <c r="AWH98" s="353"/>
      <c r="AWI98" s="353"/>
      <c r="AWJ98" s="353"/>
      <c r="AWK98" s="353"/>
      <c r="AWL98" s="353"/>
      <c r="AWM98" s="353"/>
      <c r="AWN98" s="353"/>
      <c r="AWO98" s="353"/>
      <c r="AWP98" s="353"/>
      <c r="AWQ98" s="353"/>
      <c r="AWR98" s="353"/>
      <c r="AWS98" s="353"/>
      <c r="AWT98" s="353"/>
      <c r="AWU98" s="353"/>
      <c r="AWV98" s="353"/>
      <c r="AWW98" s="353"/>
      <c r="AWX98" s="353"/>
      <c r="AWY98" s="353"/>
      <c r="AWZ98" s="353"/>
      <c r="AXA98" s="353"/>
      <c r="AXB98" s="353"/>
      <c r="AXC98" s="353"/>
      <c r="AXD98" s="353"/>
      <c r="AXE98" s="353"/>
      <c r="AXF98" s="353"/>
      <c r="AXG98" s="353"/>
      <c r="AXH98" s="353"/>
      <c r="AXI98" s="353"/>
      <c r="AXJ98" s="353"/>
      <c r="AXK98" s="353"/>
      <c r="AXL98" s="353"/>
      <c r="AXM98" s="353"/>
      <c r="AXN98" s="353"/>
      <c r="AXO98" s="353"/>
      <c r="AXP98" s="353"/>
      <c r="AXQ98" s="353"/>
      <c r="AXR98" s="353"/>
      <c r="AXS98" s="353"/>
      <c r="AXT98" s="353"/>
      <c r="AXU98" s="353"/>
      <c r="AXV98" s="353"/>
      <c r="AXW98" s="353"/>
      <c r="AXX98" s="353"/>
      <c r="AXY98" s="353"/>
      <c r="AXZ98" s="353"/>
      <c r="AYA98" s="353"/>
      <c r="AYB98" s="353"/>
      <c r="AYC98" s="353"/>
      <c r="AYD98" s="353"/>
      <c r="AYE98" s="353"/>
      <c r="AYF98" s="353"/>
      <c r="AYG98" s="353"/>
      <c r="AYH98" s="353"/>
      <c r="AYI98" s="353"/>
      <c r="AYJ98" s="353"/>
      <c r="AYK98" s="353"/>
      <c r="AYL98" s="353"/>
      <c r="AYM98" s="353"/>
      <c r="AYN98" s="353"/>
      <c r="AYO98" s="353"/>
      <c r="AYP98" s="353"/>
      <c r="AYQ98" s="353"/>
      <c r="AYR98" s="353"/>
      <c r="AYS98" s="353"/>
      <c r="AYT98" s="353"/>
      <c r="AYU98" s="353"/>
      <c r="AYV98" s="353"/>
      <c r="AYW98" s="353"/>
      <c r="AYX98" s="353"/>
      <c r="AYY98" s="353"/>
      <c r="AYZ98" s="353"/>
      <c r="AZA98" s="353"/>
      <c r="AZB98" s="353"/>
      <c r="AZC98" s="353"/>
      <c r="AZD98" s="353"/>
      <c r="AZE98" s="353"/>
      <c r="AZF98" s="353"/>
      <c r="AZG98" s="353"/>
      <c r="AZH98" s="353"/>
      <c r="AZI98" s="353"/>
      <c r="AZJ98" s="353"/>
      <c r="AZK98" s="353"/>
      <c r="AZL98" s="353"/>
      <c r="AZM98" s="353"/>
      <c r="AZN98" s="353"/>
      <c r="AZO98" s="353"/>
      <c r="AZP98" s="353"/>
      <c r="AZQ98" s="353"/>
      <c r="AZR98" s="353"/>
      <c r="AZS98" s="353"/>
      <c r="AZT98" s="353"/>
      <c r="AZU98" s="353"/>
      <c r="AZV98" s="353"/>
      <c r="AZW98" s="353"/>
      <c r="AZX98" s="353"/>
      <c r="AZY98" s="353"/>
      <c r="AZZ98" s="353"/>
      <c r="BAA98" s="353"/>
      <c r="BAB98" s="353"/>
      <c r="BAC98" s="353"/>
      <c r="BAD98" s="353"/>
      <c r="BAE98" s="353"/>
      <c r="BAF98" s="353"/>
      <c r="BAG98" s="353"/>
      <c r="BAH98" s="353"/>
      <c r="BAI98" s="353"/>
      <c r="BAJ98" s="353"/>
      <c r="BAK98" s="353"/>
      <c r="BAL98" s="353"/>
      <c r="BAM98" s="353"/>
      <c r="BAN98" s="353"/>
      <c r="BAO98" s="353"/>
      <c r="BAP98" s="353"/>
      <c r="BAQ98" s="353"/>
      <c r="BAR98" s="353"/>
      <c r="BAS98" s="353"/>
      <c r="BAT98" s="353"/>
      <c r="BAU98" s="353"/>
      <c r="BAV98" s="353"/>
      <c r="BAW98" s="353"/>
      <c r="BAX98" s="353"/>
      <c r="BAY98" s="353"/>
      <c r="BAZ98" s="353"/>
      <c r="BBA98" s="353"/>
      <c r="BBB98" s="353"/>
      <c r="BBC98" s="353"/>
      <c r="BBD98" s="353"/>
      <c r="BBE98" s="353"/>
      <c r="BBF98" s="353"/>
      <c r="BBG98" s="353"/>
      <c r="BBH98" s="353"/>
      <c r="BBI98" s="353"/>
      <c r="BBJ98" s="353"/>
      <c r="BBK98" s="353"/>
      <c r="BBL98" s="353"/>
      <c r="BBM98" s="353"/>
      <c r="BBN98" s="353"/>
      <c r="BBO98" s="353"/>
      <c r="BBP98" s="353"/>
      <c r="BBQ98" s="353"/>
      <c r="BBR98" s="353"/>
      <c r="BBS98" s="353"/>
      <c r="BBT98" s="353"/>
      <c r="BBU98" s="353"/>
      <c r="BBV98" s="353"/>
      <c r="BBW98" s="353"/>
      <c r="BBX98" s="353"/>
      <c r="BBY98" s="353"/>
      <c r="BBZ98" s="353"/>
      <c r="BCA98" s="353"/>
      <c r="BCB98" s="353"/>
      <c r="BCC98" s="353"/>
      <c r="BCD98" s="353"/>
      <c r="BCE98" s="353"/>
      <c r="BCF98" s="353"/>
      <c r="BCG98" s="353"/>
      <c r="BCH98" s="353"/>
      <c r="BCI98" s="353"/>
      <c r="BCJ98" s="353"/>
      <c r="BCK98" s="353"/>
      <c r="BCL98" s="353"/>
      <c r="BCM98" s="353"/>
      <c r="BCN98" s="353"/>
      <c r="BCO98" s="353"/>
      <c r="BCP98" s="353"/>
      <c r="BCQ98" s="353"/>
      <c r="BCR98" s="353"/>
      <c r="BCS98" s="353"/>
      <c r="BCT98" s="353"/>
      <c r="BCU98" s="353"/>
      <c r="BCV98" s="353"/>
      <c r="BCW98" s="353"/>
      <c r="BCX98" s="353"/>
      <c r="BCY98" s="353"/>
      <c r="BCZ98" s="353"/>
      <c r="BDA98" s="353"/>
      <c r="BDB98" s="353"/>
      <c r="BDC98" s="353"/>
      <c r="BDD98" s="353"/>
      <c r="BDE98" s="353"/>
      <c r="BDF98" s="353"/>
      <c r="BDG98" s="353"/>
      <c r="BDH98" s="353"/>
      <c r="BDI98" s="353"/>
      <c r="BDJ98" s="353"/>
      <c r="BDK98" s="353"/>
      <c r="BDL98" s="353"/>
      <c r="BDM98" s="353"/>
      <c r="BDN98" s="353"/>
      <c r="BDO98" s="353"/>
      <c r="BDP98" s="353"/>
      <c r="BDQ98" s="353"/>
      <c r="BDR98" s="353"/>
      <c r="BDS98" s="353"/>
      <c r="BDT98" s="353"/>
      <c r="BDU98" s="353"/>
      <c r="BDV98" s="353"/>
      <c r="BDW98" s="353"/>
      <c r="BDX98" s="353"/>
      <c r="BDY98" s="353"/>
      <c r="BDZ98" s="353"/>
      <c r="BEA98" s="353"/>
      <c r="BEB98" s="353"/>
      <c r="BEC98" s="353"/>
      <c r="BED98" s="353"/>
      <c r="BEE98" s="353"/>
      <c r="BEF98" s="353"/>
      <c r="BEG98" s="353"/>
      <c r="BEH98" s="353"/>
      <c r="BEI98" s="353"/>
      <c r="BEJ98" s="353"/>
      <c r="BEK98" s="353"/>
      <c r="BEL98" s="353"/>
      <c r="BEM98" s="353"/>
      <c r="BEN98" s="353"/>
      <c r="BEO98" s="353"/>
      <c r="BEP98" s="353"/>
      <c r="BEQ98" s="353"/>
      <c r="BER98" s="353"/>
      <c r="BES98" s="353"/>
      <c r="BET98" s="353"/>
      <c r="BEU98" s="353"/>
      <c r="BEV98" s="353"/>
      <c r="BEW98" s="353"/>
      <c r="BEX98" s="353"/>
      <c r="BEY98" s="353"/>
      <c r="BEZ98" s="353"/>
      <c r="BFA98" s="353"/>
      <c r="BFB98" s="353"/>
      <c r="BFC98" s="353"/>
      <c r="BFD98" s="353"/>
      <c r="BFE98" s="353"/>
      <c r="BFF98" s="353"/>
      <c r="BFG98" s="353"/>
      <c r="BFH98" s="353"/>
      <c r="BFI98" s="353"/>
      <c r="BFJ98" s="353"/>
      <c r="BFK98" s="353"/>
      <c r="BFL98" s="353"/>
      <c r="BFM98" s="353"/>
      <c r="BFN98" s="353"/>
      <c r="BFO98" s="353"/>
      <c r="BFP98" s="353"/>
      <c r="BFQ98" s="353"/>
      <c r="BFR98" s="353"/>
      <c r="BFS98" s="353"/>
      <c r="BFT98" s="353"/>
      <c r="BFU98" s="353"/>
      <c r="BFV98" s="353"/>
      <c r="BFW98" s="353"/>
      <c r="BFX98" s="353"/>
      <c r="BFY98" s="353"/>
      <c r="BFZ98" s="353"/>
      <c r="BGA98" s="353"/>
      <c r="BGB98" s="353"/>
      <c r="BGC98" s="353"/>
      <c r="BGD98" s="353"/>
      <c r="BGE98" s="353"/>
      <c r="BGF98" s="353"/>
      <c r="BGG98" s="353"/>
      <c r="BGH98" s="353"/>
      <c r="BGI98" s="353"/>
      <c r="BGJ98" s="353"/>
      <c r="BGK98" s="353"/>
      <c r="BGL98" s="353"/>
      <c r="BGM98" s="353"/>
      <c r="BGN98" s="353"/>
      <c r="BGO98" s="353"/>
      <c r="BGP98" s="353"/>
      <c r="BGQ98" s="353"/>
      <c r="BGR98" s="353"/>
      <c r="BGS98" s="353"/>
      <c r="BGT98" s="353"/>
      <c r="BGU98" s="353"/>
      <c r="BGV98" s="353"/>
      <c r="BGW98" s="353"/>
      <c r="BGX98" s="353"/>
      <c r="BGY98" s="353"/>
      <c r="BGZ98" s="353"/>
      <c r="BHA98" s="353"/>
      <c r="BHB98" s="353"/>
      <c r="BHC98" s="353"/>
      <c r="BHD98" s="353"/>
      <c r="BHE98" s="353"/>
      <c r="BHF98" s="353"/>
      <c r="BHG98" s="353"/>
      <c r="BHH98" s="353"/>
      <c r="BHI98" s="353"/>
      <c r="BHJ98" s="353"/>
      <c r="BHK98" s="353"/>
      <c r="BHL98" s="353"/>
      <c r="BHM98" s="353"/>
      <c r="BHN98" s="353"/>
      <c r="BHO98" s="353"/>
      <c r="BHP98" s="353"/>
      <c r="BHQ98" s="353"/>
      <c r="BHR98" s="353"/>
      <c r="BHS98" s="353"/>
      <c r="BHT98" s="353"/>
      <c r="BHU98" s="353"/>
      <c r="BHV98" s="353"/>
      <c r="BHW98" s="353"/>
      <c r="BHX98" s="353"/>
      <c r="BHY98" s="353"/>
      <c r="BHZ98" s="353"/>
      <c r="BIA98" s="353"/>
      <c r="BIB98" s="353"/>
      <c r="BIC98" s="353"/>
      <c r="BID98" s="353"/>
      <c r="BIE98" s="353"/>
      <c r="BIF98" s="353"/>
      <c r="BIG98" s="353"/>
      <c r="BIH98" s="353"/>
      <c r="BII98" s="353"/>
      <c r="BIJ98" s="353"/>
      <c r="BIK98" s="353"/>
      <c r="BIL98" s="353"/>
      <c r="BIM98" s="353"/>
      <c r="BIN98" s="353"/>
      <c r="BIO98" s="353"/>
      <c r="BIP98" s="353"/>
      <c r="BIQ98" s="353"/>
      <c r="BIR98" s="353"/>
      <c r="BIS98" s="353"/>
      <c r="BIT98" s="353"/>
      <c r="BIU98" s="353"/>
      <c r="BIV98" s="353"/>
      <c r="BIW98" s="353"/>
      <c r="BIX98" s="353"/>
      <c r="BIY98" s="353"/>
      <c r="BIZ98" s="353"/>
      <c r="BJA98" s="353"/>
      <c r="BJB98" s="353"/>
      <c r="BJC98" s="353"/>
      <c r="BJD98" s="353"/>
      <c r="BJE98" s="353"/>
      <c r="BJF98" s="353"/>
      <c r="BJG98" s="353"/>
      <c r="BJH98" s="353"/>
      <c r="BJI98" s="353"/>
      <c r="BJJ98" s="353"/>
      <c r="BJK98" s="353"/>
      <c r="BJL98" s="353"/>
      <c r="BJM98" s="353"/>
      <c r="BJN98" s="353"/>
      <c r="BJO98" s="353"/>
      <c r="BJP98" s="353"/>
      <c r="BJQ98" s="353"/>
      <c r="BJR98" s="353"/>
      <c r="BJS98" s="353"/>
      <c r="BJT98" s="353"/>
      <c r="BJU98" s="353"/>
      <c r="BJV98" s="353"/>
      <c r="BJW98" s="353"/>
      <c r="BJX98" s="353"/>
      <c r="BJY98" s="353"/>
      <c r="BJZ98" s="353"/>
      <c r="BKA98" s="353"/>
      <c r="BKB98" s="353"/>
      <c r="BKC98" s="353"/>
      <c r="BKD98" s="353"/>
      <c r="BKE98" s="353"/>
      <c r="BKF98" s="353"/>
      <c r="BKG98" s="353"/>
      <c r="BKH98" s="353"/>
      <c r="BKI98" s="353"/>
      <c r="BKJ98" s="353"/>
      <c r="BKK98" s="353"/>
      <c r="BKL98" s="353"/>
      <c r="BKM98" s="353"/>
      <c r="BKN98" s="353"/>
      <c r="BKO98" s="353"/>
      <c r="BKP98" s="353"/>
      <c r="BKQ98" s="353"/>
      <c r="BKR98" s="353"/>
      <c r="BKS98" s="353"/>
      <c r="BKT98" s="353"/>
      <c r="BKU98" s="353"/>
      <c r="BKV98" s="353"/>
      <c r="BKW98" s="353"/>
      <c r="BKX98" s="353"/>
      <c r="BKY98" s="353"/>
      <c r="BKZ98" s="353"/>
      <c r="BLA98" s="353"/>
      <c r="BLB98" s="353"/>
      <c r="BLC98" s="353"/>
      <c r="BLD98" s="353"/>
      <c r="BLE98" s="353"/>
      <c r="BLF98" s="353"/>
      <c r="BLG98" s="353"/>
      <c r="BLH98" s="353"/>
      <c r="BLI98" s="353"/>
      <c r="BLJ98" s="353"/>
      <c r="BLK98" s="353"/>
      <c r="BLL98" s="353"/>
      <c r="BLM98" s="353"/>
      <c r="BLN98" s="353"/>
      <c r="BLO98" s="353"/>
      <c r="BLP98" s="353"/>
      <c r="BLQ98" s="353"/>
      <c r="BLR98" s="353"/>
      <c r="BLS98" s="353"/>
      <c r="BLT98" s="353"/>
      <c r="BLU98" s="353"/>
      <c r="BLV98" s="353"/>
      <c r="BLW98" s="353"/>
      <c r="BLX98" s="353"/>
      <c r="BLY98" s="353"/>
      <c r="BLZ98" s="353"/>
      <c r="BMA98" s="353"/>
      <c r="BMB98" s="353"/>
      <c r="BMC98" s="353"/>
      <c r="BMD98" s="353"/>
      <c r="BME98" s="353"/>
      <c r="BMF98" s="353"/>
      <c r="BMG98" s="353"/>
      <c r="BMH98" s="353"/>
      <c r="BMI98" s="353"/>
      <c r="BMJ98" s="353"/>
      <c r="BMK98" s="353"/>
      <c r="BML98" s="353"/>
      <c r="BMM98" s="353"/>
      <c r="BMN98" s="353"/>
      <c r="BMO98" s="353"/>
      <c r="BMP98" s="353"/>
      <c r="BMQ98" s="353"/>
      <c r="BMR98" s="353"/>
      <c r="BMS98" s="353"/>
      <c r="BMT98" s="353"/>
      <c r="BMU98" s="353"/>
      <c r="BMV98" s="353"/>
      <c r="BMW98" s="353"/>
      <c r="BMX98" s="353"/>
      <c r="BMY98" s="353"/>
      <c r="BMZ98" s="353"/>
      <c r="BNA98" s="353"/>
      <c r="BNB98" s="353"/>
      <c r="BNC98" s="353"/>
      <c r="BND98" s="353"/>
      <c r="BNE98" s="353"/>
      <c r="BNF98" s="353"/>
      <c r="BNG98" s="353"/>
      <c r="BNH98" s="353"/>
      <c r="BNI98" s="353"/>
      <c r="BNJ98" s="353"/>
      <c r="BNK98" s="353"/>
      <c r="BNL98" s="353"/>
      <c r="BNM98" s="353"/>
      <c r="BNN98" s="353"/>
      <c r="BNO98" s="353"/>
      <c r="BNP98" s="353"/>
      <c r="BNQ98" s="353"/>
      <c r="BNR98" s="353"/>
      <c r="BNS98" s="353"/>
      <c r="BNT98" s="353"/>
      <c r="BNU98" s="353"/>
      <c r="BNV98" s="353"/>
      <c r="BNW98" s="353"/>
      <c r="BNX98" s="353"/>
      <c r="BNY98" s="353"/>
      <c r="BNZ98" s="353"/>
      <c r="BOA98" s="353"/>
      <c r="BOB98" s="353"/>
      <c r="BOC98" s="353"/>
      <c r="BOD98" s="353"/>
      <c r="BOE98" s="353"/>
      <c r="BOF98" s="353"/>
      <c r="BOG98" s="353"/>
      <c r="BOH98" s="353"/>
      <c r="BOI98" s="353"/>
      <c r="BOJ98" s="353"/>
      <c r="BOK98" s="353"/>
      <c r="BOL98" s="353"/>
      <c r="BOM98" s="353"/>
      <c r="BON98" s="353"/>
      <c r="BOO98" s="353"/>
      <c r="BOP98" s="353"/>
      <c r="BOQ98" s="353"/>
      <c r="BOR98" s="353"/>
      <c r="BOS98" s="353"/>
      <c r="BOT98" s="353"/>
      <c r="BOU98" s="353"/>
      <c r="BOV98" s="353"/>
      <c r="BOW98" s="353"/>
      <c r="BOX98" s="353"/>
      <c r="BOY98" s="353"/>
      <c r="BOZ98" s="353"/>
      <c r="BPA98" s="353"/>
      <c r="BPB98" s="353"/>
      <c r="BPC98" s="353"/>
      <c r="BPD98" s="353"/>
      <c r="BPE98" s="353"/>
      <c r="BPF98" s="353"/>
      <c r="BPG98" s="353"/>
      <c r="BPH98" s="353"/>
      <c r="BPI98" s="353"/>
      <c r="BPJ98" s="353"/>
      <c r="BPK98" s="353"/>
      <c r="BPL98" s="353"/>
      <c r="BPM98" s="353"/>
      <c r="BPN98" s="353"/>
      <c r="BPO98" s="353"/>
      <c r="BPP98" s="353"/>
      <c r="BPQ98" s="353"/>
      <c r="BPR98" s="353"/>
      <c r="BPS98" s="353"/>
      <c r="BPT98" s="353"/>
      <c r="BPU98" s="353"/>
      <c r="BPV98" s="353"/>
      <c r="BPW98" s="353"/>
      <c r="BPX98" s="353"/>
      <c r="BPY98" s="353"/>
      <c r="BPZ98" s="353"/>
      <c r="BQA98" s="353"/>
      <c r="BQB98" s="353"/>
      <c r="BQC98" s="353"/>
      <c r="BQD98" s="353"/>
      <c r="BQE98" s="353"/>
      <c r="BQF98" s="353"/>
      <c r="BQG98" s="353"/>
      <c r="BQH98" s="353"/>
      <c r="BQI98" s="353"/>
      <c r="BQJ98" s="353"/>
      <c r="BQK98" s="353"/>
      <c r="BQL98" s="353"/>
      <c r="BQM98" s="353"/>
      <c r="BQN98" s="353"/>
      <c r="BQO98" s="353"/>
      <c r="BQP98" s="353"/>
      <c r="BQQ98" s="353"/>
      <c r="BQR98" s="353"/>
      <c r="BQS98" s="353"/>
      <c r="BQT98" s="353"/>
      <c r="BQU98" s="353"/>
      <c r="BQV98" s="353"/>
      <c r="BQW98" s="353"/>
      <c r="BQX98" s="353"/>
      <c r="BQY98" s="353"/>
      <c r="BQZ98" s="353"/>
      <c r="BRA98" s="353"/>
      <c r="BRB98" s="353"/>
      <c r="BRC98" s="353"/>
      <c r="BRD98" s="353"/>
      <c r="BRE98" s="353"/>
      <c r="BRF98" s="353"/>
      <c r="BRG98" s="353"/>
      <c r="BRH98" s="353"/>
      <c r="BRI98" s="353"/>
      <c r="BRJ98" s="353"/>
      <c r="BRK98" s="353"/>
      <c r="BRL98" s="353"/>
      <c r="BRM98" s="353"/>
      <c r="BRN98" s="353"/>
      <c r="BRO98" s="353"/>
      <c r="BRP98" s="353"/>
      <c r="BRQ98" s="353"/>
      <c r="BRR98" s="353"/>
      <c r="BRS98" s="353"/>
      <c r="BRT98" s="353"/>
      <c r="BRU98" s="353"/>
      <c r="BRV98" s="353"/>
      <c r="BRW98" s="353"/>
      <c r="BRX98" s="353"/>
      <c r="BRY98" s="353"/>
      <c r="BRZ98" s="353"/>
      <c r="BSA98" s="353"/>
      <c r="BSB98" s="353"/>
      <c r="BSC98" s="353"/>
      <c r="BSD98" s="353"/>
      <c r="BSE98" s="353"/>
      <c r="BSF98" s="353"/>
      <c r="BSG98" s="353"/>
      <c r="BSH98" s="353"/>
      <c r="BSI98" s="353"/>
      <c r="BSJ98" s="353"/>
      <c r="BSK98" s="353"/>
      <c r="BSL98" s="353"/>
      <c r="BSM98" s="353"/>
      <c r="BSN98" s="353"/>
      <c r="BSO98" s="353"/>
      <c r="BSP98" s="353"/>
      <c r="BSQ98" s="353"/>
      <c r="BSR98" s="353"/>
      <c r="BSS98" s="353"/>
      <c r="BST98" s="353"/>
      <c r="BSU98" s="353"/>
      <c r="BSV98" s="353"/>
      <c r="BSW98" s="353"/>
      <c r="BSX98" s="353"/>
      <c r="BSY98" s="353"/>
      <c r="BSZ98" s="353"/>
      <c r="BTA98" s="353"/>
      <c r="BTB98" s="353"/>
      <c r="BTC98" s="353"/>
      <c r="BTD98" s="353"/>
      <c r="BTE98" s="353"/>
      <c r="BTF98" s="353"/>
      <c r="BTG98" s="353"/>
      <c r="BTH98" s="353"/>
      <c r="BTI98" s="353"/>
      <c r="BTJ98" s="353"/>
      <c r="BTK98" s="353"/>
      <c r="BTL98" s="353"/>
      <c r="BTM98" s="353"/>
      <c r="BTN98" s="353"/>
      <c r="BTO98" s="353"/>
      <c r="BTP98" s="353"/>
      <c r="BTQ98" s="353"/>
      <c r="BTR98" s="353"/>
      <c r="BTS98" s="353"/>
      <c r="BTT98" s="353"/>
      <c r="BTU98" s="353"/>
      <c r="BTV98" s="353"/>
      <c r="BTW98" s="353"/>
      <c r="BTX98" s="353"/>
      <c r="BTY98" s="353"/>
      <c r="BTZ98" s="353"/>
      <c r="BUA98" s="353"/>
      <c r="BUB98" s="353"/>
      <c r="BUC98" s="353"/>
      <c r="BUD98" s="353"/>
      <c r="BUE98" s="353"/>
      <c r="BUF98" s="353"/>
      <c r="BUG98" s="353"/>
      <c r="BUH98" s="353"/>
      <c r="BUI98" s="353"/>
      <c r="BUJ98" s="353"/>
      <c r="BUK98" s="353"/>
      <c r="BUL98" s="353"/>
      <c r="BUM98" s="353"/>
      <c r="BUN98" s="353"/>
      <c r="BUO98" s="353"/>
      <c r="BUP98" s="353"/>
      <c r="BUQ98" s="353"/>
      <c r="BUR98" s="353"/>
      <c r="BUS98" s="353"/>
      <c r="BUT98" s="353"/>
      <c r="BUU98" s="353"/>
      <c r="BUV98" s="353"/>
      <c r="BUW98" s="353"/>
      <c r="BUX98" s="353"/>
      <c r="BUY98" s="353"/>
      <c r="BUZ98" s="353"/>
      <c r="BVA98" s="353"/>
      <c r="BVB98" s="353"/>
      <c r="BVC98" s="353"/>
      <c r="BVD98" s="353"/>
      <c r="BVE98" s="353"/>
      <c r="BVF98" s="353"/>
      <c r="BVG98" s="353"/>
      <c r="BVH98" s="353"/>
      <c r="BVI98" s="353"/>
      <c r="BVJ98" s="353"/>
      <c r="BVK98" s="353"/>
      <c r="BVL98" s="353"/>
      <c r="BVM98" s="353"/>
      <c r="BVN98" s="353"/>
      <c r="BVO98" s="353"/>
      <c r="BVP98" s="353"/>
      <c r="BVQ98" s="353"/>
      <c r="BVR98" s="353"/>
      <c r="BVS98" s="353"/>
      <c r="BVT98" s="353"/>
      <c r="BVU98" s="353"/>
      <c r="BVV98" s="353"/>
      <c r="BVW98" s="353"/>
      <c r="BVX98" s="353"/>
      <c r="BVY98" s="353"/>
      <c r="BVZ98" s="353"/>
      <c r="BWA98" s="353"/>
      <c r="BWB98" s="353"/>
      <c r="BWC98" s="353"/>
      <c r="BWD98" s="353"/>
      <c r="BWE98" s="353"/>
      <c r="BWF98" s="353"/>
      <c r="BWG98" s="353"/>
      <c r="BWH98" s="353"/>
      <c r="BWI98" s="353"/>
      <c r="BWJ98" s="353"/>
      <c r="BWK98" s="353"/>
      <c r="BWL98" s="353"/>
      <c r="BWM98" s="353"/>
      <c r="BWN98" s="353"/>
      <c r="BWO98" s="353"/>
      <c r="BWP98" s="353"/>
      <c r="BWQ98" s="353"/>
      <c r="BWR98" s="353"/>
      <c r="BWS98" s="353"/>
      <c r="BWT98" s="353"/>
      <c r="BWU98" s="353"/>
      <c r="BWV98" s="353"/>
      <c r="BWW98" s="353"/>
      <c r="BWX98" s="353"/>
      <c r="BWY98" s="353"/>
      <c r="BWZ98" s="353"/>
      <c r="BXA98" s="353"/>
      <c r="BXB98" s="353"/>
      <c r="BXC98" s="353"/>
      <c r="BXD98" s="353"/>
      <c r="BXE98" s="353"/>
      <c r="BXF98" s="353"/>
      <c r="BXG98" s="353"/>
      <c r="BXH98" s="353"/>
      <c r="BXI98" s="353"/>
      <c r="BXJ98" s="353"/>
      <c r="BXK98" s="353"/>
      <c r="BXL98" s="353"/>
      <c r="BXM98" s="353"/>
      <c r="BXN98" s="353"/>
      <c r="BXO98" s="353"/>
      <c r="BXP98" s="353"/>
      <c r="BXQ98" s="353"/>
      <c r="BXR98" s="353"/>
      <c r="BXS98" s="353"/>
      <c r="BXT98" s="353"/>
      <c r="BXU98" s="353"/>
      <c r="BXV98" s="353"/>
      <c r="BXW98" s="353"/>
      <c r="BXX98" s="353"/>
      <c r="BXY98" s="353"/>
      <c r="BXZ98" s="353"/>
      <c r="BYA98" s="353"/>
      <c r="BYB98" s="353"/>
      <c r="BYC98" s="353"/>
      <c r="BYD98" s="353"/>
      <c r="BYE98" s="353"/>
      <c r="BYF98" s="353"/>
      <c r="BYG98" s="353"/>
      <c r="BYH98" s="353"/>
      <c r="BYI98" s="353"/>
      <c r="BYJ98" s="353"/>
      <c r="BYK98" s="353"/>
      <c r="BYL98" s="353"/>
      <c r="BYM98" s="353"/>
      <c r="BYN98" s="353"/>
      <c r="BYO98" s="353"/>
      <c r="BYP98" s="353"/>
      <c r="BYQ98" s="353"/>
      <c r="BYR98" s="353"/>
      <c r="BYS98" s="353"/>
      <c r="BYT98" s="353"/>
      <c r="BYU98" s="353"/>
      <c r="BYV98" s="353"/>
      <c r="BYW98" s="353"/>
      <c r="BYX98" s="353"/>
      <c r="BYY98" s="353"/>
      <c r="BYZ98" s="353"/>
      <c r="BZA98" s="353"/>
      <c r="BZB98" s="353"/>
      <c r="BZC98" s="353"/>
      <c r="BZD98" s="353"/>
      <c r="BZE98" s="353"/>
      <c r="BZF98" s="353"/>
      <c r="BZG98" s="353"/>
      <c r="BZH98" s="353"/>
      <c r="BZI98" s="353"/>
      <c r="BZJ98" s="353"/>
      <c r="BZK98" s="353"/>
      <c r="BZL98" s="353"/>
      <c r="BZM98" s="353"/>
      <c r="BZN98" s="353"/>
      <c r="BZO98" s="353"/>
      <c r="BZP98" s="353"/>
      <c r="BZQ98" s="353"/>
      <c r="BZR98" s="353"/>
      <c r="BZS98" s="353"/>
      <c r="BZT98" s="353"/>
      <c r="BZU98" s="353"/>
      <c r="BZV98" s="353"/>
      <c r="BZW98" s="353"/>
      <c r="BZX98" s="353"/>
      <c r="BZY98" s="353"/>
      <c r="BZZ98" s="353"/>
      <c r="CAA98" s="353"/>
      <c r="CAB98" s="353"/>
      <c r="CAC98" s="353"/>
      <c r="CAD98" s="353"/>
      <c r="CAE98" s="353"/>
      <c r="CAF98" s="353"/>
      <c r="CAG98" s="353"/>
      <c r="CAH98" s="353"/>
      <c r="CAI98" s="353"/>
      <c r="CAJ98" s="353"/>
      <c r="CAK98" s="353"/>
      <c r="CAL98" s="353"/>
      <c r="CAM98" s="353"/>
      <c r="CAN98" s="353"/>
      <c r="CAO98" s="353"/>
      <c r="CAP98" s="353"/>
      <c r="CAQ98" s="353"/>
      <c r="CAR98" s="353"/>
      <c r="CAS98" s="353"/>
      <c r="CAT98" s="353"/>
      <c r="CAU98" s="353"/>
      <c r="CAV98" s="353"/>
      <c r="CAW98" s="353"/>
      <c r="CAX98" s="353"/>
      <c r="CAY98" s="353"/>
      <c r="CAZ98" s="353"/>
      <c r="CBA98" s="353"/>
      <c r="CBB98" s="353"/>
      <c r="CBC98" s="353"/>
      <c r="CBD98" s="353"/>
      <c r="CBE98" s="353"/>
      <c r="CBF98" s="353"/>
      <c r="CBG98" s="353"/>
      <c r="CBH98" s="353"/>
      <c r="CBI98" s="353"/>
      <c r="CBJ98" s="353"/>
      <c r="CBK98" s="353"/>
      <c r="CBL98" s="353"/>
      <c r="CBM98" s="353"/>
      <c r="CBN98" s="353"/>
      <c r="CBO98" s="353"/>
      <c r="CBP98" s="353"/>
      <c r="CBQ98" s="353"/>
      <c r="CBR98" s="353"/>
      <c r="CBS98" s="353"/>
      <c r="CBT98" s="353"/>
      <c r="CBU98" s="353"/>
      <c r="CBV98" s="353"/>
      <c r="CBW98" s="353"/>
      <c r="CBX98" s="353"/>
      <c r="CBY98" s="353"/>
      <c r="CBZ98" s="353"/>
      <c r="CCA98" s="353"/>
      <c r="CCB98" s="353"/>
      <c r="CCC98" s="353"/>
      <c r="CCD98" s="353"/>
      <c r="CCE98" s="353"/>
      <c r="CCF98" s="353"/>
      <c r="CCG98" s="353"/>
      <c r="CCH98" s="353"/>
      <c r="CCI98" s="353"/>
      <c r="CCJ98" s="353"/>
      <c r="CCK98" s="353"/>
      <c r="CCL98" s="353"/>
      <c r="CCM98" s="353"/>
      <c r="CCN98" s="353"/>
      <c r="CCO98" s="353"/>
      <c r="CCP98" s="353"/>
      <c r="CCQ98" s="353"/>
      <c r="CCR98" s="353"/>
      <c r="CCS98" s="353"/>
      <c r="CCT98" s="353"/>
      <c r="CCU98" s="353"/>
      <c r="CCV98" s="353"/>
      <c r="CCW98" s="353"/>
      <c r="CCX98" s="353"/>
      <c r="CCY98" s="353"/>
      <c r="CCZ98" s="353"/>
      <c r="CDA98" s="353"/>
      <c r="CDB98" s="353"/>
      <c r="CDC98" s="353"/>
      <c r="CDD98" s="353"/>
      <c r="CDE98" s="353"/>
      <c r="CDF98" s="353"/>
      <c r="CDG98" s="353"/>
      <c r="CDH98" s="353"/>
      <c r="CDI98" s="353"/>
      <c r="CDJ98" s="353"/>
      <c r="CDK98" s="353"/>
      <c r="CDL98" s="353"/>
      <c r="CDM98" s="353"/>
      <c r="CDN98" s="353"/>
      <c r="CDO98" s="353"/>
      <c r="CDP98" s="353"/>
      <c r="CDQ98" s="353"/>
      <c r="CDR98" s="353"/>
      <c r="CDS98" s="353"/>
      <c r="CDT98" s="353"/>
      <c r="CDU98" s="353"/>
      <c r="CDV98" s="353"/>
      <c r="CDW98" s="353"/>
      <c r="CDX98" s="353"/>
      <c r="CDY98" s="353"/>
      <c r="CDZ98" s="353"/>
      <c r="CEA98" s="353"/>
      <c r="CEB98" s="353"/>
      <c r="CEC98" s="353"/>
      <c r="CED98" s="353"/>
      <c r="CEE98" s="353"/>
      <c r="CEF98" s="353"/>
      <c r="CEG98" s="353"/>
      <c r="CEH98" s="353"/>
      <c r="CEI98" s="353"/>
      <c r="CEJ98" s="353"/>
      <c r="CEK98" s="353"/>
      <c r="CEL98" s="353"/>
      <c r="CEM98" s="353"/>
      <c r="CEN98" s="353"/>
      <c r="CEO98" s="353"/>
      <c r="CEP98" s="353"/>
      <c r="CEQ98" s="353"/>
      <c r="CER98" s="353"/>
      <c r="CES98" s="353"/>
      <c r="CET98" s="353"/>
      <c r="CEU98" s="353"/>
      <c r="CEV98" s="353"/>
      <c r="CEW98" s="353"/>
      <c r="CEX98" s="353"/>
      <c r="CEY98" s="353"/>
      <c r="CEZ98" s="353"/>
      <c r="CFA98" s="353"/>
      <c r="CFB98" s="353"/>
      <c r="CFC98" s="353"/>
      <c r="CFD98" s="353"/>
      <c r="CFE98" s="353"/>
      <c r="CFF98" s="353"/>
      <c r="CFG98" s="353"/>
      <c r="CFH98" s="353"/>
      <c r="CFI98" s="353"/>
      <c r="CFJ98" s="353"/>
      <c r="CFK98" s="353"/>
      <c r="CFL98" s="353"/>
      <c r="CFM98" s="353"/>
      <c r="CFN98" s="353"/>
      <c r="CFO98" s="353"/>
      <c r="CFP98" s="353"/>
      <c r="CFQ98" s="353"/>
      <c r="CFR98" s="353"/>
      <c r="CFS98" s="353"/>
      <c r="CFT98" s="353"/>
      <c r="CFU98" s="353"/>
      <c r="CFV98" s="353"/>
      <c r="CFW98" s="353"/>
      <c r="CFX98" s="353"/>
      <c r="CFY98" s="353"/>
      <c r="CFZ98" s="353"/>
      <c r="CGA98" s="353"/>
      <c r="CGB98" s="353"/>
      <c r="CGC98" s="353"/>
      <c r="CGD98" s="353"/>
      <c r="CGE98" s="353"/>
      <c r="CGF98" s="353"/>
      <c r="CGG98" s="353"/>
      <c r="CGH98" s="353"/>
      <c r="CGI98" s="353"/>
      <c r="CGJ98" s="353"/>
      <c r="CGK98" s="353"/>
      <c r="CGL98" s="353"/>
      <c r="CGM98" s="353"/>
      <c r="CGN98" s="353"/>
      <c r="CGO98" s="353"/>
      <c r="CGP98" s="353"/>
      <c r="CGQ98" s="353"/>
      <c r="CGR98" s="353"/>
      <c r="CGS98" s="353"/>
      <c r="CGT98" s="353"/>
      <c r="CGU98" s="353"/>
      <c r="CGV98" s="353"/>
      <c r="CGW98" s="353"/>
      <c r="CGX98" s="353"/>
      <c r="CGY98" s="353"/>
      <c r="CGZ98" s="353"/>
      <c r="CHA98" s="353"/>
      <c r="CHB98" s="353"/>
      <c r="CHC98" s="353"/>
      <c r="CHD98" s="353"/>
      <c r="CHE98" s="353"/>
      <c r="CHF98" s="353"/>
      <c r="CHG98" s="353"/>
      <c r="CHH98" s="353"/>
      <c r="CHI98" s="353"/>
      <c r="CHJ98" s="353"/>
      <c r="CHK98" s="353"/>
      <c r="CHL98" s="353"/>
      <c r="CHM98" s="353"/>
      <c r="CHN98" s="353"/>
      <c r="CHO98" s="353"/>
      <c r="CHP98" s="353"/>
      <c r="CHQ98" s="353"/>
      <c r="CHR98" s="353"/>
      <c r="CHS98" s="353"/>
      <c r="CHT98" s="353"/>
      <c r="CHU98" s="353"/>
      <c r="CHV98" s="353"/>
      <c r="CHW98" s="353"/>
      <c r="CHX98" s="353"/>
      <c r="CHY98" s="353"/>
      <c r="CHZ98" s="353"/>
      <c r="CIA98" s="353"/>
      <c r="CIB98" s="353"/>
      <c r="CIC98" s="353"/>
      <c r="CID98" s="353"/>
      <c r="CIE98" s="353"/>
      <c r="CIF98" s="353"/>
      <c r="CIG98" s="353"/>
      <c r="CIH98" s="353"/>
      <c r="CII98" s="353"/>
      <c r="CIJ98" s="353"/>
      <c r="CIK98" s="353"/>
      <c r="CIL98" s="353"/>
      <c r="CIM98" s="353"/>
      <c r="CIN98" s="353"/>
      <c r="CIO98" s="353"/>
      <c r="CIP98" s="353"/>
      <c r="CIQ98" s="353"/>
      <c r="CIR98" s="353"/>
      <c r="CIS98" s="353"/>
      <c r="CIT98" s="353"/>
      <c r="CIU98" s="353"/>
      <c r="CIV98" s="353"/>
      <c r="CIW98" s="353"/>
      <c r="CIX98" s="353"/>
      <c r="CIY98" s="353"/>
      <c r="CIZ98" s="353"/>
      <c r="CJA98" s="353"/>
      <c r="CJB98" s="353"/>
      <c r="CJC98" s="353"/>
      <c r="CJD98" s="353"/>
      <c r="CJE98" s="353"/>
      <c r="CJF98" s="353"/>
      <c r="CJG98" s="353"/>
      <c r="CJH98" s="353"/>
      <c r="CJI98" s="353"/>
      <c r="CJJ98" s="353"/>
      <c r="CJK98" s="353"/>
      <c r="CJL98" s="353"/>
      <c r="CJM98" s="353"/>
      <c r="CJN98" s="353"/>
      <c r="CJO98" s="353"/>
      <c r="CJP98" s="353"/>
      <c r="CJQ98" s="353"/>
      <c r="CJR98" s="353"/>
      <c r="CJS98" s="353"/>
      <c r="CJT98" s="353"/>
      <c r="CJU98" s="353"/>
      <c r="CJV98" s="353"/>
      <c r="CJW98" s="353"/>
      <c r="CJX98" s="353"/>
      <c r="CJY98" s="353"/>
      <c r="CJZ98" s="353"/>
      <c r="CKA98" s="353"/>
      <c r="CKB98" s="353"/>
      <c r="CKC98" s="353"/>
      <c r="CKD98" s="353"/>
      <c r="CKE98" s="353"/>
      <c r="CKF98" s="353"/>
      <c r="CKG98" s="353"/>
      <c r="CKH98" s="353"/>
      <c r="CKI98" s="353"/>
      <c r="CKJ98" s="353"/>
      <c r="CKK98" s="353"/>
      <c r="CKL98" s="353"/>
      <c r="CKM98" s="353"/>
      <c r="CKN98" s="353"/>
      <c r="CKO98" s="353"/>
      <c r="CKP98" s="353"/>
      <c r="CKQ98" s="353"/>
      <c r="CKR98" s="353"/>
      <c r="CKS98" s="353"/>
      <c r="CKT98" s="353"/>
      <c r="CKU98" s="353"/>
      <c r="CKV98" s="353"/>
      <c r="CKW98" s="353"/>
      <c r="CKX98" s="353"/>
      <c r="CKY98" s="353"/>
      <c r="CKZ98" s="353"/>
      <c r="CLA98" s="353"/>
      <c r="CLB98" s="353"/>
      <c r="CLC98" s="353"/>
      <c r="CLD98" s="353"/>
      <c r="CLE98" s="353"/>
      <c r="CLF98" s="353"/>
      <c r="CLG98" s="353"/>
      <c r="CLH98" s="353"/>
      <c r="CLI98" s="353"/>
      <c r="CLJ98" s="353"/>
      <c r="CLK98" s="353"/>
      <c r="CLL98" s="353"/>
      <c r="CLM98" s="353"/>
      <c r="CLN98" s="353"/>
      <c r="CLO98" s="353"/>
      <c r="CLP98" s="353"/>
      <c r="CLQ98" s="353"/>
      <c r="CLR98" s="353"/>
      <c r="CLS98" s="353"/>
      <c r="CLT98" s="353"/>
      <c r="CLU98" s="353"/>
      <c r="CLV98" s="353"/>
      <c r="CLW98" s="353"/>
      <c r="CLX98" s="353"/>
      <c r="CLY98" s="353"/>
      <c r="CLZ98" s="353"/>
      <c r="CMA98" s="353"/>
      <c r="CMB98" s="353"/>
      <c r="CMC98" s="353"/>
      <c r="CMD98" s="353"/>
      <c r="CME98" s="353"/>
      <c r="CMF98" s="353"/>
      <c r="CMG98" s="353"/>
      <c r="CMH98" s="353"/>
      <c r="CMI98" s="353"/>
      <c r="CMJ98" s="353"/>
      <c r="CMK98" s="353"/>
      <c r="CML98" s="353"/>
      <c r="CMM98" s="353"/>
      <c r="CMN98" s="353"/>
      <c r="CMO98" s="353"/>
      <c r="CMP98" s="353"/>
      <c r="CMQ98" s="353"/>
      <c r="CMR98" s="353"/>
      <c r="CMS98" s="353"/>
      <c r="CMT98" s="353"/>
      <c r="CMU98" s="353"/>
      <c r="CMV98" s="353"/>
      <c r="CMW98" s="353"/>
      <c r="CMX98" s="353"/>
      <c r="CMY98" s="353"/>
      <c r="CMZ98" s="353"/>
      <c r="CNA98" s="353"/>
      <c r="CNB98" s="353"/>
      <c r="CNC98" s="353"/>
      <c r="CND98" s="353"/>
      <c r="CNE98" s="353"/>
      <c r="CNF98" s="353"/>
      <c r="CNG98" s="353"/>
      <c r="CNH98" s="353"/>
      <c r="CNI98" s="353"/>
      <c r="CNJ98" s="353"/>
      <c r="CNK98" s="353"/>
      <c r="CNL98" s="353"/>
      <c r="CNM98" s="353"/>
      <c r="CNN98" s="353"/>
      <c r="CNO98" s="353"/>
      <c r="CNP98" s="353"/>
      <c r="CNQ98" s="353"/>
      <c r="CNR98" s="353"/>
      <c r="CNS98" s="353"/>
      <c r="CNT98" s="353"/>
      <c r="CNU98" s="353"/>
      <c r="CNV98" s="353"/>
      <c r="CNW98" s="353"/>
      <c r="CNX98" s="353"/>
      <c r="CNY98" s="353"/>
      <c r="CNZ98" s="353"/>
      <c r="COA98" s="353"/>
      <c r="COB98" s="353"/>
      <c r="COC98" s="353"/>
      <c r="COD98" s="353"/>
      <c r="COE98" s="353"/>
      <c r="COF98" s="353"/>
      <c r="COG98" s="353"/>
      <c r="COH98" s="353"/>
      <c r="COI98" s="353"/>
      <c r="COJ98" s="353"/>
      <c r="COK98" s="353"/>
      <c r="COL98" s="353"/>
      <c r="COM98" s="353"/>
      <c r="CON98" s="353"/>
      <c r="COO98" s="353"/>
      <c r="COP98" s="353"/>
      <c r="COQ98" s="353"/>
      <c r="COR98" s="353"/>
      <c r="COS98" s="353"/>
      <c r="COT98" s="353"/>
      <c r="COU98" s="353"/>
      <c r="COV98" s="353"/>
      <c r="COW98" s="353"/>
      <c r="COX98" s="353"/>
      <c r="COY98" s="353"/>
      <c r="COZ98" s="353"/>
      <c r="CPA98" s="353"/>
      <c r="CPB98" s="353"/>
      <c r="CPC98" s="353"/>
      <c r="CPD98" s="353"/>
      <c r="CPE98" s="353"/>
      <c r="CPF98" s="353"/>
      <c r="CPG98" s="353"/>
      <c r="CPH98" s="353"/>
      <c r="CPI98" s="353"/>
      <c r="CPJ98" s="353"/>
      <c r="CPK98" s="353"/>
      <c r="CPL98" s="353"/>
      <c r="CPM98" s="353"/>
      <c r="CPN98" s="353"/>
      <c r="CPO98" s="353"/>
      <c r="CPP98" s="353"/>
      <c r="CPQ98" s="353"/>
      <c r="CPR98" s="353"/>
      <c r="CPS98" s="353"/>
      <c r="CPT98" s="353"/>
      <c r="CPU98" s="353"/>
      <c r="CPV98" s="353"/>
      <c r="CPW98" s="353"/>
      <c r="CPX98" s="353"/>
      <c r="CPY98" s="353"/>
      <c r="CPZ98" s="353"/>
      <c r="CQA98" s="353"/>
      <c r="CQB98" s="353"/>
      <c r="CQC98" s="353"/>
      <c r="CQD98" s="353"/>
      <c r="CQE98" s="353"/>
      <c r="CQF98" s="353"/>
      <c r="CQG98" s="353"/>
      <c r="CQH98" s="353"/>
      <c r="CQI98" s="353"/>
      <c r="CQJ98" s="353"/>
      <c r="CQK98" s="353"/>
      <c r="CQL98" s="353"/>
      <c r="CQM98" s="353"/>
      <c r="CQN98" s="353"/>
      <c r="CQO98" s="353"/>
      <c r="CQP98" s="353"/>
      <c r="CQQ98" s="353"/>
      <c r="CQR98" s="353"/>
      <c r="CQS98" s="353"/>
      <c r="CQT98" s="353"/>
      <c r="CQU98" s="353"/>
      <c r="CQV98" s="353"/>
      <c r="CQW98" s="353"/>
      <c r="CQX98" s="353"/>
      <c r="CQY98" s="353"/>
      <c r="CQZ98" s="353"/>
      <c r="CRA98" s="353"/>
      <c r="CRB98" s="353"/>
      <c r="CRC98" s="353"/>
      <c r="CRD98" s="353"/>
      <c r="CRE98" s="353"/>
      <c r="CRF98" s="353"/>
      <c r="CRG98" s="353"/>
      <c r="CRH98" s="353"/>
      <c r="CRI98" s="353"/>
      <c r="CRJ98" s="353"/>
      <c r="CRK98" s="353"/>
      <c r="CRL98" s="353"/>
      <c r="CRM98" s="353"/>
      <c r="CRN98" s="353"/>
      <c r="CRO98" s="353"/>
      <c r="CRP98" s="353"/>
      <c r="CRQ98" s="353"/>
      <c r="CRR98" s="353"/>
      <c r="CRS98" s="353"/>
      <c r="CRT98" s="353"/>
      <c r="CRU98" s="353"/>
      <c r="CRV98" s="353"/>
      <c r="CRW98" s="353"/>
      <c r="CRX98" s="353"/>
      <c r="CRY98" s="353"/>
      <c r="CRZ98" s="353"/>
      <c r="CSA98" s="353"/>
      <c r="CSB98" s="353"/>
      <c r="CSC98" s="353"/>
      <c r="CSD98" s="353"/>
      <c r="CSE98" s="353"/>
      <c r="CSF98" s="353"/>
      <c r="CSG98" s="353"/>
      <c r="CSH98" s="353"/>
      <c r="CSI98" s="353"/>
      <c r="CSJ98" s="353"/>
      <c r="CSK98" s="353"/>
      <c r="CSL98" s="353"/>
      <c r="CSM98" s="353"/>
      <c r="CSN98" s="353"/>
      <c r="CSO98" s="353"/>
      <c r="CSP98" s="353"/>
      <c r="CSQ98" s="353"/>
      <c r="CSR98" s="353"/>
      <c r="CSS98" s="353"/>
      <c r="CST98" s="353"/>
      <c r="CSU98" s="353"/>
      <c r="CSV98" s="353"/>
      <c r="CSW98" s="353"/>
      <c r="CSX98" s="353"/>
      <c r="CSY98" s="353"/>
      <c r="CSZ98" s="353"/>
      <c r="CTA98" s="353"/>
      <c r="CTB98" s="353"/>
      <c r="CTC98" s="353"/>
      <c r="CTD98" s="353"/>
      <c r="CTE98" s="353"/>
      <c r="CTF98" s="353"/>
      <c r="CTG98" s="353"/>
      <c r="CTH98" s="353"/>
      <c r="CTI98" s="353"/>
      <c r="CTJ98" s="353"/>
      <c r="CTK98" s="353"/>
      <c r="CTL98" s="353"/>
      <c r="CTM98" s="353"/>
      <c r="CTN98" s="353"/>
      <c r="CTO98" s="353"/>
      <c r="CTP98" s="353"/>
      <c r="CTQ98" s="353"/>
      <c r="CTR98" s="353"/>
      <c r="CTS98" s="353"/>
      <c r="CTT98" s="353"/>
      <c r="CTU98" s="353"/>
      <c r="CTV98" s="353"/>
      <c r="CTW98" s="353"/>
      <c r="CTX98" s="353"/>
      <c r="CTY98" s="353"/>
      <c r="CTZ98" s="353"/>
      <c r="CUA98" s="353"/>
      <c r="CUB98" s="353"/>
      <c r="CUC98" s="353"/>
      <c r="CUD98" s="353"/>
      <c r="CUE98" s="353"/>
      <c r="CUF98" s="353"/>
      <c r="CUG98" s="353"/>
      <c r="CUH98" s="353"/>
      <c r="CUI98" s="353"/>
      <c r="CUJ98" s="353"/>
      <c r="CUK98" s="353"/>
      <c r="CUL98" s="353"/>
      <c r="CUM98" s="353"/>
      <c r="CUN98" s="353"/>
      <c r="CUO98" s="353"/>
      <c r="CUP98" s="353"/>
      <c r="CUQ98" s="353"/>
      <c r="CUR98" s="353"/>
      <c r="CUS98" s="353"/>
      <c r="CUT98" s="353"/>
      <c r="CUU98" s="353"/>
      <c r="CUV98" s="353"/>
      <c r="CUW98" s="353"/>
      <c r="CUX98" s="353"/>
      <c r="CUY98" s="353"/>
      <c r="CUZ98" s="353"/>
      <c r="CVA98" s="353"/>
      <c r="CVB98" s="353"/>
      <c r="CVC98" s="353"/>
      <c r="CVD98" s="353"/>
      <c r="CVE98" s="353"/>
      <c r="CVF98" s="353"/>
      <c r="CVG98" s="353"/>
      <c r="CVH98" s="353"/>
      <c r="CVI98" s="353"/>
      <c r="CVJ98" s="353"/>
      <c r="CVK98" s="353"/>
      <c r="CVL98" s="353"/>
      <c r="CVM98" s="353"/>
      <c r="CVN98" s="353"/>
      <c r="CVO98" s="353"/>
      <c r="CVP98" s="353"/>
      <c r="CVQ98" s="353"/>
      <c r="CVR98" s="353"/>
      <c r="CVS98" s="353"/>
      <c r="CVT98" s="353"/>
      <c r="CVU98" s="353"/>
      <c r="CVV98" s="353"/>
      <c r="CVW98" s="353"/>
      <c r="CVX98" s="353"/>
      <c r="CVY98" s="353"/>
      <c r="CVZ98" s="353"/>
      <c r="CWA98" s="353"/>
      <c r="CWB98" s="353"/>
      <c r="CWC98" s="353"/>
      <c r="CWD98" s="353"/>
      <c r="CWE98" s="353"/>
      <c r="CWF98" s="353"/>
      <c r="CWG98" s="353"/>
      <c r="CWH98" s="353"/>
      <c r="CWI98" s="353"/>
      <c r="CWJ98" s="353"/>
      <c r="CWK98" s="353"/>
      <c r="CWL98" s="353"/>
      <c r="CWM98" s="353"/>
      <c r="CWN98" s="353"/>
      <c r="CWO98" s="353"/>
      <c r="CWP98" s="353"/>
      <c r="CWQ98" s="353"/>
      <c r="CWR98" s="353"/>
      <c r="CWS98" s="353"/>
      <c r="CWT98" s="353"/>
      <c r="CWU98" s="353"/>
      <c r="CWV98" s="353"/>
      <c r="CWW98" s="353"/>
      <c r="CWX98" s="353"/>
      <c r="CWY98" s="353"/>
      <c r="CWZ98" s="353"/>
      <c r="CXA98" s="353"/>
      <c r="CXB98" s="353"/>
      <c r="CXC98" s="353"/>
      <c r="CXD98" s="353"/>
      <c r="CXE98" s="353"/>
      <c r="CXF98" s="353"/>
      <c r="CXG98" s="353"/>
      <c r="CXH98" s="353"/>
      <c r="CXI98" s="353"/>
      <c r="CXJ98" s="353"/>
      <c r="CXK98" s="353"/>
      <c r="CXL98" s="353"/>
      <c r="CXM98" s="353"/>
      <c r="CXN98" s="353"/>
      <c r="CXO98" s="353"/>
      <c r="CXP98" s="353"/>
      <c r="CXQ98" s="353"/>
      <c r="CXR98" s="353"/>
      <c r="CXS98" s="353"/>
      <c r="CXT98" s="353"/>
      <c r="CXU98" s="353"/>
      <c r="CXV98" s="353"/>
      <c r="CXW98" s="353"/>
      <c r="CXX98" s="353"/>
      <c r="CXY98" s="353"/>
      <c r="CXZ98" s="353"/>
      <c r="CYA98" s="353"/>
      <c r="CYB98" s="353"/>
      <c r="CYC98" s="353"/>
      <c r="CYD98" s="353"/>
      <c r="CYE98" s="353"/>
      <c r="CYF98" s="353"/>
      <c r="CYG98" s="353"/>
      <c r="CYH98" s="353"/>
      <c r="CYI98" s="353"/>
      <c r="CYJ98" s="353"/>
      <c r="CYK98" s="353"/>
      <c r="CYL98" s="353"/>
      <c r="CYM98" s="353"/>
      <c r="CYN98" s="353"/>
      <c r="CYO98" s="353"/>
      <c r="CYP98" s="353"/>
      <c r="CYQ98" s="353"/>
      <c r="CYR98" s="353"/>
      <c r="CYS98" s="353"/>
      <c r="CYT98" s="353"/>
      <c r="CYU98" s="353"/>
      <c r="CYV98" s="353"/>
      <c r="CYW98" s="353"/>
      <c r="CYX98" s="353"/>
      <c r="CYY98" s="353"/>
      <c r="CYZ98" s="353"/>
      <c r="CZA98" s="353"/>
      <c r="CZB98" s="353"/>
      <c r="CZC98" s="353"/>
      <c r="CZD98" s="353"/>
      <c r="CZE98" s="353"/>
      <c r="CZF98" s="353"/>
      <c r="CZG98" s="353"/>
      <c r="CZH98" s="353"/>
      <c r="CZI98" s="353"/>
      <c r="CZJ98" s="353"/>
      <c r="CZK98" s="353"/>
      <c r="CZL98" s="353"/>
      <c r="CZM98" s="353"/>
      <c r="CZN98" s="353"/>
      <c r="CZO98" s="353"/>
      <c r="CZP98" s="353"/>
      <c r="CZQ98" s="353"/>
      <c r="CZR98" s="353"/>
      <c r="CZS98" s="353"/>
      <c r="CZT98" s="353"/>
      <c r="CZU98" s="353"/>
      <c r="CZV98" s="353"/>
      <c r="CZW98" s="353"/>
      <c r="CZX98" s="353"/>
      <c r="CZY98" s="353"/>
      <c r="CZZ98" s="353"/>
      <c r="DAA98" s="353"/>
      <c r="DAB98" s="353"/>
      <c r="DAC98" s="353"/>
      <c r="DAD98" s="353"/>
      <c r="DAE98" s="353"/>
      <c r="DAF98" s="353"/>
      <c r="DAG98" s="353"/>
      <c r="DAH98" s="353"/>
      <c r="DAI98" s="353"/>
      <c r="DAJ98" s="353"/>
      <c r="DAK98" s="353"/>
      <c r="DAL98" s="353"/>
      <c r="DAM98" s="353"/>
      <c r="DAN98" s="353"/>
      <c r="DAO98" s="353"/>
      <c r="DAP98" s="353"/>
      <c r="DAQ98" s="353"/>
      <c r="DAR98" s="353"/>
      <c r="DAS98" s="353"/>
      <c r="DAT98" s="353"/>
      <c r="DAU98" s="353"/>
      <c r="DAV98" s="353"/>
      <c r="DAW98" s="353"/>
      <c r="DAX98" s="353"/>
      <c r="DAY98" s="353"/>
      <c r="DAZ98" s="353"/>
      <c r="DBA98" s="353"/>
      <c r="DBB98" s="353"/>
      <c r="DBC98" s="353"/>
      <c r="DBD98" s="353"/>
      <c r="DBE98" s="353"/>
      <c r="DBF98" s="353"/>
      <c r="DBG98" s="353"/>
      <c r="DBH98" s="353"/>
      <c r="DBI98" s="353"/>
      <c r="DBJ98" s="353"/>
      <c r="DBK98" s="353"/>
      <c r="DBL98" s="353"/>
      <c r="DBM98" s="353"/>
      <c r="DBN98" s="353"/>
      <c r="DBO98" s="353"/>
      <c r="DBP98" s="353"/>
      <c r="DBQ98" s="353"/>
      <c r="DBR98" s="353"/>
      <c r="DBS98" s="353"/>
      <c r="DBT98" s="353"/>
      <c r="DBU98" s="353"/>
      <c r="DBV98" s="353"/>
      <c r="DBW98" s="353"/>
      <c r="DBX98" s="353"/>
      <c r="DBY98" s="353"/>
      <c r="DBZ98" s="353"/>
      <c r="DCA98" s="353"/>
      <c r="DCB98" s="353"/>
      <c r="DCC98" s="353"/>
      <c r="DCD98" s="353"/>
      <c r="DCE98" s="353"/>
      <c r="DCF98" s="353"/>
      <c r="DCG98" s="353"/>
      <c r="DCH98" s="353"/>
      <c r="DCI98" s="353"/>
      <c r="DCJ98" s="353"/>
      <c r="DCK98" s="353"/>
      <c r="DCL98" s="353"/>
      <c r="DCM98" s="353"/>
      <c r="DCN98" s="353"/>
      <c r="DCO98" s="353"/>
      <c r="DCP98" s="353"/>
      <c r="DCQ98" s="353"/>
      <c r="DCR98" s="353"/>
      <c r="DCS98" s="353"/>
      <c r="DCT98" s="353"/>
      <c r="DCU98" s="353"/>
      <c r="DCV98" s="353"/>
      <c r="DCW98" s="353"/>
      <c r="DCX98" s="353"/>
      <c r="DCY98" s="353"/>
      <c r="DCZ98" s="353"/>
      <c r="DDA98" s="353"/>
      <c r="DDB98" s="353"/>
      <c r="DDC98" s="353"/>
      <c r="DDD98" s="353"/>
      <c r="DDE98" s="353"/>
      <c r="DDF98" s="353"/>
      <c r="DDG98" s="353"/>
      <c r="DDH98" s="353"/>
      <c r="DDI98" s="353"/>
      <c r="DDJ98" s="353"/>
      <c r="DDK98" s="353"/>
      <c r="DDL98" s="353"/>
      <c r="DDM98" s="353"/>
      <c r="DDN98" s="353"/>
      <c r="DDO98" s="353"/>
      <c r="DDP98" s="353"/>
      <c r="DDQ98" s="353"/>
      <c r="DDR98" s="353"/>
      <c r="DDS98" s="353"/>
      <c r="DDT98" s="353"/>
      <c r="DDU98" s="353"/>
      <c r="DDV98" s="353"/>
      <c r="DDW98" s="353"/>
      <c r="DDX98" s="353"/>
      <c r="DDY98" s="353"/>
      <c r="DDZ98" s="353"/>
      <c r="DEA98" s="353"/>
      <c r="DEB98" s="353"/>
      <c r="DEC98" s="353"/>
      <c r="DED98" s="353"/>
      <c r="DEE98" s="353"/>
      <c r="DEF98" s="353"/>
      <c r="DEG98" s="353"/>
      <c r="DEH98" s="353"/>
      <c r="DEI98" s="353"/>
      <c r="DEJ98" s="353"/>
      <c r="DEK98" s="353"/>
      <c r="DEL98" s="353"/>
      <c r="DEM98" s="353"/>
      <c r="DEN98" s="353"/>
      <c r="DEO98" s="353"/>
      <c r="DEP98" s="353"/>
      <c r="DEQ98" s="353"/>
      <c r="DER98" s="353"/>
      <c r="DES98" s="353"/>
      <c r="DET98" s="353"/>
      <c r="DEU98" s="353"/>
      <c r="DEV98" s="353"/>
      <c r="DEW98" s="353"/>
      <c r="DEX98" s="353"/>
      <c r="DEY98" s="353"/>
      <c r="DEZ98" s="353"/>
      <c r="DFA98" s="353"/>
      <c r="DFB98" s="353"/>
      <c r="DFC98" s="353"/>
      <c r="DFD98" s="353"/>
      <c r="DFE98" s="353"/>
      <c r="DFF98" s="353"/>
      <c r="DFG98" s="353"/>
      <c r="DFH98" s="353"/>
      <c r="DFI98" s="353"/>
      <c r="DFJ98" s="353"/>
      <c r="DFK98" s="353"/>
      <c r="DFL98" s="353"/>
      <c r="DFM98" s="353"/>
      <c r="DFN98" s="353"/>
      <c r="DFO98" s="353"/>
      <c r="DFP98" s="353"/>
      <c r="DFQ98" s="353"/>
      <c r="DFR98" s="353"/>
      <c r="DFS98" s="353"/>
      <c r="DFT98" s="353"/>
      <c r="DFU98" s="353"/>
      <c r="DFV98" s="353"/>
      <c r="DFW98" s="353"/>
      <c r="DFX98" s="353"/>
      <c r="DFY98" s="353"/>
      <c r="DFZ98" s="353"/>
      <c r="DGA98" s="353"/>
      <c r="DGB98" s="353"/>
      <c r="DGC98" s="353"/>
      <c r="DGD98" s="353"/>
      <c r="DGE98" s="353"/>
      <c r="DGF98" s="353"/>
      <c r="DGG98" s="353"/>
      <c r="DGH98" s="353"/>
      <c r="DGI98" s="353"/>
      <c r="DGJ98" s="353"/>
      <c r="DGK98" s="353"/>
      <c r="DGL98" s="353"/>
      <c r="DGM98" s="353"/>
      <c r="DGN98" s="353"/>
      <c r="DGO98" s="353"/>
      <c r="DGP98" s="353"/>
      <c r="DGQ98" s="353"/>
      <c r="DGR98" s="353"/>
      <c r="DGS98" s="353"/>
      <c r="DGT98" s="353"/>
      <c r="DGU98" s="353"/>
      <c r="DGV98" s="353"/>
      <c r="DGW98" s="353"/>
      <c r="DGX98" s="353"/>
      <c r="DGY98" s="353"/>
      <c r="DGZ98" s="353"/>
      <c r="DHA98" s="353"/>
      <c r="DHB98" s="353"/>
      <c r="DHC98" s="353"/>
      <c r="DHD98" s="353"/>
      <c r="DHE98" s="353"/>
      <c r="DHF98" s="353"/>
      <c r="DHG98" s="353"/>
      <c r="DHH98" s="353"/>
      <c r="DHI98" s="353"/>
      <c r="DHJ98" s="353"/>
      <c r="DHK98" s="353"/>
      <c r="DHL98" s="353"/>
      <c r="DHM98" s="353"/>
      <c r="DHN98" s="353"/>
      <c r="DHO98" s="353"/>
      <c r="DHP98" s="353"/>
      <c r="DHQ98" s="353"/>
      <c r="DHR98" s="353"/>
      <c r="DHS98" s="353"/>
      <c r="DHT98" s="353"/>
      <c r="DHU98" s="353"/>
      <c r="DHV98" s="353"/>
      <c r="DHW98" s="353"/>
      <c r="DHX98" s="353"/>
      <c r="DHY98" s="353"/>
      <c r="DHZ98" s="353"/>
      <c r="DIA98" s="353"/>
      <c r="DIB98" s="353"/>
      <c r="DIC98" s="353"/>
      <c r="DID98" s="353"/>
      <c r="DIE98" s="353"/>
      <c r="DIF98" s="353"/>
      <c r="DIG98" s="353"/>
      <c r="DIH98" s="353"/>
      <c r="DII98" s="353"/>
      <c r="DIJ98" s="353"/>
      <c r="DIK98" s="353"/>
      <c r="DIL98" s="353"/>
      <c r="DIM98" s="353"/>
      <c r="DIN98" s="353"/>
      <c r="DIO98" s="353"/>
      <c r="DIP98" s="353"/>
      <c r="DIQ98" s="353"/>
      <c r="DIR98" s="353"/>
      <c r="DIS98" s="353"/>
      <c r="DIT98" s="353"/>
      <c r="DIU98" s="353"/>
      <c r="DIV98" s="353"/>
      <c r="DIW98" s="353"/>
      <c r="DIX98" s="353"/>
      <c r="DIY98" s="353"/>
      <c r="DIZ98" s="353"/>
      <c r="DJA98" s="353"/>
      <c r="DJB98" s="353"/>
      <c r="DJC98" s="353"/>
      <c r="DJD98" s="353"/>
      <c r="DJE98" s="353"/>
      <c r="DJF98" s="353"/>
      <c r="DJG98" s="353"/>
      <c r="DJH98" s="353"/>
      <c r="DJI98" s="353"/>
      <c r="DJJ98" s="353"/>
      <c r="DJK98" s="353"/>
      <c r="DJL98" s="353"/>
      <c r="DJM98" s="353"/>
      <c r="DJN98" s="353"/>
      <c r="DJO98" s="353"/>
      <c r="DJP98" s="353"/>
      <c r="DJQ98" s="353"/>
      <c r="DJR98" s="353"/>
      <c r="DJS98" s="353"/>
      <c r="DJT98" s="353"/>
      <c r="DJU98" s="353"/>
      <c r="DJV98" s="353"/>
      <c r="DJW98" s="353"/>
      <c r="DJX98" s="353"/>
      <c r="DJY98" s="353"/>
      <c r="DJZ98" s="353"/>
      <c r="DKA98" s="353"/>
      <c r="DKB98" s="353"/>
      <c r="DKC98" s="353"/>
      <c r="DKD98" s="353"/>
      <c r="DKE98" s="353"/>
      <c r="DKF98" s="353"/>
      <c r="DKG98" s="353"/>
      <c r="DKH98" s="353"/>
      <c r="DKI98" s="353"/>
      <c r="DKJ98" s="353"/>
      <c r="DKK98" s="353"/>
      <c r="DKL98" s="353"/>
      <c r="DKM98" s="353"/>
      <c r="DKN98" s="353"/>
      <c r="DKO98" s="353"/>
      <c r="DKP98" s="353"/>
      <c r="DKQ98" s="353"/>
      <c r="DKR98" s="353"/>
      <c r="DKS98" s="353"/>
      <c r="DKT98" s="353"/>
      <c r="DKU98" s="353"/>
      <c r="DKV98" s="353"/>
      <c r="DKW98" s="353"/>
      <c r="DKX98" s="353"/>
      <c r="DKY98" s="353"/>
      <c r="DKZ98" s="353"/>
      <c r="DLA98" s="353"/>
      <c r="DLB98" s="353"/>
      <c r="DLC98" s="353"/>
      <c r="DLD98" s="353"/>
      <c r="DLE98" s="353"/>
      <c r="DLF98" s="353"/>
      <c r="DLG98" s="353"/>
      <c r="DLH98" s="353"/>
      <c r="DLI98" s="353"/>
      <c r="DLJ98" s="353"/>
      <c r="DLK98" s="353"/>
      <c r="DLL98" s="353"/>
      <c r="DLM98" s="353"/>
      <c r="DLN98" s="353"/>
      <c r="DLO98" s="353"/>
      <c r="DLP98" s="353"/>
      <c r="DLQ98" s="353"/>
      <c r="DLR98" s="353"/>
      <c r="DLS98" s="353"/>
      <c r="DLT98" s="353"/>
      <c r="DLU98" s="353"/>
      <c r="DLV98" s="353"/>
      <c r="DLW98" s="353"/>
      <c r="DLX98" s="353"/>
      <c r="DLY98" s="353"/>
      <c r="DLZ98" s="353"/>
      <c r="DMA98" s="353"/>
      <c r="DMB98" s="353"/>
      <c r="DMC98" s="353"/>
      <c r="DMD98" s="353"/>
      <c r="DME98" s="353"/>
      <c r="DMF98" s="353"/>
      <c r="DMG98" s="353"/>
      <c r="DMH98" s="353"/>
      <c r="DMI98" s="353"/>
      <c r="DMJ98" s="353"/>
      <c r="DMK98" s="353"/>
      <c r="DML98" s="353"/>
      <c r="DMM98" s="353"/>
      <c r="DMN98" s="353"/>
      <c r="DMO98" s="353"/>
      <c r="DMP98" s="353"/>
      <c r="DMQ98" s="353"/>
      <c r="DMR98" s="353"/>
      <c r="DMS98" s="353"/>
      <c r="DMT98" s="353"/>
      <c r="DMU98" s="353"/>
      <c r="DMV98" s="353"/>
      <c r="DMW98" s="353"/>
      <c r="DMX98" s="353"/>
      <c r="DMY98" s="353"/>
      <c r="DMZ98" s="353"/>
      <c r="DNA98" s="353"/>
      <c r="DNB98" s="353"/>
      <c r="DNC98" s="353"/>
      <c r="DND98" s="353"/>
      <c r="DNE98" s="353"/>
      <c r="DNF98" s="353"/>
      <c r="DNG98" s="353"/>
      <c r="DNH98" s="353"/>
      <c r="DNI98" s="353"/>
      <c r="DNJ98" s="353"/>
      <c r="DNK98" s="353"/>
      <c r="DNL98" s="353"/>
      <c r="DNM98" s="353"/>
      <c r="DNN98" s="353"/>
      <c r="DNO98" s="353"/>
      <c r="DNP98" s="353"/>
      <c r="DNQ98" s="353"/>
      <c r="DNR98" s="353"/>
      <c r="DNS98" s="353"/>
      <c r="DNT98" s="353"/>
      <c r="DNU98" s="353"/>
      <c r="DNV98" s="353"/>
      <c r="DNW98" s="353"/>
      <c r="DNX98" s="353"/>
      <c r="DNY98" s="353"/>
      <c r="DNZ98" s="353"/>
      <c r="DOA98" s="353"/>
      <c r="DOB98" s="353"/>
      <c r="DOC98" s="353"/>
      <c r="DOD98" s="353"/>
      <c r="DOE98" s="353"/>
      <c r="DOF98" s="353"/>
      <c r="DOG98" s="353"/>
      <c r="DOH98" s="353"/>
      <c r="DOI98" s="353"/>
      <c r="DOJ98" s="353"/>
      <c r="DOK98" s="353"/>
      <c r="DOL98" s="353"/>
      <c r="DOM98" s="353"/>
      <c r="DON98" s="353"/>
      <c r="DOO98" s="353"/>
      <c r="DOP98" s="353"/>
      <c r="DOQ98" s="353"/>
      <c r="DOR98" s="353"/>
      <c r="DOS98" s="353"/>
      <c r="DOT98" s="353"/>
      <c r="DOU98" s="353"/>
      <c r="DOV98" s="353"/>
      <c r="DOW98" s="353"/>
      <c r="DOX98" s="353"/>
      <c r="DOY98" s="353"/>
      <c r="DOZ98" s="353"/>
      <c r="DPA98" s="353"/>
      <c r="DPB98" s="353"/>
      <c r="DPC98" s="353"/>
      <c r="DPD98" s="353"/>
      <c r="DPE98" s="353"/>
      <c r="DPF98" s="353"/>
      <c r="DPG98" s="353"/>
      <c r="DPH98" s="353"/>
      <c r="DPI98" s="353"/>
      <c r="DPJ98" s="353"/>
      <c r="DPK98" s="353"/>
      <c r="DPL98" s="353"/>
      <c r="DPM98" s="353"/>
      <c r="DPN98" s="353"/>
      <c r="DPO98" s="353"/>
      <c r="DPP98" s="353"/>
      <c r="DPQ98" s="353"/>
      <c r="DPR98" s="353"/>
      <c r="DPS98" s="353"/>
      <c r="DPT98" s="353"/>
      <c r="DPU98" s="353"/>
      <c r="DPV98" s="353"/>
      <c r="DPW98" s="353"/>
      <c r="DPX98" s="353"/>
      <c r="DPY98" s="353"/>
      <c r="DPZ98" s="353"/>
      <c r="DQA98" s="353"/>
      <c r="DQB98" s="353"/>
      <c r="DQC98" s="353"/>
      <c r="DQD98" s="353"/>
      <c r="DQE98" s="353"/>
      <c r="DQF98" s="353"/>
      <c r="DQG98" s="353"/>
      <c r="DQH98" s="353"/>
      <c r="DQI98" s="353"/>
      <c r="DQJ98" s="353"/>
      <c r="DQK98" s="353"/>
      <c r="DQL98" s="353"/>
      <c r="DQM98" s="353"/>
      <c r="DQN98" s="353"/>
      <c r="DQO98" s="353"/>
      <c r="DQP98" s="353"/>
      <c r="DQQ98" s="353"/>
      <c r="DQR98" s="353"/>
      <c r="DQS98" s="353"/>
      <c r="DQT98" s="353"/>
      <c r="DQU98" s="353"/>
      <c r="DQV98" s="353"/>
      <c r="DQW98" s="353"/>
      <c r="DQX98" s="353"/>
      <c r="DQY98" s="353"/>
      <c r="DQZ98" s="353"/>
      <c r="DRA98" s="353"/>
      <c r="DRB98" s="353"/>
      <c r="DRC98" s="353"/>
      <c r="DRD98" s="353"/>
      <c r="DRE98" s="353"/>
      <c r="DRF98" s="353"/>
      <c r="DRG98" s="353"/>
      <c r="DRH98" s="353"/>
      <c r="DRI98" s="353"/>
      <c r="DRJ98" s="353"/>
      <c r="DRK98" s="353"/>
      <c r="DRL98" s="353"/>
      <c r="DRM98" s="353"/>
      <c r="DRN98" s="353"/>
      <c r="DRO98" s="353"/>
      <c r="DRP98" s="353"/>
      <c r="DRQ98" s="353"/>
      <c r="DRR98" s="353"/>
      <c r="DRS98" s="353"/>
      <c r="DRT98" s="353"/>
      <c r="DRU98" s="353"/>
      <c r="DRV98" s="353"/>
      <c r="DRW98" s="353"/>
      <c r="DRX98" s="353"/>
      <c r="DRY98" s="353"/>
      <c r="DRZ98" s="353"/>
      <c r="DSA98" s="353"/>
      <c r="DSB98" s="353"/>
      <c r="DSC98" s="353"/>
      <c r="DSD98" s="353"/>
      <c r="DSE98" s="353"/>
      <c r="DSF98" s="353"/>
      <c r="DSG98" s="353"/>
      <c r="DSH98" s="353"/>
      <c r="DSI98" s="353"/>
      <c r="DSJ98" s="353"/>
      <c r="DSK98" s="353"/>
      <c r="DSL98" s="353"/>
      <c r="DSM98" s="353"/>
      <c r="DSN98" s="353"/>
      <c r="DSO98" s="353"/>
      <c r="DSP98" s="353"/>
      <c r="DSQ98" s="353"/>
      <c r="DSR98" s="353"/>
      <c r="DSS98" s="353"/>
      <c r="DST98" s="353"/>
      <c r="DSU98" s="353"/>
      <c r="DSV98" s="353"/>
      <c r="DSW98" s="353"/>
      <c r="DSX98" s="353"/>
      <c r="DSY98" s="353"/>
      <c r="DSZ98" s="353"/>
      <c r="DTA98" s="353"/>
      <c r="DTB98" s="353"/>
      <c r="DTC98" s="353"/>
      <c r="DTD98" s="353"/>
      <c r="DTE98" s="353"/>
      <c r="DTF98" s="353"/>
      <c r="DTG98" s="353"/>
      <c r="DTH98" s="353"/>
      <c r="DTI98" s="353"/>
      <c r="DTJ98" s="353"/>
      <c r="DTK98" s="353"/>
      <c r="DTL98" s="353"/>
      <c r="DTM98" s="353"/>
      <c r="DTN98" s="353"/>
      <c r="DTO98" s="353"/>
      <c r="DTP98" s="353"/>
      <c r="DTQ98" s="353"/>
      <c r="DTR98" s="353"/>
      <c r="DTS98" s="353"/>
      <c r="DTT98" s="353"/>
      <c r="DTU98" s="353"/>
      <c r="DTV98" s="353"/>
      <c r="DTW98" s="353"/>
      <c r="DTX98" s="353"/>
      <c r="DTY98" s="353"/>
      <c r="DTZ98" s="353"/>
      <c r="DUA98" s="353"/>
      <c r="DUB98" s="353"/>
      <c r="DUC98" s="353"/>
      <c r="DUD98" s="353"/>
      <c r="DUE98" s="353"/>
      <c r="DUF98" s="353"/>
      <c r="DUG98" s="353"/>
      <c r="DUH98" s="353"/>
      <c r="DUI98" s="353"/>
      <c r="DUJ98" s="353"/>
      <c r="DUK98" s="353"/>
      <c r="DUL98" s="353"/>
      <c r="DUM98" s="353"/>
      <c r="DUN98" s="353"/>
      <c r="DUO98" s="353"/>
      <c r="DUP98" s="353"/>
      <c r="DUQ98" s="353"/>
      <c r="DUR98" s="353"/>
      <c r="DUS98" s="353"/>
      <c r="DUT98" s="353"/>
      <c r="DUU98" s="353"/>
      <c r="DUV98" s="353"/>
      <c r="DUW98" s="353"/>
      <c r="DUX98" s="353"/>
      <c r="DUY98" s="353"/>
      <c r="DUZ98" s="353"/>
      <c r="DVA98" s="353"/>
      <c r="DVB98" s="353"/>
      <c r="DVC98" s="353"/>
      <c r="DVD98" s="353"/>
      <c r="DVE98" s="353"/>
      <c r="DVF98" s="353"/>
      <c r="DVG98" s="353"/>
      <c r="DVH98" s="353"/>
      <c r="DVI98" s="353"/>
      <c r="DVJ98" s="353"/>
      <c r="DVK98" s="353"/>
      <c r="DVL98" s="353"/>
      <c r="DVM98" s="353"/>
      <c r="DVN98" s="353"/>
      <c r="DVO98" s="353"/>
      <c r="DVP98" s="353"/>
      <c r="DVQ98" s="353"/>
      <c r="DVR98" s="353"/>
      <c r="DVS98" s="353"/>
      <c r="DVT98" s="353"/>
      <c r="DVU98" s="353"/>
      <c r="DVV98" s="353"/>
      <c r="DVW98" s="353"/>
      <c r="DVX98" s="353"/>
      <c r="DVY98" s="353"/>
      <c r="DVZ98" s="353"/>
      <c r="DWA98" s="353"/>
      <c r="DWB98" s="353"/>
      <c r="DWC98" s="353"/>
      <c r="DWD98" s="353"/>
      <c r="DWE98" s="353"/>
      <c r="DWF98" s="353"/>
      <c r="DWG98" s="353"/>
      <c r="DWH98" s="353"/>
      <c r="DWI98" s="353"/>
      <c r="DWJ98" s="353"/>
      <c r="DWK98" s="353"/>
      <c r="DWL98" s="353"/>
      <c r="DWM98" s="353"/>
      <c r="DWN98" s="353"/>
      <c r="DWO98" s="353"/>
      <c r="DWP98" s="353"/>
      <c r="DWQ98" s="353"/>
      <c r="DWR98" s="353"/>
      <c r="DWS98" s="353"/>
      <c r="DWT98" s="353"/>
      <c r="DWU98" s="353"/>
      <c r="DWV98" s="353"/>
      <c r="DWW98" s="353"/>
      <c r="DWX98" s="353"/>
      <c r="DWY98" s="353"/>
      <c r="DWZ98" s="353"/>
      <c r="DXA98" s="353"/>
      <c r="DXB98" s="353"/>
      <c r="DXC98" s="353"/>
      <c r="DXD98" s="353"/>
      <c r="DXE98" s="353"/>
      <c r="DXF98" s="353"/>
      <c r="DXG98" s="353"/>
      <c r="DXH98" s="353"/>
      <c r="DXI98" s="353"/>
      <c r="DXJ98" s="353"/>
      <c r="DXK98" s="353"/>
      <c r="DXL98" s="353"/>
      <c r="DXM98" s="353"/>
      <c r="DXN98" s="353"/>
      <c r="DXO98" s="353"/>
      <c r="DXP98" s="353"/>
      <c r="DXQ98" s="353"/>
      <c r="DXR98" s="353"/>
      <c r="DXS98" s="353"/>
      <c r="DXT98" s="353"/>
      <c r="DXU98" s="353"/>
      <c r="DXV98" s="353"/>
      <c r="DXW98" s="353"/>
      <c r="DXX98" s="353"/>
      <c r="DXY98" s="353"/>
      <c r="DXZ98" s="353"/>
      <c r="DYA98" s="353"/>
      <c r="DYB98" s="353"/>
      <c r="DYC98" s="353"/>
      <c r="DYD98" s="353"/>
      <c r="DYE98" s="353"/>
      <c r="DYF98" s="353"/>
      <c r="DYG98" s="353"/>
      <c r="DYH98" s="353"/>
      <c r="DYI98" s="353"/>
      <c r="DYJ98" s="353"/>
      <c r="DYK98" s="353"/>
      <c r="DYL98" s="353"/>
      <c r="DYM98" s="353"/>
      <c r="DYN98" s="353"/>
      <c r="DYO98" s="353"/>
      <c r="DYP98" s="353"/>
      <c r="DYQ98" s="353"/>
      <c r="DYR98" s="353"/>
      <c r="DYS98" s="353"/>
      <c r="DYT98" s="353"/>
      <c r="DYU98" s="353"/>
      <c r="DYV98" s="353"/>
      <c r="DYW98" s="353"/>
      <c r="DYX98" s="353"/>
      <c r="DYY98" s="353"/>
      <c r="DYZ98" s="353"/>
      <c r="DZA98" s="353"/>
      <c r="DZB98" s="353"/>
      <c r="DZC98" s="353"/>
      <c r="DZD98" s="353"/>
      <c r="DZE98" s="353"/>
      <c r="DZF98" s="353"/>
      <c r="DZG98" s="353"/>
      <c r="DZH98" s="353"/>
      <c r="DZI98" s="353"/>
      <c r="DZJ98" s="353"/>
      <c r="DZK98" s="353"/>
      <c r="DZL98" s="353"/>
      <c r="DZM98" s="353"/>
      <c r="DZN98" s="353"/>
      <c r="DZO98" s="353"/>
      <c r="DZP98" s="353"/>
      <c r="DZQ98" s="353"/>
      <c r="DZR98" s="353"/>
      <c r="DZS98" s="353"/>
      <c r="DZT98" s="353"/>
      <c r="DZU98" s="353"/>
      <c r="DZV98" s="353"/>
      <c r="DZW98" s="353"/>
      <c r="DZX98" s="353"/>
      <c r="DZY98" s="353"/>
      <c r="DZZ98" s="353"/>
      <c r="EAA98" s="353"/>
      <c r="EAB98" s="353"/>
      <c r="EAC98" s="353"/>
      <c r="EAD98" s="353"/>
      <c r="EAE98" s="353"/>
      <c r="EAF98" s="353"/>
      <c r="EAG98" s="353"/>
      <c r="EAH98" s="353"/>
      <c r="EAI98" s="353"/>
      <c r="EAJ98" s="353"/>
      <c r="EAK98" s="353"/>
      <c r="EAL98" s="353"/>
      <c r="EAM98" s="353"/>
      <c r="EAN98" s="353"/>
      <c r="EAO98" s="353"/>
      <c r="EAP98" s="353"/>
      <c r="EAQ98" s="353"/>
      <c r="EAR98" s="353"/>
      <c r="EAS98" s="353"/>
      <c r="EAT98" s="353"/>
      <c r="EAU98" s="353"/>
      <c r="EAV98" s="353"/>
      <c r="EAW98" s="353"/>
      <c r="EAX98" s="353"/>
      <c r="EAY98" s="353"/>
      <c r="EAZ98" s="353"/>
      <c r="EBA98" s="353"/>
      <c r="EBB98" s="353"/>
      <c r="EBC98" s="353"/>
      <c r="EBD98" s="353"/>
      <c r="EBE98" s="353"/>
      <c r="EBF98" s="353"/>
      <c r="EBG98" s="353"/>
      <c r="EBH98" s="353"/>
      <c r="EBI98" s="353"/>
      <c r="EBJ98" s="353"/>
      <c r="EBK98" s="353"/>
      <c r="EBL98" s="353"/>
      <c r="EBM98" s="353"/>
      <c r="EBN98" s="353"/>
      <c r="EBO98" s="353"/>
      <c r="EBP98" s="353"/>
      <c r="EBQ98" s="353"/>
      <c r="EBR98" s="353"/>
      <c r="EBS98" s="353"/>
      <c r="EBT98" s="353"/>
      <c r="EBU98" s="353"/>
      <c r="EBV98" s="353"/>
      <c r="EBW98" s="353"/>
      <c r="EBX98" s="353"/>
      <c r="EBY98" s="353"/>
      <c r="EBZ98" s="353"/>
      <c r="ECA98" s="353"/>
      <c r="ECB98" s="353"/>
      <c r="ECC98" s="353"/>
      <c r="ECD98" s="353"/>
      <c r="ECE98" s="353"/>
      <c r="ECF98" s="353"/>
      <c r="ECG98" s="353"/>
      <c r="ECH98" s="353"/>
      <c r="ECI98" s="353"/>
      <c r="ECJ98" s="353"/>
      <c r="ECK98" s="353"/>
      <c r="ECL98" s="353"/>
      <c r="ECM98" s="353"/>
      <c r="ECN98" s="353"/>
      <c r="ECO98" s="353"/>
      <c r="ECP98" s="353"/>
      <c r="ECQ98" s="353"/>
      <c r="ECR98" s="353"/>
      <c r="ECS98" s="353"/>
      <c r="ECT98" s="353"/>
      <c r="ECU98" s="353"/>
      <c r="ECV98" s="353"/>
      <c r="ECW98" s="353"/>
      <c r="ECX98" s="353"/>
      <c r="ECY98" s="353"/>
      <c r="ECZ98" s="353"/>
      <c r="EDA98" s="353"/>
      <c r="EDB98" s="353"/>
      <c r="EDC98" s="353"/>
      <c r="EDD98" s="353"/>
      <c r="EDE98" s="353"/>
      <c r="EDF98" s="353"/>
      <c r="EDG98" s="353"/>
      <c r="EDH98" s="353"/>
      <c r="EDI98" s="353"/>
      <c r="EDJ98" s="353"/>
      <c r="EDK98" s="353"/>
      <c r="EDL98" s="353"/>
      <c r="EDM98" s="353"/>
      <c r="EDN98" s="353"/>
      <c r="EDO98" s="353"/>
      <c r="EDP98" s="353"/>
      <c r="EDQ98" s="353"/>
      <c r="EDR98" s="353"/>
      <c r="EDS98" s="353"/>
      <c r="EDT98" s="353"/>
      <c r="EDU98" s="353"/>
      <c r="EDV98" s="353"/>
      <c r="EDW98" s="353"/>
      <c r="EDX98" s="353"/>
      <c r="EDY98" s="353"/>
      <c r="EDZ98" s="353"/>
      <c r="EEA98" s="353"/>
      <c r="EEB98" s="353"/>
      <c r="EEC98" s="353"/>
      <c r="EED98" s="353"/>
      <c r="EEE98" s="353"/>
      <c r="EEF98" s="353"/>
      <c r="EEG98" s="353"/>
      <c r="EEH98" s="353"/>
      <c r="EEI98" s="353"/>
      <c r="EEJ98" s="353"/>
      <c r="EEK98" s="353"/>
      <c r="EEL98" s="353"/>
      <c r="EEM98" s="353"/>
      <c r="EEN98" s="353"/>
      <c r="EEO98" s="353"/>
      <c r="EEP98" s="353"/>
      <c r="EEQ98" s="353"/>
      <c r="EER98" s="353"/>
      <c r="EES98" s="353"/>
      <c r="EET98" s="353"/>
      <c r="EEU98" s="353"/>
      <c r="EEV98" s="353"/>
      <c r="EEW98" s="353"/>
      <c r="EEX98" s="353"/>
      <c r="EEY98" s="353"/>
      <c r="EEZ98" s="353"/>
      <c r="EFA98" s="353"/>
      <c r="EFB98" s="353"/>
      <c r="EFC98" s="353"/>
      <c r="EFD98" s="353"/>
      <c r="EFE98" s="353"/>
      <c r="EFF98" s="353"/>
      <c r="EFG98" s="353"/>
      <c r="EFH98" s="353"/>
      <c r="EFI98" s="353"/>
      <c r="EFJ98" s="353"/>
      <c r="EFK98" s="353"/>
      <c r="EFL98" s="353"/>
      <c r="EFM98" s="353"/>
      <c r="EFN98" s="353"/>
      <c r="EFO98" s="353"/>
      <c r="EFP98" s="353"/>
      <c r="EFQ98" s="353"/>
      <c r="EFR98" s="353"/>
      <c r="EFS98" s="353"/>
      <c r="EFT98" s="353"/>
      <c r="EFU98" s="353"/>
      <c r="EFV98" s="353"/>
      <c r="EFW98" s="353"/>
      <c r="EFX98" s="353"/>
      <c r="EFY98" s="353"/>
      <c r="EFZ98" s="353"/>
      <c r="EGA98" s="353"/>
      <c r="EGB98" s="353"/>
      <c r="EGC98" s="353"/>
      <c r="EGD98" s="353"/>
      <c r="EGE98" s="353"/>
      <c r="EGF98" s="353"/>
      <c r="EGG98" s="353"/>
      <c r="EGH98" s="353"/>
      <c r="EGI98" s="353"/>
      <c r="EGJ98" s="353"/>
      <c r="EGK98" s="353"/>
      <c r="EGL98" s="353"/>
      <c r="EGM98" s="353"/>
      <c r="EGN98" s="353"/>
      <c r="EGO98" s="353"/>
      <c r="EGP98" s="353"/>
      <c r="EGQ98" s="353"/>
      <c r="EGR98" s="353"/>
      <c r="EGS98" s="353"/>
      <c r="EGT98" s="353"/>
      <c r="EGU98" s="353"/>
      <c r="EGV98" s="353"/>
      <c r="EGW98" s="353"/>
      <c r="EGX98" s="353"/>
      <c r="EGY98" s="353"/>
      <c r="EGZ98" s="353"/>
      <c r="EHA98" s="353"/>
      <c r="EHB98" s="353"/>
      <c r="EHC98" s="353"/>
      <c r="EHD98" s="353"/>
      <c r="EHE98" s="353"/>
      <c r="EHF98" s="353"/>
      <c r="EHG98" s="353"/>
      <c r="EHH98" s="353"/>
      <c r="EHI98" s="353"/>
      <c r="EHJ98" s="353"/>
      <c r="EHK98" s="353"/>
      <c r="EHL98" s="353"/>
      <c r="EHM98" s="353"/>
      <c r="EHN98" s="353"/>
      <c r="EHO98" s="353"/>
      <c r="EHP98" s="353"/>
      <c r="EHQ98" s="353"/>
      <c r="EHR98" s="353"/>
      <c r="EHS98" s="353"/>
      <c r="EHT98" s="353"/>
      <c r="EHU98" s="353"/>
      <c r="EHV98" s="353"/>
      <c r="EHW98" s="353"/>
      <c r="EHX98" s="353"/>
      <c r="EHY98" s="353"/>
      <c r="EHZ98" s="353"/>
      <c r="EIA98" s="353"/>
      <c r="EIB98" s="353"/>
      <c r="EIC98" s="353"/>
      <c r="EID98" s="353"/>
      <c r="EIE98" s="353"/>
      <c r="EIF98" s="353"/>
      <c r="EIG98" s="353"/>
      <c r="EIH98" s="353"/>
      <c r="EII98" s="353"/>
      <c r="EIJ98" s="353"/>
      <c r="EIK98" s="353"/>
      <c r="EIL98" s="353"/>
      <c r="EIM98" s="353"/>
      <c r="EIN98" s="353"/>
      <c r="EIO98" s="353"/>
      <c r="EIP98" s="353"/>
      <c r="EIQ98" s="353"/>
      <c r="EIR98" s="353"/>
      <c r="EIS98" s="353"/>
      <c r="EIT98" s="353"/>
      <c r="EIU98" s="353"/>
      <c r="EIV98" s="353"/>
      <c r="EIW98" s="353"/>
      <c r="EIX98" s="353"/>
      <c r="EIY98" s="353"/>
      <c r="EIZ98" s="353"/>
      <c r="EJA98" s="353"/>
      <c r="EJB98" s="353"/>
      <c r="EJC98" s="353"/>
      <c r="EJD98" s="353"/>
      <c r="EJE98" s="353"/>
      <c r="EJF98" s="353"/>
      <c r="EJG98" s="353"/>
      <c r="EJH98" s="353"/>
      <c r="EJI98" s="353"/>
      <c r="EJJ98" s="353"/>
      <c r="EJK98" s="353"/>
      <c r="EJL98" s="353"/>
      <c r="EJM98" s="353"/>
      <c r="EJN98" s="353"/>
      <c r="EJO98" s="353"/>
      <c r="EJP98" s="353"/>
      <c r="EJQ98" s="353"/>
      <c r="EJR98" s="353"/>
      <c r="EJS98" s="353"/>
      <c r="EJT98" s="353"/>
      <c r="EJU98" s="353"/>
      <c r="EJV98" s="353"/>
      <c r="EJW98" s="353"/>
      <c r="EJX98" s="353"/>
      <c r="EJY98" s="353"/>
      <c r="EJZ98" s="353"/>
      <c r="EKA98" s="353"/>
      <c r="EKB98" s="353"/>
      <c r="EKC98" s="353"/>
      <c r="EKD98" s="353"/>
      <c r="EKE98" s="353"/>
      <c r="EKF98" s="353"/>
      <c r="EKG98" s="353"/>
      <c r="EKH98" s="353"/>
      <c r="EKI98" s="353"/>
      <c r="EKJ98" s="353"/>
      <c r="EKK98" s="353"/>
      <c r="EKL98" s="353"/>
      <c r="EKM98" s="353"/>
      <c r="EKN98" s="353"/>
      <c r="EKO98" s="353"/>
      <c r="EKP98" s="353"/>
      <c r="EKQ98" s="353"/>
      <c r="EKR98" s="353"/>
      <c r="EKS98" s="353"/>
      <c r="EKT98" s="353"/>
      <c r="EKU98" s="353"/>
      <c r="EKV98" s="353"/>
      <c r="EKW98" s="353"/>
      <c r="EKX98" s="353"/>
      <c r="EKY98" s="353"/>
      <c r="EKZ98" s="353"/>
      <c r="ELA98" s="353"/>
      <c r="ELB98" s="353"/>
      <c r="ELC98" s="353"/>
      <c r="ELD98" s="353"/>
      <c r="ELE98" s="353"/>
      <c r="ELF98" s="353"/>
      <c r="ELG98" s="353"/>
      <c r="ELH98" s="353"/>
      <c r="ELI98" s="353"/>
      <c r="ELJ98" s="353"/>
      <c r="ELK98" s="353"/>
      <c r="ELL98" s="353"/>
      <c r="ELM98" s="353"/>
      <c r="ELN98" s="353"/>
      <c r="ELO98" s="353"/>
      <c r="ELP98" s="353"/>
      <c r="ELQ98" s="353"/>
      <c r="ELR98" s="353"/>
      <c r="ELS98" s="353"/>
      <c r="ELT98" s="353"/>
      <c r="ELU98" s="353"/>
      <c r="ELV98" s="353"/>
      <c r="ELW98" s="353"/>
      <c r="ELX98" s="353"/>
      <c r="ELY98" s="353"/>
      <c r="ELZ98" s="353"/>
      <c r="EMA98" s="353"/>
      <c r="EMB98" s="353"/>
      <c r="EMC98" s="353"/>
      <c r="EMD98" s="353"/>
      <c r="EME98" s="353"/>
      <c r="EMF98" s="353"/>
      <c r="EMG98" s="353"/>
      <c r="EMH98" s="353"/>
      <c r="EMI98" s="353"/>
      <c r="EMJ98" s="353"/>
      <c r="EMK98" s="353"/>
      <c r="EML98" s="353"/>
      <c r="EMM98" s="353"/>
      <c r="EMN98" s="353"/>
      <c r="EMO98" s="353"/>
      <c r="EMP98" s="353"/>
      <c r="EMQ98" s="353"/>
      <c r="EMR98" s="353"/>
      <c r="EMS98" s="353"/>
      <c r="EMT98" s="353"/>
      <c r="EMU98" s="353"/>
      <c r="EMV98" s="353"/>
      <c r="EMW98" s="353"/>
      <c r="EMX98" s="353"/>
      <c r="EMY98" s="353"/>
      <c r="EMZ98" s="353"/>
      <c r="ENA98" s="353"/>
      <c r="ENB98" s="353"/>
      <c r="ENC98" s="353"/>
      <c r="END98" s="353"/>
      <c r="ENE98" s="353"/>
      <c r="ENF98" s="353"/>
      <c r="ENG98" s="353"/>
      <c r="ENH98" s="353"/>
      <c r="ENI98" s="353"/>
      <c r="ENJ98" s="353"/>
      <c r="ENK98" s="353"/>
      <c r="ENL98" s="353"/>
      <c r="ENM98" s="353"/>
      <c r="ENN98" s="353"/>
      <c r="ENO98" s="353"/>
      <c r="ENP98" s="353"/>
      <c r="ENQ98" s="353"/>
      <c r="ENR98" s="353"/>
      <c r="ENS98" s="353"/>
      <c r="ENT98" s="353"/>
      <c r="ENU98" s="353"/>
      <c r="ENV98" s="353"/>
      <c r="ENW98" s="353"/>
      <c r="ENX98" s="353"/>
      <c r="ENY98" s="353"/>
      <c r="ENZ98" s="353"/>
      <c r="EOA98" s="353"/>
      <c r="EOB98" s="353"/>
      <c r="EOC98" s="353"/>
      <c r="EOD98" s="353"/>
      <c r="EOE98" s="353"/>
      <c r="EOF98" s="353"/>
      <c r="EOG98" s="353"/>
      <c r="EOH98" s="353"/>
      <c r="EOI98" s="353"/>
      <c r="EOJ98" s="353"/>
      <c r="EOK98" s="353"/>
      <c r="EOL98" s="353"/>
      <c r="EOM98" s="353"/>
      <c r="EON98" s="353"/>
      <c r="EOO98" s="353"/>
      <c r="EOP98" s="353"/>
      <c r="EOQ98" s="353"/>
      <c r="EOR98" s="353"/>
      <c r="EOS98" s="353"/>
      <c r="EOT98" s="353"/>
      <c r="EOU98" s="353"/>
      <c r="EOV98" s="353"/>
      <c r="EOW98" s="353"/>
      <c r="EOX98" s="353"/>
      <c r="EOY98" s="353"/>
      <c r="EOZ98" s="353"/>
      <c r="EPA98" s="353"/>
      <c r="EPB98" s="353"/>
      <c r="EPC98" s="353"/>
      <c r="EPD98" s="353"/>
      <c r="EPE98" s="353"/>
      <c r="EPF98" s="353"/>
      <c r="EPG98" s="353"/>
      <c r="EPH98" s="353"/>
      <c r="EPI98" s="353"/>
      <c r="EPJ98" s="353"/>
      <c r="EPK98" s="353"/>
      <c r="EPL98" s="353"/>
      <c r="EPM98" s="353"/>
      <c r="EPN98" s="353"/>
      <c r="EPO98" s="353"/>
      <c r="EPP98" s="353"/>
      <c r="EPQ98" s="353"/>
      <c r="EPR98" s="353"/>
      <c r="EPS98" s="353"/>
      <c r="EPT98" s="353"/>
      <c r="EPU98" s="353"/>
      <c r="EPV98" s="353"/>
      <c r="EPW98" s="353"/>
      <c r="EPX98" s="353"/>
      <c r="EPY98" s="353"/>
      <c r="EPZ98" s="353"/>
      <c r="EQA98" s="353"/>
      <c r="EQB98" s="353"/>
      <c r="EQC98" s="353"/>
      <c r="EQD98" s="353"/>
      <c r="EQE98" s="353"/>
      <c r="EQF98" s="353"/>
      <c r="EQG98" s="353"/>
      <c r="EQH98" s="353"/>
      <c r="EQI98" s="353"/>
      <c r="EQJ98" s="353"/>
      <c r="EQK98" s="353"/>
      <c r="EQL98" s="353"/>
      <c r="EQM98" s="353"/>
      <c r="EQN98" s="353"/>
      <c r="EQO98" s="353"/>
      <c r="EQP98" s="353"/>
      <c r="EQQ98" s="353"/>
      <c r="EQR98" s="353"/>
      <c r="EQS98" s="353"/>
      <c r="EQT98" s="353"/>
      <c r="EQU98" s="353"/>
      <c r="EQV98" s="353"/>
      <c r="EQW98" s="353"/>
      <c r="EQX98" s="353"/>
      <c r="EQY98" s="353"/>
      <c r="EQZ98" s="353"/>
      <c r="ERA98" s="353"/>
      <c r="ERB98" s="353"/>
      <c r="ERC98" s="353"/>
      <c r="ERD98" s="353"/>
      <c r="ERE98" s="353"/>
      <c r="ERF98" s="353"/>
      <c r="ERG98" s="353"/>
      <c r="ERH98" s="353"/>
      <c r="ERI98" s="353"/>
      <c r="ERJ98" s="353"/>
      <c r="ERK98" s="353"/>
      <c r="ERL98" s="353"/>
      <c r="ERM98" s="353"/>
      <c r="ERN98" s="353"/>
      <c r="ERO98" s="353"/>
      <c r="ERP98" s="353"/>
      <c r="ERQ98" s="353"/>
      <c r="ERR98" s="353"/>
      <c r="ERS98" s="353"/>
      <c r="ERT98" s="353"/>
      <c r="ERU98" s="353"/>
      <c r="ERV98" s="353"/>
      <c r="ERW98" s="353"/>
      <c r="ERX98" s="353"/>
      <c r="ERY98" s="353"/>
      <c r="ERZ98" s="353"/>
      <c r="ESA98" s="353"/>
      <c r="ESB98" s="353"/>
      <c r="ESC98" s="353"/>
      <c r="ESD98" s="353"/>
      <c r="ESE98" s="353"/>
      <c r="ESF98" s="353"/>
      <c r="ESG98" s="353"/>
      <c r="ESH98" s="353"/>
      <c r="ESI98" s="353"/>
      <c r="ESJ98" s="353"/>
      <c r="ESK98" s="353"/>
      <c r="ESL98" s="353"/>
      <c r="ESM98" s="353"/>
      <c r="ESN98" s="353"/>
      <c r="ESO98" s="353"/>
      <c r="ESP98" s="353"/>
      <c r="ESQ98" s="353"/>
      <c r="ESR98" s="353"/>
      <c r="ESS98" s="353"/>
      <c r="EST98" s="353"/>
      <c r="ESU98" s="353"/>
      <c r="ESV98" s="353"/>
      <c r="ESW98" s="353"/>
      <c r="ESX98" s="353"/>
      <c r="ESY98" s="353"/>
      <c r="ESZ98" s="353"/>
      <c r="ETA98" s="353"/>
      <c r="ETB98" s="353"/>
      <c r="ETC98" s="353"/>
      <c r="ETD98" s="353"/>
      <c r="ETE98" s="353"/>
      <c r="ETF98" s="353"/>
      <c r="ETG98" s="353"/>
      <c r="ETH98" s="353"/>
      <c r="ETI98" s="353"/>
      <c r="ETJ98" s="353"/>
      <c r="ETK98" s="353"/>
      <c r="ETL98" s="353"/>
      <c r="ETM98" s="353"/>
      <c r="ETN98" s="353"/>
      <c r="ETO98" s="353"/>
      <c r="ETP98" s="353"/>
      <c r="ETQ98" s="353"/>
      <c r="ETR98" s="353"/>
      <c r="ETS98" s="353"/>
      <c r="ETT98" s="353"/>
      <c r="ETU98" s="353"/>
      <c r="ETV98" s="353"/>
      <c r="ETW98" s="353"/>
      <c r="ETX98" s="353"/>
      <c r="ETY98" s="353"/>
      <c r="ETZ98" s="353"/>
      <c r="EUA98" s="353"/>
      <c r="EUB98" s="353"/>
      <c r="EUC98" s="353"/>
      <c r="EUD98" s="353"/>
      <c r="EUE98" s="353"/>
      <c r="EUF98" s="353"/>
      <c r="EUG98" s="353"/>
      <c r="EUH98" s="353"/>
      <c r="EUI98" s="353"/>
      <c r="EUJ98" s="353"/>
      <c r="EUK98" s="353"/>
      <c r="EUL98" s="353"/>
      <c r="EUM98" s="353"/>
      <c r="EUN98" s="353"/>
      <c r="EUO98" s="353"/>
      <c r="EUP98" s="353"/>
      <c r="EUQ98" s="353"/>
      <c r="EUR98" s="353"/>
      <c r="EUS98" s="353"/>
      <c r="EUT98" s="353"/>
      <c r="EUU98" s="353"/>
      <c r="EUV98" s="353"/>
      <c r="EUW98" s="353"/>
      <c r="EUX98" s="353"/>
      <c r="EUY98" s="353"/>
      <c r="EUZ98" s="353"/>
      <c r="EVA98" s="353"/>
      <c r="EVB98" s="353"/>
      <c r="EVC98" s="353"/>
      <c r="EVD98" s="353"/>
      <c r="EVE98" s="353"/>
      <c r="EVF98" s="353"/>
      <c r="EVG98" s="353"/>
      <c r="EVH98" s="353"/>
      <c r="EVI98" s="353"/>
      <c r="EVJ98" s="353"/>
      <c r="EVK98" s="353"/>
      <c r="EVL98" s="353"/>
      <c r="EVM98" s="353"/>
      <c r="EVN98" s="353"/>
      <c r="EVO98" s="353"/>
      <c r="EVP98" s="353"/>
      <c r="EVQ98" s="353"/>
      <c r="EVR98" s="353"/>
      <c r="EVS98" s="353"/>
      <c r="EVT98" s="353"/>
      <c r="EVU98" s="353"/>
      <c r="EVV98" s="353"/>
      <c r="EVW98" s="353"/>
      <c r="EVX98" s="353"/>
      <c r="EVY98" s="353"/>
      <c r="EVZ98" s="353"/>
      <c r="EWA98" s="353"/>
      <c r="EWB98" s="353"/>
      <c r="EWC98" s="353"/>
      <c r="EWD98" s="353"/>
      <c r="EWE98" s="353"/>
      <c r="EWF98" s="353"/>
      <c r="EWG98" s="353"/>
      <c r="EWH98" s="353"/>
      <c r="EWI98" s="353"/>
      <c r="EWJ98" s="353"/>
      <c r="EWK98" s="353"/>
      <c r="EWL98" s="353"/>
      <c r="EWM98" s="353"/>
      <c r="EWN98" s="353"/>
      <c r="EWO98" s="353"/>
      <c r="EWP98" s="353"/>
      <c r="EWQ98" s="353"/>
      <c r="EWR98" s="353"/>
      <c r="EWS98" s="353"/>
      <c r="EWT98" s="353"/>
      <c r="EWU98" s="353"/>
      <c r="EWV98" s="353"/>
      <c r="EWW98" s="353"/>
      <c r="EWX98" s="353"/>
      <c r="EWY98" s="353"/>
      <c r="EWZ98" s="353"/>
      <c r="EXA98" s="353"/>
      <c r="EXB98" s="353"/>
      <c r="EXC98" s="353"/>
      <c r="EXD98" s="353"/>
      <c r="EXE98" s="353"/>
      <c r="EXF98" s="353"/>
      <c r="EXG98" s="353"/>
      <c r="EXH98" s="353"/>
      <c r="EXI98" s="353"/>
      <c r="EXJ98" s="353"/>
      <c r="EXK98" s="353"/>
      <c r="EXL98" s="353"/>
      <c r="EXM98" s="353"/>
      <c r="EXN98" s="353"/>
      <c r="EXO98" s="353"/>
      <c r="EXP98" s="353"/>
      <c r="EXQ98" s="353"/>
      <c r="EXR98" s="353"/>
      <c r="EXS98" s="353"/>
      <c r="EXT98" s="353"/>
      <c r="EXU98" s="353"/>
      <c r="EXV98" s="353"/>
      <c r="EXW98" s="353"/>
      <c r="EXX98" s="353"/>
      <c r="EXY98" s="353"/>
      <c r="EXZ98" s="353"/>
      <c r="EYA98" s="353"/>
      <c r="EYB98" s="353"/>
      <c r="EYC98" s="353"/>
      <c r="EYD98" s="353"/>
      <c r="EYE98" s="353"/>
      <c r="EYF98" s="353"/>
      <c r="EYG98" s="353"/>
      <c r="EYH98" s="353"/>
      <c r="EYI98" s="353"/>
      <c r="EYJ98" s="353"/>
      <c r="EYK98" s="353"/>
      <c r="EYL98" s="353"/>
      <c r="EYM98" s="353"/>
      <c r="EYN98" s="353"/>
      <c r="EYO98" s="353"/>
      <c r="EYP98" s="353"/>
      <c r="EYQ98" s="353"/>
      <c r="EYR98" s="353"/>
      <c r="EYS98" s="353"/>
      <c r="EYT98" s="353"/>
      <c r="EYU98" s="353"/>
      <c r="EYV98" s="353"/>
      <c r="EYW98" s="353"/>
      <c r="EYX98" s="353"/>
      <c r="EYY98" s="353"/>
      <c r="EYZ98" s="353"/>
      <c r="EZA98" s="353"/>
      <c r="EZB98" s="353"/>
      <c r="EZC98" s="353"/>
      <c r="EZD98" s="353"/>
      <c r="EZE98" s="353"/>
      <c r="EZF98" s="353"/>
      <c r="EZG98" s="353"/>
      <c r="EZH98" s="353"/>
      <c r="EZI98" s="353"/>
      <c r="EZJ98" s="353"/>
      <c r="EZK98" s="353"/>
      <c r="EZL98" s="353"/>
      <c r="EZM98" s="353"/>
      <c r="EZN98" s="353"/>
      <c r="EZO98" s="353"/>
      <c r="EZP98" s="353"/>
      <c r="EZQ98" s="353"/>
      <c r="EZR98" s="353"/>
      <c r="EZS98" s="353"/>
      <c r="EZT98" s="353"/>
      <c r="EZU98" s="353"/>
      <c r="EZV98" s="353"/>
      <c r="EZW98" s="353"/>
      <c r="EZX98" s="353"/>
      <c r="EZY98" s="353"/>
      <c r="EZZ98" s="353"/>
      <c r="FAA98" s="353"/>
      <c r="FAB98" s="353"/>
      <c r="FAC98" s="353"/>
      <c r="FAD98" s="353"/>
      <c r="FAE98" s="353"/>
      <c r="FAF98" s="353"/>
      <c r="FAG98" s="353"/>
      <c r="FAH98" s="353"/>
      <c r="FAI98" s="353"/>
      <c r="FAJ98" s="353"/>
      <c r="FAK98" s="353"/>
      <c r="FAL98" s="353"/>
      <c r="FAM98" s="353"/>
      <c r="FAN98" s="353"/>
      <c r="FAO98" s="353"/>
      <c r="FAP98" s="353"/>
      <c r="FAQ98" s="353"/>
      <c r="FAR98" s="353"/>
      <c r="FAS98" s="353"/>
      <c r="FAT98" s="353"/>
      <c r="FAU98" s="353"/>
      <c r="FAV98" s="353"/>
      <c r="FAW98" s="353"/>
      <c r="FAX98" s="353"/>
      <c r="FAY98" s="353"/>
      <c r="FAZ98" s="353"/>
      <c r="FBA98" s="353"/>
      <c r="FBB98" s="353"/>
      <c r="FBC98" s="353"/>
      <c r="FBD98" s="353"/>
      <c r="FBE98" s="353"/>
      <c r="FBF98" s="353"/>
      <c r="FBG98" s="353"/>
      <c r="FBH98" s="353"/>
      <c r="FBI98" s="353"/>
      <c r="FBJ98" s="353"/>
      <c r="FBK98" s="353"/>
      <c r="FBL98" s="353"/>
      <c r="FBM98" s="353"/>
      <c r="FBN98" s="353"/>
      <c r="FBO98" s="353"/>
      <c r="FBP98" s="353"/>
      <c r="FBQ98" s="353"/>
      <c r="FBR98" s="353"/>
      <c r="FBS98" s="353"/>
      <c r="FBT98" s="353"/>
      <c r="FBU98" s="353"/>
      <c r="FBV98" s="353"/>
      <c r="FBW98" s="353"/>
      <c r="FBX98" s="353"/>
      <c r="FBY98" s="353"/>
      <c r="FBZ98" s="353"/>
      <c r="FCA98" s="353"/>
      <c r="FCB98" s="353"/>
      <c r="FCC98" s="353"/>
      <c r="FCD98" s="353"/>
      <c r="FCE98" s="353"/>
      <c r="FCF98" s="353"/>
      <c r="FCG98" s="353"/>
      <c r="FCH98" s="353"/>
      <c r="FCI98" s="353"/>
      <c r="FCJ98" s="353"/>
      <c r="FCK98" s="353"/>
      <c r="FCL98" s="353"/>
      <c r="FCM98" s="353"/>
      <c r="FCN98" s="353"/>
      <c r="FCO98" s="353"/>
      <c r="FCP98" s="353"/>
      <c r="FCQ98" s="353"/>
      <c r="FCR98" s="353"/>
      <c r="FCS98" s="353"/>
      <c r="FCT98" s="353"/>
      <c r="FCU98" s="353"/>
      <c r="FCV98" s="353"/>
      <c r="FCW98" s="353"/>
      <c r="FCX98" s="353"/>
      <c r="FCY98" s="353"/>
      <c r="FCZ98" s="353"/>
      <c r="FDA98" s="353"/>
      <c r="FDB98" s="353"/>
      <c r="FDC98" s="353"/>
      <c r="FDD98" s="353"/>
      <c r="FDE98" s="353"/>
      <c r="FDF98" s="353"/>
      <c r="FDG98" s="353"/>
      <c r="FDH98" s="353"/>
      <c r="FDI98" s="353"/>
      <c r="FDJ98" s="353"/>
      <c r="FDK98" s="353"/>
      <c r="FDL98" s="353"/>
      <c r="FDM98" s="353"/>
      <c r="FDN98" s="353"/>
      <c r="FDO98" s="353"/>
      <c r="FDP98" s="353"/>
      <c r="FDQ98" s="353"/>
      <c r="FDR98" s="353"/>
      <c r="FDS98" s="353"/>
      <c r="FDT98" s="353"/>
      <c r="FDU98" s="353"/>
      <c r="FDV98" s="353"/>
      <c r="FDW98" s="353"/>
      <c r="FDX98" s="353"/>
      <c r="FDY98" s="353"/>
      <c r="FDZ98" s="353"/>
      <c r="FEA98" s="353"/>
      <c r="FEB98" s="353"/>
      <c r="FEC98" s="353"/>
      <c r="FED98" s="353"/>
      <c r="FEE98" s="353"/>
      <c r="FEF98" s="353"/>
      <c r="FEG98" s="353"/>
      <c r="FEH98" s="353"/>
      <c r="FEI98" s="353"/>
      <c r="FEJ98" s="353"/>
      <c r="FEK98" s="353"/>
      <c r="FEL98" s="353"/>
      <c r="FEM98" s="353"/>
      <c r="FEN98" s="353"/>
      <c r="FEO98" s="353"/>
      <c r="FEP98" s="353"/>
      <c r="FEQ98" s="353"/>
      <c r="FER98" s="353"/>
      <c r="FES98" s="353"/>
      <c r="FET98" s="353"/>
      <c r="FEU98" s="353"/>
      <c r="FEV98" s="353"/>
      <c r="FEW98" s="353"/>
      <c r="FEX98" s="353"/>
      <c r="FEY98" s="353"/>
      <c r="FEZ98" s="353"/>
      <c r="FFA98" s="353"/>
      <c r="FFB98" s="353"/>
      <c r="FFC98" s="353"/>
      <c r="FFD98" s="353"/>
      <c r="FFE98" s="353"/>
      <c r="FFF98" s="353"/>
      <c r="FFG98" s="353"/>
      <c r="FFH98" s="353"/>
      <c r="FFI98" s="353"/>
      <c r="FFJ98" s="353"/>
      <c r="FFK98" s="353"/>
      <c r="FFL98" s="353"/>
      <c r="FFM98" s="353"/>
      <c r="FFN98" s="353"/>
      <c r="FFO98" s="353"/>
      <c r="FFP98" s="353"/>
      <c r="FFQ98" s="353"/>
      <c r="FFR98" s="353"/>
      <c r="FFS98" s="353"/>
      <c r="FFT98" s="353"/>
      <c r="FFU98" s="353"/>
      <c r="FFV98" s="353"/>
      <c r="FFW98" s="353"/>
      <c r="FFX98" s="353"/>
      <c r="FFY98" s="353"/>
      <c r="FFZ98" s="353"/>
      <c r="FGA98" s="353"/>
      <c r="FGB98" s="353"/>
      <c r="FGC98" s="353"/>
      <c r="FGD98" s="353"/>
      <c r="FGE98" s="353"/>
      <c r="FGF98" s="353"/>
      <c r="FGG98" s="353"/>
      <c r="FGH98" s="353"/>
      <c r="FGI98" s="353"/>
      <c r="FGJ98" s="353"/>
      <c r="FGK98" s="353"/>
      <c r="FGL98" s="353"/>
      <c r="FGM98" s="353"/>
      <c r="FGN98" s="353"/>
      <c r="FGO98" s="353"/>
      <c r="FGP98" s="353"/>
      <c r="FGQ98" s="353"/>
      <c r="FGR98" s="353"/>
      <c r="FGS98" s="353"/>
      <c r="FGT98" s="353"/>
      <c r="FGU98" s="353"/>
      <c r="FGV98" s="353"/>
      <c r="FGW98" s="353"/>
      <c r="FGX98" s="353"/>
      <c r="FGY98" s="353"/>
      <c r="FGZ98" s="353"/>
      <c r="FHA98" s="353"/>
      <c r="FHB98" s="353"/>
      <c r="FHC98" s="353"/>
      <c r="FHD98" s="353"/>
      <c r="FHE98" s="353"/>
      <c r="FHF98" s="353"/>
      <c r="FHG98" s="353"/>
      <c r="FHH98" s="353"/>
      <c r="FHI98" s="353"/>
      <c r="FHJ98" s="353"/>
      <c r="FHK98" s="353"/>
      <c r="FHL98" s="353"/>
      <c r="FHM98" s="353"/>
      <c r="FHN98" s="353"/>
      <c r="FHO98" s="353"/>
      <c r="FHP98" s="353"/>
      <c r="FHQ98" s="353"/>
      <c r="FHR98" s="353"/>
      <c r="FHS98" s="353"/>
      <c r="FHT98" s="353"/>
      <c r="FHU98" s="353"/>
      <c r="FHV98" s="353"/>
      <c r="FHW98" s="353"/>
      <c r="FHX98" s="353"/>
      <c r="FHY98" s="353"/>
      <c r="FHZ98" s="353"/>
      <c r="FIA98" s="353"/>
      <c r="FIB98" s="353"/>
      <c r="FIC98" s="353"/>
      <c r="FID98" s="353"/>
      <c r="FIE98" s="353"/>
      <c r="FIF98" s="353"/>
      <c r="FIG98" s="353"/>
      <c r="FIH98" s="353"/>
      <c r="FII98" s="353"/>
      <c r="FIJ98" s="353"/>
      <c r="FIK98" s="353"/>
      <c r="FIL98" s="353"/>
      <c r="FIM98" s="353"/>
      <c r="FIN98" s="353"/>
      <c r="FIO98" s="353"/>
      <c r="FIP98" s="353"/>
      <c r="FIQ98" s="353"/>
      <c r="FIR98" s="353"/>
      <c r="FIS98" s="353"/>
      <c r="FIT98" s="353"/>
      <c r="FIU98" s="353"/>
      <c r="FIV98" s="353"/>
      <c r="FIW98" s="353"/>
      <c r="FIX98" s="353"/>
      <c r="FIY98" s="353"/>
      <c r="FIZ98" s="353"/>
      <c r="FJA98" s="353"/>
      <c r="FJB98" s="353"/>
      <c r="FJC98" s="353"/>
      <c r="FJD98" s="353"/>
      <c r="FJE98" s="353"/>
      <c r="FJF98" s="353"/>
      <c r="FJG98" s="353"/>
      <c r="FJH98" s="353"/>
      <c r="FJI98" s="353"/>
      <c r="FJJ98" s="353"/>
      <c r="FJK98" s="353"/>
      <c r="FJL98" s="353"/>
      <c r="FJM98" s="353"/>
      <c r="FJN98" s="353"/>
      <c r="FJO98" s="353"/>
      <c r="FJP98" s="353"/>
      <c r="FJQ98" s="353"/>
      <c r="FJR98" s="353"/>
      <c r="FJS98" s="353"/>
      <c r="FJT98" s="353"/>
      <c r="FJU98" s="353"/>
      <c r="FJV98" s="353"/>
      <c r="FJW98" s="353"/>
      <c r="FJX98" s="353"/>
      <c r="FJY98" s="353"/>
      <c r="FJZ98" s="353"/>
      <c r="FKA98" s="353"/>
      <c r="FKB98" s="353"/>
      <c r="FKC98" s="353"/>
      <c r="FKD98" s="353"/>
      <c r="FKE98" s="353"/>
      <c r="FKF98" s="353"/>
      <c r="FKG98" s="353"/>
      <c r="FKH98" s="353"/>
      <c r="FKI98" s="353"/>
      <c r="FKJ98" s="353"/>
      <c r="FKK98" s="353"/>
      <c r="FKL98" s="353"/>
      <c r="FKM98" s="353"/>
      <c r="FKN98" s="353"/>
      <c r="FKO98" s="353"/>
      <c r="FKP98" s="353"/>
      <c r="FKQ98" s="353"/>
      <c r="FKR98" s="353"/>
      <c r="FKS98" s="353"/>
      <c r="FKT98" s="353"/>
      <c r="FKU98" s="353"/>
      <c r="FKV98" s="353"/>
      <c r="FKW98" s="353"/>
      <c r="FKX98" s="353"/>
      <c r="FKY98" s="353"/>
      <c r="FKZ98" s="353"/>
      <c r="FLA98" s="353"/>
      <c r="FLB98" s="353"/>
      <c r="FLC98" s="353"/>
      <c r="FLD98" s="353"/>
      <c r="FLE98" s="353"/>
      <c r="FLF98" s="353"/>
      <c r="FLG98" s="353"/>
      <c r="FLH98" s="353"/>
      <c r="FLI98" s="353"/>
      <c r="FLJ98" s="353"/>
      <c r="FLK98" s="353"/>
      <c r="FLL98" s="353"/>
      <c r="FLM98" s="353"/>
      <c r="FLN98" s="353"/>
      <c r="FLO98" s="353"/>
      <c r="FLP98" s="353"/>
      <c r="FLQ98" s="353"/>
      <c r="FLR98" s="353"/>
      <c r="FLS98" s="353"/>
      <c r="FLT98" s="353"/>
      <c r="FLU98" s="353"/>
      <c r="FLV98" s="353"/>
      <c r="FLW98" s="353"/>
      <c r="FLX98" s="353"/>
      <c r="FLY98" s="353"/>
      <c r="FLZ98" s="353"/>
      <c r="FMA98" s="353"/>
      <c r="FMB98" s="353"/>
      <c r="FMC98" s="353"/>
      <c r="FMD98" s="353"/>
      <c r="FME98" s="353"/>
      <c r="FMF98" s="353"/>
      <c r="FMG98" s="353"/>
      <c r="FMH98" s="353"/>
      <c r="FMI98" s="353"/>
      <c r="FMJ98" s="353"/>
      <c r="FMK98" s="353"/>
      <c r="FML98" s="353"/>
      <c r="FMM98" s="353"/>
      <c r="FMN98" s="353"/>
      <c r="FMO98" s="353"/>
      <c r="FMP98" s="353"/>
      <c r="FMQ98" s="353"/>
      <c r="FMR98" s="353"/>
      <c r="FMS98" s="353"/>
      <c r="FMT98" s="353"/>
      <c r="FMU98" s="353"/>
      <c r="FMV98" s="353"/>
      <c r="FMW98" s="353"/>
      <c r="FMX98" s="353"/>
      <c r="FMY98" s="353"/>
      <c r="FMZ98" s="353"/>
      <c r="FNA98" s="353"/>
      <c r="FNB98" s="353"/>
      <c r="FNC98" s="353"/>
      <c r="FND98" s="353"/>
      <c r="FNE98" s="353"/>
      <c r="FNF98" s="353"/>
      <c r="FNG98" s="353"/>
      <c r="FNH98" s="353"/>
      <c r="FNI98" s="353"/>
      <c r="FNJ98" s="353"/>
      <c r="FNK98" s="353"/>
      <c r="FNL98" s="353"/>
      <c r="FNM98" s="353"/>
      <c r="FNN98" s="353"/>
      <c r="FNO98" s="353"/>
      <c r="FNP98" s="353"/>
      <c r="FNQ98" s="353"/>
      <c r="FNR98" s="353"/>
      <c r="FNS98" s="353"/>
      <c r="FNT98" s="353"/>
      <c r="FNU98" s="353"/>
      <c r="FNV98" s="353"/>
      <c r="FNW98" s="353"/>
      <c r="FNX98" s="353"/>
      <c r="FNY98" s="353"/>
      <c r="FNZ98" s="353"/>
      <c r="FOA98" s="353"/>
      <c r="FOB98" s="353"/>
      <c r="FOC98" s="353"/>
      <c r="FOD98" s="353"/>
      <c r="FOE98" s="353"/>
      <c r="FOF98" s="353"/>
      <c r="FOG98" s="353"/>
      <c r="FOH98" s="353"/>
      <c r="FOI98" s="353"/>
      <c r="FOJ98" s="353"/>
      <c r="FOK98" s="353"/>
      <c r="FOL98" s="353"/>
      <c r="FOM98" s="353"/>
      <c r="FON98" s="353"/>
      <c r="FOO98" s="353"/>
      <c r="FOP98" s="353"/>
      <c r="FOQ98" s="353"/>
      <c r="FOR98" s="353"/>
      <c r="FOS98" s="353"/>
      <c r="FOT98" s="353"/>
      <c r="FOU98" s="353"/>
      <c r="FOV98" s="353"/>
      <c r="FOW98" s="353"/>
      <c r="FOX98" s="353"/>
      <c r="FOY98" s="353"/>
      <c r="FOZ98" s="353"/>
      <c r="FPA98" s="353"/>
      <c r="FPB98" s="353"/>
      <c r="FPC98" s="353"/>
      <c r="FPD98" s="353"/>
      <c r="FPE98" s="353"/>
      <c r="FPF98" s="353"/>
      <c r="FPG98" s="353"/>
      <c r="FPH98" s="353"/>
      <c r="FPI98" s="353"/>
      <c r="FPJ98" s="353"/>
      <c r="FPK98" s="353"/>
      <c r="FPL98" s="353"/>
      <c r="FPM98" s="353"/>
      <c r="FPN98" s="353"/>
      <c r="FPO98" s="353"/>
      <c r="FPP98" s="353"/>
      <c r="FPQ98" s="353"/>
      <c r="FPR98" s="353"/>
      <c r="FPS98" s="353"/>
      <c r="FPT98" s="353"/>
      <c r="FPU98" s="353"/>
      <c r="FPV98" s="353"/>
      <c r="FPW98" s="353"/>
      <c r="FPX98" s="353"/>
      <c r="FPY98" s="353"/>
      <c r="FPZ98" s="353"/>
      <c r="FQA98" s="353"/>
      <c r="FQB98" s="353"/>
      <c r="FQC98" s="353"/>
      <c r="FQD98" s="353"/>
      <c r="FQE98" s="353"/>
      <c r="FQF98" s="353"/>
      <c r="FQG98" s="353"/>
      <c r="FQH98" s="353"/>
      <c r="FQI98" s="353"/>
      <c r="FQJ98" s="353"/>
      <c r="FQK98" s="353"/>
      <c r="FQL98" s="353"/>
      <c r="FQM98" s="353"/>
      <c r="FQN98" s="353"/>
      <c r="FQO98" s="353"/>
      <c r="FQP98" s="353"/>
      <c r="FQQ98" s="353"/>
      <c r="FQR98" s="353"/>
      <c r="FQS98" s="353"/>
      <c r="FQT98" s="353"/>
      <c r="FQU98" s="353"/>
      <c r="FQV98" s="353"/>
      <c r="FQW98" s="353"/>
      <c r="FQX98" s="353"/>
      <c r="FQY98" s="353"/>
      <c r="FQZ98" s="353"/>
      <c r="FRA98" s="353"/>
      <c r="FRB98" s="353"/>
      <c r="FRC98" s="353"/>
      <c r="FRD98" s="353"/>
      <c r="FRE98" s="353"/>
      <c r="FRF98" s="353"/>
      <c r="FRG98" s="353"/>
      <c r="FRH98" s="353"/>
      <c r="FRI98" s="353"/>
      <c r="FRJ98" s="353"/>
      <c r="FRK98" s="353"/>
      <c r="FRL98" s="353"/>
      <c r="FRM98" s="353"/>
      <c r="FRN98" s="353"/>
      <c r="FRO98" s="353"/>
      <c r="FRP98" s="353"/>
      <c r="FRQ98" s="353"/>
      <c r="FRR98" s="353"/>
      <c r="FRS98" s="353"/>
      <c r="FRT98" s="353"/>
      <c r="FRU98" s="353"/>
      <c r="FRV98" s="353"/>
      <c r="FRW98" s="353"/>
      <c r="FRX98" s="353"/>
      <c r="FRY98" s="353"/>
      <c r="FRZ98" s="353"/>
      <c r="FSA98" s="353"/>
      <c r="FSB98" s="353"/>
      <c r="FSC98" s="353"/>
      <c r="FSD98" s="353"/>
      <c r="FSE98" s="353"/>
      <c r="FSF98" s="353"/>
      <c r="FSG98" s="353"/>
      <c r="FSH98" s="353"/>
      <c r="FSI98" s="353"/>
      <c r="FSJ98" s="353"/>
      <c r="FSK98" s="353"/>
      <c r="FSL98" s="353"/>
      <c r="FSM98" s="353"/>
      <c r="FSN98" s="353"/>
      <c r="FSO98" s="353"/>
      <c r="FSP98" s="353"/>
      <c r="FSQ98" s="353"/>
      <c r="FSR98" s="353"/>
      <c r="FSS98" s="353"/>
      <c r="FST98" s="353"/>
      <c r="FSU98" s="353"/>
      <c r="FSV98" s="353"/>
      <c r="FSW98" s="353"/>
      <c r="FSX98" s="353"/>
      <c r="FSY98" s="353"/>
      <c r="FSZ98" s="353"/>
      <c r="FTA98" s="353"/>
      <c r="FTB98" s="353"/>
      <c r="FTC98" s="353"/>
      <c r="FTD98" s="353"/>
      <c r="FTE98" s="353"/>
      <c r="FTF98" s="353"/>
      <c r="FTG98" s="353"/>
      <c r="FTH98" s="353"/>
      <c r="FTI98" s="353"/>
      <c r="FTJ98" s="353"/>
      <c r="FTK98" s="353"/>
      <c r="FTL98" s="353"/>
      <c r="FTM98" s="353"/>
      <c r="FTN98" s="353"/>
      <c r="FTO98" s="353"/>
      <c r="FTP98" s="353"/>
      <c r="FTQ98" s="353"/>
      <c r="FTR98" s="353"/>
      <c r="FTS98" s="353"/>
      <c r="FTT98" s="353"/>
      <c r="FTU98" s="353"/>
      <c r="FTV98" s="353"/>
      <c r="FTW98" s="353"/>
      <c r="FTX98" s="353"/>
      <c r="FTY98" s="353"/>
      <c r="FTZ98" s="353"/>
      <c r="FUA98" s="353"/>
      <c r="FUB98" s="353"/>
      <c r="FUC98" s="353"/>
      <c r="FUD98" s="353"/>
      <c r="FUE98" s="353"/>
      <c r="FUF98" s="353"/>
      <c r="FUG98" s="353"/>
      <c r="FUH98" s="353"/>
      <c r="FUI98" s="353"/>
      <c r="FUJ98" s="353"/>
      <c r="FUK98" s="353"/>
      <c r="FUL98" s="353"/>
      <c r="FUM98" s="353"/>
      <c r="FUN98" s="353"/>
      <c r="FUO98" s="353"/>
      <c r="FUP98" s="353"/>
      <c r="FUQ98" s="353"/>
      <c r="FUR98" s="353"/>
      <c r="FUS98" s="353"/>
      <c r="FUT98" s="353"/>
      <c r="FUU98" s="353"/>
      <c r="FUV98" s="353"/>
      <c r="FUW98" s="353"/>
      <c r="FUX98" s="353"/>
      <c r="FUY98" s="353"/>
      <c r="FUZ98" s="353"/>
      <c r="FVA98" s="353"/>
      <c r="FVB98" s="353"/>
      <c r="FVC98" s="353"/>
      <c r="FVD98" s="353"/>
      <c r="FVE98" s="353"/>
      <c r="FVF98" s="353"/>
      <c r="FVG98" s="353"/>
      <c r="FVH98" s="353"/>
      <c r="FVI98" s="353"/>
      <c r="FVJ98" s="353"/>
      <c r="FVK98" s="353"/>
      <c r="FVL98" s="353"/>
      <c r="FVM98" s="353"/>
      <c r="FVN98" s="353"/>
      <c r="FVO98" s="353"/>
      <c r="FVP98" s="353"/>
      <c r="FVQ98" s="353"/>
      <c r="FVR98" s="353"/>
      <c r="FVS98" s="353"/>
      <c r="FVT98" s="353"/>
      <c r="FVU98" s="353"/>
      <c r="FVV98" s="353"/>
      <c r="FVW98" s="353"/>
      <c r="FVX98" s="353"/>
      <c r="FVY98" s="353"/>
      <c r="FVZ98" s="353"/>
      <c r="FWA98" s="353"/>
      <c r="FWB98" s="353"/>
      <c r="FWC98" s="353"/>
      <c r="FWD98" s="353"/>
      <c r="FWE98" s="353"/>
      <c r="FWF98" s="353"/>
      <c r="FWG98" s="353"/>
      <c r="FWH98" s="353"/>
      <c r="FWI98" s="353"/>
      <c r="FWJ98" s="353"/>
      <c r="FWK98" s="353"/>
      <c r="FWL98" s="353"/>
      <c r="FWM98" s="353"/>
      <c r="FWN98" s="353"/>
      <c r="FWO98" s="353"/>
      <c r="FWP98" s="353"/>
      <c r="FWQ98" s="353"/>
      <c r="FWR98" s="353"/>
      <c r="FWS98" s="353"/>
      <c r="FWT98" s="353"/>
      <c r="FWU98" s="353"/>
      <c r="FWV98" s="353"/>
      <c r="FWW98" s="353"/>
      <c r="FWX98" s="353"/>
      <c r="FWY98" s="353"/>
      <c r="FWZ98" s="353"/>
      <c r="FXA98" s="353"/>
      <c r="FXB98" s="353"/>
      <c r="FXC98" s="353"/>
      <c r="FXD98" s="353"/>
      <c r="FXE98" s="353"/>
      <c r="FXF98" s="353"/>
      <c r="FXG98" s="353"/>
      <c r="FXH98" s="353"/>
      <c r="FXI98" s="353"/>
      <c r="FXJ98" s="353"/>
      <c r="FXK98" s="353"/>
      <c r="FXL98" s="353"/>
      <c r="FXM98" s="353"/>
      <c r="FXN98" s="353"/>
      <c r="FXO98" s="353"/>
      <c r="FXP98" s="353"/>
      <c r="FXQ98" s="353"/>
      <c r="FXR98" s="353"/>
      <c r="FXS98" s="353"/>
      <c r="FXT98" s="353"/>
      <c r="FXU98" s="353"/>
      <c r="FXV98" s="353"/>
      <c r="FXW98" s="353"/>
      <c r="FXX98" s="353"/>
      <c r="FXY98" s="353"/>
      <c r="FXZ98" s="353"/>
      <c r="FYA98" s="353"/>
      <c r="FYB98" s="353"/>
      <c r="FYC98" s="353"/>
      <c r="FYD98" s="353"/>
      <c r="FYE98" s="353"/>
      <c r="FYF98" s="353"/>
      <c r="FYG98" s="353"/>
      <c r="FYH98" s="353"/>
      <c r="FYI98" s="353"/>
      <c r="FYJ98" s="353"/>
      <c r="FYK98" s="353"/>
      <c r="FYL98" s="353"/>
      <c r="FYM98" s="353"/>
      <c r="FYN98" s="353"/>
      <c r="FYO98" s="353"/>
      <c r="FYP98" s="353"/>
      <c r="FYQ98" s="353"/>
      <c r="FYR98" s="353"/>
      <c r="FYS98" s="353"/>
      <c r="FYT98" s="353"/>
      <c r="FYU98" s="353"/>
      <c r="FYV98" s="353"/>
      <c r="FYW98" s="353"/>
      <c r="FYX98" s="353"/>
      <c r="FYY98" s="353"/>
      <c r="FYZ98" s="353"/>
      <c r="FZA98" s="353"/>
      <c r="FZB98" s="353"/>
      <c r="FZC98" s="353"/>
      <c r="FZD98" s="353"/>
      <c r="FZE98" s="353"/>
      <c r="FZF98" s="353"/>
      <c r="FZG98" s="353"/>
      <c r="FZH98" s="353"/>
      <c r="FZI98" s="353"/>
      <c r="FZJ98" s="353"/>
      <c r="FZK98" s="353"/>
      <c r="FZL98" s="353"/>
      <c r="FZM98" s="353"/>
      <c r="FZN98" s="353"/>
      <c r="FZO98" s="353"/>
      <c r="FZP98" s="353"/>
      <c r="FZQ98" s="353"/>
      <c r="FZR98" s="353"/>
      <c r="FZS98" s="353"/>
      <c r="FZT98" s="353"/>
      <c r="FZU98" s="353"/>
      <c r="FZV98" s="353"/>
      <c r="FZW98" s="353"/>
      <c r="FZX98" s="353"/>
      <c r="FZY98" s="353"/>
      <c r="FZZ98" s="353"/>
      <c r="GAA98" s="353"/>
      <c r="GAB98" s="353"/>
      <c r="GAC98" s="353"/>
      <c r="GAD98" s="353"/>
      <c r="GAE98" s="353"/>
      <c r="GAF98" s="353"/>
      <c r="GAG98" s="353"/>
      <c r="GAH98" s="353"/>
      <c r="GAI98" s="353"/>
      <c r="GAJ98" s="353"/>
      <c r="GAK98" s="353"/>
      <c r="GAL98" s="353"/>
      <c r="GAM98" s="353"/>
      <c r="GAN98" s="353"/>
      <c r="GAO98" s="353"/>
      <c r="GAP98" s="353"/>
      <c r="GAQ98" s="353"/>
      <c r="GAR98" s="353"/>
      <c r="GAS98" s="353"/>
      <c r="GAT98" s="353"/>
      <c r="GAU98" s="353"/>
      <c r="GAV98" s="353"/>
      <c r="GAW98" s="353"/>
      <c r="GAX98" s="353"/>
      <c r="GAY98" s="353"/>
      <c r="GAZ98" s="353"/>
      <c r="GBA98" s="353"/>
      <c r="GBB98" s="353"/>
      <c r="GBC98" s="353"/>
      <c r="GBD98" s="353"/>
      <c r="GBE98" s="353"/>
      <c r="GBF98" s="353"/>
      <c r="GBG98" s="353"/>
      <c r="GBH98" s="353"/>
      <c r="GBI98" s="353"/>
      <c r="GBJ98" s="353"/>
      <c r="GBK98" s="353"/>
      <c r="GBL98" s="353"/>
      <c r="GBM98" s="353"/>
      <c r="GBN98" s="353"/>
      <c r="GBO98" s="353"/>
      <c r="GBP98" s="353"/>
      <c r="GBQ98" s="353"/>
      <c r="GBR98" s="353"/>
      <c r="GBS98" s="353"/>
      <c r="GBT98" s="353"/>
      <c r="GBU98" s="353"/>
      <c r="GBV98" s="353"/>
      <c r="GBW98" s="353"/>
      <c r="GBX98" s="353"/>
      <c r="GBY98" s="353"/>
      <c r="GBZ98" s="353"/>
      <c r="GCA98" s="353"/>
      <c r="GCB98" s="353"/>
      <c r="GCC98" s="353"/>
      <c r="GCD98" s="353"/>
      <c r="GCE98" s="353"/>
      <c r="GCF98" s="353"/>
      <c r="GCG98" s="353"/>
      <c r="GCH98" s="353"/>
      <c r="GCI98" s="353"/>
      <c r="GCJ98" s="353"/>
      <c r="GCK98" s="353"/>
      <c r="GCL98" s="353"/>
      <c r="GCM98" s="353"/>
      <c r="GCN98" s="353"/>
      <c r="GCO98" s="353"/>
      <c r="GCP98" s="353"/>
      <c r="GCQ98" s="353"/>
      <c r="GCR98" s="353"/>
      <c r="GCS98" s="353"/>
      <c r="GCT98" s="353"/>
      <c r="GCU98" s="353"/>
      <c r="GCV98" s="353"/>
      <c r="GCW98" s="353"/>
      <c r="GCX98" s="353"/>
      <c r="GCY98" s="353"/>
      <c r="GCZ98" s="353"/>
      <c r="GDA98" s="353"/>
      <c r="GDB98" s="353"/>
      <c r="GDC98" s="353"/>
      <c r="GDD98" s="353"/>
      <c r="GDE98" s="353"/>
      <c r="GDF98" s="353"/>
      <c r="GDG98" s="353"/>
      <c r="GDH98" s="353"/>
      <c r="GDI98" s="353"/>
      <c r="GDJ98" s="353"/>
      <c r="GDK98" s="353"/>
      <c r="GDL98" s="353"/>
      <c r="GDM98" s="353"/>
      <c r="GDN98" s="353"/>
      <c r="GDO98" s="353"/>
      <c r="GDP98" s="353"/>
      <c r="GDQ98" s="353"/>
      <c r="GDR98" s="353"/>
      <c r="GDS98" s="353"/>
      <c r="GDT98" s="353"/>
      <c r="GDU98" s="353"/>
      <c r="GDV98" s="353"/>
      <c r="GDW98" s="353"/>
      <c r="GDX98" s="353"/>
      <c r="GDY98" s="353"/>
      <c r="GDZ98" s="353"/>
      <c r="GEA98" s="353"/>
      <c r="GEB98" s="353"/>
      <c r="GEC98" s="353"/>
      <c r="GED98" s="353"/>
      <c r="GEE98" s="353"/>
      <c r="GEF98" s="353"/>
      <c r="GEG98" s="353"/>
      <c r="GEH98" s="353"/>
      <c r="GEI98" s="353"/>
      <c r="GEJ98" s="353"/>
      <c r="GEK98" s="353"/>
      <c r="GEL98" s="353"/>
      <c r="GEM98" s="353"/>
      <c r="GEN98" s="353"/>
      <c r="GEO98" s="353"/>
      <c r="GEP98" s="353"/>
      <c r="GEQ98" s="353"/>
      <c r="GER98" s="353"/>
      <c r="GES98" s="353"/>
      <c r="GET98" s="353"/>
      <c r="GEU98" s="353"/>
      <c r="GEV98" s="353"/>
      <c r="GEW98" s="353"/>
      <c r="GEX98" s="353"/>
      <c r="GEY98" s="353"/>
      <c r="GEZ98" s="353"/>
      <c r="GFA98" s="353"/>
      <c r="GFB98" s="353"/>
      <c r="GFC98" s="353"/>
      <c r="GFD98" s="353"/>
      <c r="GFE98" s="353"/>
      <c r="GFF98" s="353"/>
      <c r="GFG98" s="353"/>
      <c r="GFH98" s="353"/>
      <c r="GFI98" s="353"/>
      <c r="GFJ98" s="353"/>
      <c r="GFK98" s="353"/>
      <c r="GFL98" s="353"/>
      <c r="GFM98" s="353"/>
      <c r="GFN98" s="353"/>
      <c r="GFO98" s="353"/>
      <c r="GFP98" s="353"/>
      <c r="GFQ98" s="353"/>
      <c r="GFR98" s="353"/>
      <c r="GFS98" s="353"/>
      <c r="GFT98" s="353"/>
      <c r="GFU98" s="353"/>
      <c r="GFV98" s="353"/>
      <c r="GFW98" s="353"/>
      <c r="GFX98" s="353"/>
      <c r="GFY98" s="353"/>
      <c r="GFZ98" s="353"/>
      <c r="GGA98" s="353"/>
      <c r="GGB98" s="353"/>
      <c r="GGC98" s="353"/>
      <c r="GGD98" s="353"/>
      <c r="GGE98" s="353"/>
      <c r="GGF98" s="353"/>
      <c r="GGG98" s="353"/>
      <c r="GGH98" s="353"/>
      <c r="GGI98" s="353"/>
      <c r="GGJ98" s="353"/>
      <c r="GGK98" s="353"/>
      <c r="GGL98" s="353"/>
      <c r="GGM98" s="353"/>
      <c r="GGN98" s="353"/>
      <c r="GGO98" s="353"/>
      <c r="GGP98" s="353"/>
      <c r="GGQ98" s="353"/>
      <c r="GGR98" s="353"/>
      <c r="GGS98" s="353"/>
      <c r="GGT98" s="353"/>
      <c r="GGU98" s="353"/>
      <c r="GGV98" s="353"/>
      <c r="GGW98" s="353"/>
      <c r="GGX98" s="353"/>
      <c r="GGY98" s="353"/>
      <c r="GGZ98" s="353"/>
      <c r="GHA98" s="353"/>
      <c r="GHB98" s="353"/>
      <c r="GHC98" s="353"/>
      <c r="GHD98" s="353"/>
      <c r="GHE98" s="353"/>
      <c r="GHF98" s="353"/>
      <c r="GHG98" s="353"/>
      <c r="GHH98" s="353"/>
      <c r="GHI98" s="353"/>
      <c r="GHJ98" s="353"/>
      <c r="GHK98" s="353"/>
      <c r="GHL98" s="353"/>
      <c r="GHM98" s="353"/>
      <c r="GHN98" s="353"/>
      <c r="GHO98" s="353"/>
      <c r="GHP98" s="353"/>
      <c r="GHQ98" s="353"/>
      <c r="GHR98" s="353"/>
      <c r="GHS98" s="353"/>
      <c r="GHT98" s="353"/>
      <c r="GHU98" s="353"/>
      <c r="GHV98" s="353"/>
      <c r="GHW98" s="353"/>
      <c r="GHX98" s="353"/>
      <c r="GHY98" s="353"/>
      <c r="GHZ98" s="353"/>
      <c r="GIA98" s="353"/>
      <c r="GIB98" s="353"/>
      <c r="GIC98" s="353"/>
      <c r="GID98" s="353"/>
      <c r="GIE98" s="353"/>
      <c r="GIF98" s="353"/>
      <c r="GIG98" s="353"/>
      <c r="GIH98" s="353"/>
      <c r="GII98" s="353"/>
      <c r="GIJ98" s="353"/>
      <c r="GIK98" s="353"/>
      <c r="GIL98" s="353"/>
      <c r="GIM98" s="353"/>
      <c r="GIN98" s="353"/>
      <c r="GIO98" s="353"/>
      <c r="GIP98" s="353"/>
      <c r="GIQ98" s="353"/>
      <c r="GIR98" s="353"/>
      <c r="GIS98" s="353"/>
      <c r="GIT98" s="353"/>
      <c r="GIU98" s="353"/>
      <c r="GIV98" s="353"/>
      <c r="GIW98" s="353"/>
      <c r="GIX98" s="353"/>
      <c r="GIY98" s="353"/>
      <c r="GIZ98" s="353"/>
      <c r="GJA98" s="353"/>
      <c r="GJB98" s="353"/>
      <c r="GJC98" s="353"/>
      <c r="GJD98" s="353"/>
      <c r="GJE98" s="353"/>
      <c r="GJF98" s="353"/>
      <c r="GJG98" s="353"/>
      <c r="GJH98" s="353"/>
      <c r="GJI98" s="353"/>
      <c r="GJJ98" s="353"/>
      <c r="GJK98" s="353"/>
      <c r="GJL98" s="353"/>
      <c r="GJM98" s="353"/>
      <c r="GJN98" s="353"/>
      <c r="GJO98" s="353"/>
      <c r="GJP98" s="353"/>
      <c r="GJQ98" s="353"/>
      <c r="GJR98" s="353"/>
      <c r="GJS98" s="353"/>
      <c r="GJT98" s="353"/>
      <c r="GJU98" s="353"/>
      <c r="GJV98" s="353"/>
      <c r="GJW98" s="353"/>
      <c r="GJX98" s="353"/>
      <c r="GJY98" s="353"/>
      <c r="GJZ98" s="353"/>
      <c r="GKA98" s="353"/>
      <c r="GKB98" s="353"/>
      <c r="GKC98" s="353"/>
      <c r="GKD98" s="353"/>
      <c r="GKE98" s="353"/>
      <c r="GKF98" s="353"/>
      <c r="GKG98" s="353"/>
      <c r="GKH98" s="353"/>
      <c r="GKI98" s="353"/>
      <c r="GKJ98" s="353"/>
      <c r="GKK98" s="353"/>
      <c r="GKL98" s="353"/>
      <c r="GKM98" s="353"/>
      <c r="GKN98" s="353"/>
      <c r="GKO98" s="353"/>
      <c r="GKP98" s="353"/>
      <c r="GKQ98" s="353"/>
      <c r="GKR98" s="353"/>
      <c r="GKS98" s="353"/>
      <c r="GKT98" s="353"/>
      <c r="GKU98" s="353"/>
      <c r="GKV98" s="353"/>
      <c r="GKW98" s="353"/>
      <c r="GKX98" s="353"/>
      <c r="GKY98" s="353"/>
      <c r="GKZ98" s="353"/>
      <c r="GLA98" s="353"/>
      <c r="GLB98" s="353"/>
      <c r="GLC98" s="353"/>
      <c r="GLD98" s="353"/>
      <c r="GLE98" s="353"/>
      <c r="GLF98" s="353"/>
      <c r="GLG98" s="353"/>
      <c r="GLH98" s="353"/>
      <c r="GLI98" s="353"/>
      <c r="GLJ98" s="353"/>
      <c r="GLK98" s="353"/>
      <c r="GLL98" s="353"/>
      <c r="GLM98" s="353"/>
      <c r="GLN98" s="353"/>
      <c r="GLO98" s="353"/>
      <c r="GLP98" s="353"/>
      <c r="GLQ98" s="353"/>
      <c r="GLR98" s="353"/>
      <c r="GLS98" s="353"/>
      <c r="GLT98" s="353"/>
      <c r="GLU98" s="353"/>
      <c r="GLV98" s="353"/>
      <c r="GLW98" s="353"/>
      <c r="GLX98" s="353"/>
      <c r="GLY98" s="353"/>
      <c r="GLZ98" s="353"/>
      <c r="GMA98" s="353"/>
      <c r="GMB98" s="353"/>
      <c r="GMC98" s="353"/>
      <c r="GMD98" s="353"/>
      <c r="GME98" s="353"/>
      <c r="GMF98" s="353"/>
      <c r="GMG98" s="353"/>
      <c r="GMH98" s="353"/>
      <c r="GMI98" s="353"/>
      <c r="GMJ98" s="353"/>
      <c r="GMK98" s="353"/>
      <c r="GML98" s="353"/>
      <c r="GMM98" s="353"/>
      <c r="GMN98" s="353"/>
      <c r="GMO98" s="353"/>
      <c r="GMP98" s="353"/>
      <c r="GMQ98" s="353"/>
      <c r="GMR98" s="353"/>
      <c r="GMS98" s="353"/>
      <c r="GMT98" s="353"/>
      <c r="GMU98" s="353"/>
      <c r="GMV98" s="353"/>
      <c r="GMW98" s="353"/>
      <c r="GMX98" s="353"/>
      <c r="GMY98" s="353"/>
      <c r="GMZ98" s="353"/>
      <c r="GNA98" s="353"/>
      <c r="GNB98" s="353"/>
      <c r="GNC98" s="353"/>
      <c r="GND98" s="353"/>
      <c r="GNE98" s="353"/>
      <c r="GNF98" s="353"/>
      <c r="GNG98" s="353"/>
      <c r="GNH98" s="353"/>
      <c r="GNI98" s="353"/>
      <c r="GNJ98" s="353"/>
      <c r="GNK98" s="353"/>
      <c r="GNL98" s="353"/>
      <c r="GNM98" s="353"/>
      <c r="GNN98" s="353"/>
      <c r="GNO98" s="353"/>
      <c r="GNP98" s="353"/>
      <c r="GNQ98" s="353"/>
      <c r="GNR98" s="353"/>
      <c r="GNS98" s="353"/>
      <c r="GNT98" s="353"/>
      <c r="GNU98" s="353"/>
      <c r="GNV98" s="353"/>
      <c r="GNW98" s="353"/>
      <c r="GNX98" s="353"/>
      <c r="GNY98" s="353"/>
      <c r="GNZ98" s="353"/>
      <c r="GOA98" s="353"/>
      <c r="GOB98" s="353"/>
      <c r="GOC98" s="353"/>
      <c r="GOD98" s="353"/>
      <c r="GOE98" s="353"/>
      <c r="GOF98" s="353"/>
      <c r="GOG98" s="353"/>
      <c r="GOH98" s="353"/>
      <c r="GOI98" s="353"/>
      <c r="GOJ98" s="353"/>
      <c r="GOK98" s="353"/>
      <c r="GOL98" s="353"/>
      <c r="GOM98" s="353"/>
      <c r="GON98" s="353"/>
      <c r="GOO98" s="353"/>
      <c r="GOP98" s="353"/>
      <c r="GOQ98" s="353"/>
      <c r="GOR98" s="353"/>
      <c r="GOS98" s="353"/>
      <c r="GOT98" s="353"/>
      <c r="GOU98" s="353"/>
      <c r="GOV98" s="353"/>
      <c r="GOW98" s="353"/>
      <c r="GOX98" s="353"/>
      <c r="GOY98" s="353"/>
      <c r="GOZ98" s="353"/>
      <c r="GPA98" s="353"/>
      <c r="GPB98" s="353"/>
      <c r="GPC98" s="353"/>
      <c r="GPD98" s="353"/>
      <c r="GPE98" s="353"/>
      <c r="GPF98" s="353"/>
      <c r="GPG98" s="353"/>
      <c r="GPH98" s="353"/>
      <c r="GPI98" s="353"/>
      <c r="GPJ98" s="353"/>
      <c r="GPK98" s="353"/>
      <c r="GPL98" s="353"/>
      <c r="GPM98" s="353"/>
      <c r="GPN98" s="353"/>
      <c r="GPO98" s="353"/>
      <c r="GPP98" s="353"/>
      <c r="GPQ98" s="353"/>
      <c r="GPR98" s="353"/>
      <c r="GPS98" s="353"/>
      <c r="GPT98" s="353"/>
      <c r="GPU98" s="353"/>
      <c r="GPV98" s="353"/>
      <c r="GPW98" s="353"/>
      <c r="GPX98" s="353"/>
      <c r="GPY98" s="353"/>
      <c r="GPZ98" s="353"/>
      <c r="GQA98" s="353"/>
      <c r="GQB98" s="353"/>
      <c r="GQC98" s="353"/>
      <c r="GQD98" s="353"/>
      <c r="GQE98" s="353"/>
      <c r="GQF98" s="353"/>
      <c r="GQG98" s="353"/>
      <c r="GQH98" s="353"/>
      <c r="GQI98" s="353"/>
      <c r="GQJ98" s="353"/>
      <c r="GQK98" s="353"/>
      <c r="GQL98" s="353"/>
      <c r="GQM98" s="353"/>
      <c r="GQN98" s="353"/>
      <c r="GQO98" s="353"/>
      <c r="GQP98" s="353"/>
      <c r="GQQ98" s="353"/>
      <c r="GQR98" s="353"/>
      <c r="GQS98" s="353"/>
      <c r="GQT98" s="353"/>
      <c r="GQU98" s="353"/>
      <c r="GQV98" s="353"/>
      <c r="GQW98" s="353"/>
      <c r="GQX98" s="353"/>
      <c r="GQY98" s="353"/>
      <c r="GQZ98" s="353"/>
      <c r="GRA98" s="353"/>
      <c r="GRB98" s="353"/>
      <c r="GRC98" s="353"/>
      <c r="GRD98" s="353"/>
      <c r="GRE98" s="353"/>
      <c r="GRF98" s="353"/>
      <c r="GRG98" s="353"/>
      <c r="GRH98" s="353"/>
      <c r="GRI98" s="353"/>
      <c r="GRJ98" s="353"/>
      <c r="GRK98" s="353"/>
      <c r="GRL98" s="353"/>
      <c r="GRM98" s="353"/>
      <c r="GRN98" s="353"/>
      <c r="GRO98" s="353"/>
      <c r="GRP98" s="353"/>
      <c r="GRQ98" s="353"/>
      <c r="GRR98" s="353"/>
      <c r="GRS98" s="353"/>
      <c r="GRT98" s="353"/>
      <c r="GRU98" s="353"/>
      <c r="GRV98" s="353"/>
      <c r="GRW98" s="353"/>
      <c r="GRX98" s="353"/>
      <c r="GRY98" s="353"/>
      <c r="GRZ98" s="353"/>
      <c r="GSA98" s="353"/>
      <c r="GSB98" s="353"/>
      <c r="GSC98" s="353"/>
      <c r="GSD98" s="353"/>
      <c r="GSE98" s="353"/>
      <c r="GSF98" s="353"/>
      <c r="GSG98" s="353"/>
      <c r="GSH98" s="353"/>
      <c r="GSI98" s="353"/>
      <c r="GSJ98" s="353"/>
      <c r="GSK98" s="353"/>
      <c r="GSL98" s="353"/>
      <c r="GSM98" s="353"/>
      <c r="GSN98" s="353"/>
      <c r="GSO98" s="353"/>
      <c r="GSP98" s="353"/>
      <c r="GSQ98" s="353"/>
      <c r="GSR98" s="353"/>
      <c r="GSS98" s="353"/>
      <c r="GST98" s="353"/>
      <c r="GSU98" s="353"/>
      <c r="GSV98" s="353"/>
      <c r="GSW98" s="353"/>
      <c r="GSX98" s="353"/>
      <c r="GSY98" s="353"/>
      <c r="GSZ98" s="353"/>
      <c r="GTA98" s="353"/>
      <c r="GTB98" s="353"/>
      <c r="GTC98" s="353"/>
      <c r="GTD98" s="353"/>
      <c r="GTE98" s="353"/>
      <c r="GTF98" s="353"/>
      <c r="GTG98" s="353"/>
      <c r="GTH98" s="353"/>
      <c r="GTI98" s="353"/>
      <c r="GTJ98" s="353"/>
      <c r="GTK98" s="353"/>
      <c r="GTL98" s="353"/>
      <c r="GTM98" s="353"/>
      <c r="GTN98" s="353"/>
      <c r="GTO98" s="353"/>
      <c r="GTP98" s="353"/>
      <c r="GTQ98" s="353"/>
      <c r="GTR98" s="353"/>
      <c r="GTS98" s="353"/>
      <c r="GTT98" s="353"/>
      <c r="GTU98" s="353"/>
      <c r="GTV98" s="353"/>
      <c r="GTW98" s="353"/>
      <c r="GTX98" s="353"/>
      <c r="GTY98" s="353"/>
      <c r="GTZ98" s="353"/>
      <c r="GUA98" s="353"/>
      <c r="GUB98" s="353"/>
      <c r="GUC98" s="353"/>
      <c r="GUD98" s="353"/>
      <c r="GUE98" s="353"/>
      <c r="GUF98" s="353"/>
      <c r="GUG98" s="353"/>
      <c r="GUH98" s="353"/>
      <c r="GUI98" s="353"/>
      <c r="GUJ98" s="353"/>
      <c r="GUK98" s="353"/>
      <c r="GUL98" s="353"/>
      <c r="GUM98" s="353"/>
      <c r="GUN98" s="353"/>
      <c r="GUO98" s="353"/>
      <c r="GUP98" s="353"/>
      <c r="GUQ98" s="353"/>
      <c r="GUR98" s="353"/>
      <c r="GUS98" s="353"/>
      <c r="GUT98" s="353"/>
      <c r="GUU98" s="353"/>
      <c r="GUV98" s="353"/>
      <c r="GUW98" s="353"/>
      <c r="GUX98" s="353"/>
      <c r="GUY98" s="353"/>
      <c r="GUZ98" s="353"/>
      <c r="GVA98" s="353"/>
      <c r="GVB98" s="353"/>
      <c r="GVC98" s="353"/>
      <c r="GVD98" s="353"/>
      <c r="GVE98" s="353"/>
      <c r="GVF98" s="353"/>
      <c r="GVG98" s="353"/>
      <c r="GVH98" s="353"/>
      <c r="GVI98" s="353"/>
      <c r="GVJ98" s="353"/>
      <c r="GVK98" s="353"/>
      <c r="GVL98" s="353"/>
      <c r="GVM98" s="353"/>
      <c r="GVN98" s="353"/>
      <c r="GVO98" s="353"/>
      <c r="GVP98" s="353"/>
      <c r="GVQ98" s="353"/>
      <c r="GVR98" s="353"/>
      <c r="GVS98" s="353"/>
      <c r="GVT98" s="353"/>
      <c r="GVU98" s="353"/>
      <c r="GVV98" s="353"/>
      <c r="GVW98" s="353"/>
      <c r="GVX98" s="353"/>
      <c r="GVY98" s="353"/>
      <c r="GVZ98" s="353"/>
      <c r="GWA98" s="353"/>
      <c r="GWB98" s="353"/>
      <c r="GWC98" s="353"/>
      <c r="GWD98" s="353"/>
      <c r="GWE98" s="353"/>
      <c r="GWF98" s="353"/>
      <c r="GWG98" s="353"/>
      <c r="GWH98" s="353"/>
      <c r="GWI98" s="353"/>
      <c r="GWJ98" s="353"/>
      <c r="GWK98" s="353"/>
      <c r="GWL98" s="353"/>
      <c r="GWM98" s="353"/>
      <c r="GWN98" s="353"/>
      <c r="GWO98" s="353"/>
      <c r="GWP98" s="353"/>
      <c r="GWQ98" s="353"/>
      <c r="GWR98" s="353"/>
      <c r="GWS98" s="353"/>
      <c r="GWT98" s="353"/>
      <c r="GWU98" s="353"/>
      <c r="GWV98" s="353"/>
      <c r="GWW98" s="353"/>
      <c r="GWX98" s="353"/>
      <c r="GWY98" s="353"/>
      <c r="GWZ98" s="353"/>
      <c r="GXA98" s="353"/>
      <c r="GXB98" s="353"/>
      <c r="GXC98" s="353"/>
      <c r="GXD98" s="353"/>
      <c r="GXE98" s="353"/>
      <c r="GXF98" s="353"/>
      <c r="GXG98" s="353"/>
      <c r="GXH98" s="353"/>
      <c r="GXI98" s="353"/>
      <c r="GXJ98" s="353"/>
      <c r="GXK98" s="353"/>
      <c r="GXL98" s="353"/>
      <c r="GXM98" s="353"/>
      <c r="GXN98" s="353"/>
      <c r="GXO98" s="353"/>
      <c r="GXP98" s="353"/>
      <c r="GXQ98" s="353"/>
      <c r="GXR98" s="353"/>
      <c r="GXS98" s="353"/>
      <c r="GXT98" s="353"/>
      <c r="GXU98" s="353"/>
      <c r="GXV98" s="353"/>
      <c r="GXW98" s="353"/>
      <c r="GXX98" s="353"/>
      <c r="GXY98" s="353"/>
      <c r="GXZ98" s="353"/>
      <c r="GYA98" s="353"/>
      <c r="GYB98" s="353"/>
      <c r="GYC98" s="353"/>
      <c r="GYD98" s="353"/>
      <c r="GYE98" s="353"/>
      <c r="GYF98" s="353"/>
      <c r="GYG98" s="353"/>
      <c r="GYH98" s="353"/>
      <c r="GYI98" s="353"/>
      <c r="GYJ98" s="353"/>
      <c r="GYK98" s="353"/>
      <c r="GYL98" s="353"/>
      <c r="GYM98" s="353"/>
      <c r="GYN98" s="353"/>
      <c r="GYO98" s="353"/>
      <c r="GYP98" s="353"/>
      <c r="GYQ98" s="353"/>
      <c r="GYR98" s="353"/>
      <c r="GYS98" s="353"/>
      <c r="GYT98" s="353"/>
      <c r="GYU98" s="353"/>
      <c r="GYV98" s="353"/>
      <c r="GYW98" s="353"/>
      <c r="GYX98" s="353"/>
      <c r="GYY98" s="353"/>
      <c r="GYZ98" s="353"/>
      <c r="GZA98" s="353"/>
      <c r="GZB98" s="353"/>
      <c r="GZC98" s="353"/>
      <c r="GZD98" s="353"/>
      <c r="GZE98" s="353"/>
      <c r="GZF98" s="353"/>
      <c r="GZG98" s="353"/>
      <c r="GZH98" s="353"/>
      <c r="GZI98" s="353"/>
      <c r="GZJ98" s="353"/>
      <c r="GZK98" s="353"/>
      <c r="GZL98" s="353"/>
      <c r="GZM98" s="353"/>
      <c r="GZN98" s="353"/>
      <c r="GZO98" s="353"/>
      <c r="GZP98" s="353"/>
      <c r="GZQ98" s="353"/>
      <c r="GZR98" s="353"/>
      <c r="GZS98" s="353"/>
      <c r="GZT98" s="353"/>
      <c r="GZU98" s="353"/>
      <c r="GZV98" s="353"/>
      <c r="GZW98" s="353"/>
      <c r="GZX98" s="353"/>
      <c r="GZY98" s="353"/>
      <c r="GZZ98" s="353"/>
      <c r="HAA98" s="353"/>
      <c r="HAB98" s="353"/>
      <c r="HAC98" s="353"/>
      <c r="HAD98" s="353"/>
      <c r="HAE98" s="353"/>
      <c r="HAF98" s="353"/>
      <c r="HAG98" s="353"/>
      <c r="HAH98" s="353"/>
      <c r="HAI98" s="353"/>
      <c r="HAJ98" s="353"/>
      <c r="HAK98" s="353"/>
      <c r="HAL98" s="353"/>
      <c r="HAM98" s="353"/>
      <c r="HAN98" s="353"/>
      <c r="HAO98" s="353"/>
      <c r="HAP98" s="353"/>
      <c r="HAQ98" s="353"/>
      <c r="HAR98" s="353"/>
      <c r="HAS98" s="353"/>
      <c r="HAT98" s="353"/>
      <c r="HAU98" s="353"/>
      <c r="HAV98" s="353"/>
      <c r="HAW98" s="353"/>
      <c r="HAX98" s="353"/>
      <c r="HAY98" s="353"/>
      <c r="HAZ98" s="353"/>
      <c r="HBA98" s="353"/>
      <c r="HBB98" s="353"/>
      <c r="HBC98" s="353"/>
      <c r="HBD98" s="353"/>
      <c r="HBE98" s="353"/>
      <c r="HBF98" s="353"/>
      <c r="HBG98" s="353"/>
      <c r="HBH98" s="353"/>
      <c r="HBI98" s="353"/>
      <c r="HBJ98" s="353"/>
      <c r="HBK98" s="353"/>
      <c r="HBL98" s="353"/>
      <c r="HBM98" s="353"/>
      <c r="HBN98" s="353"/>
      <c r="HBO98" s="353"/>
      <c r="HBP98" s="353"/>
      <c r="HBQ98" s="353"/>
      <c r="HBR98" s="353"/>
      <c r="HBS98" s="353"/>
      <c r="HBT98" s="353"/>
      <c r="HBU98" s="353"/>
      <c r="HBV98" s="353"/>
      <c r="HBW98" s="353"/>
      <c r="HBX98" s="353"/>
      <c r="HBY98" s="353"/>
      <c r="HBZ98" s="353"/>
      <c r="HCA98" s="353"/>
      <c r="HCB98" s="353"/>
      <c r="HCC98" s="353"/>
      <c r="HCD98" s="353"/>
      <c r="HCE98" s="353"/>
      <c r="HCF98" s="353"/>
      <c r="HCG98" s="353"/>
      <c r="HCH98" s="353"/>
      <c r="HCI98" s="353"/>
      <c r="HCJ98" s="353"/>
      <c r="HCK98" s="353"/>
      <c r="HCL98" s="353"/>
      <c r="HCM98" s="353"/>
      <c r="HCN98" s="353"/>
      <c r="HCO98" s="353"/>
      <c r="HCP98" s="353"/>
      <c r="HCQ98" s="353"/>
      <c r="HCR98" s="353"/>
      <c r="HCS98" s="353"/>
      <c r="HCT98" s="353"/>
      <c r="HCU98" s="353"/>
      <c r="HCV98" s="353"/>
      <c r="HCW98" s="353"/>
      <c r="HCX98" s="353"/>
      <c r="HCY98" s="353"/>
      <c r="HCZ98" s="353"/>
      <c r="HDA98" s="353"/>
      <c r="HDB98" s="353"/>
      <c r="HDC98" s="353"/>
      <c r="HDD98" s="353"/>
      <c r="HDE98" s="353"/>
      <c r="HDF98" s="353"/>
      <c r="HDG98" s="353"/>
      <c r="HDH98" s="353"/>
      <c r="HDI98" s="353"/>
      <c r="HDJ98" s="353"/>
      <c r="HDK98" s="353"/>
      <c r="HDL98" s="353"/>
      <c r="HDM98" s="353"/>
      <c r="HDN98" s="353"/>
      <c r="HDO98" s="353"/>
      <c r="HDP98" s="353"/>
      <c r="HDQ98" s="353"/>
      <c r="HDR98" s="353"/>
      <c r="HDS98" s="353"/>
      <c r="HDT98" s="353"/>
      <c r="HDU98" s="353"/>
      <c r="HDV98" s="353"/>
      <c r="HDW98" s="353"/>
      <c r="HDX98" s="353"/>
      <c r="HDY98" s="353"/>
      <c r="HDZ98" s="353"/>
      <c r="HEA98" s="353"/>
      <c r="HEB98" s="353"/>
      <c r="HEC98" s="353"/>
      <c r="HED98" s="353"/>
      <c r="HEE98" s="353"/>
      <c r="HEF98" s="353"/>
      <c r="HEG98" s="353"/>
      <c r="HEH98" s="353"/>
      <c r="HEI98" s="353"/>
      <c r="HEJ98" s="353"/>
      <c r="HEK98" s="353"/>
      <c r="HEL98" s="353"/>
      <c r="HEM98" s="353"/>
      <c r="HEN98" s="353"/>
      <c r="HEO98" s="353"/>
      <c r="HEP98" s="353"/>
      <c r="HEQ98" s="353"/>
      <c r="HER98" s="353"/>
      <c r="HES98" s="353"/>
      <c r="HET98" s="353"/>
      <c r="HEU98" s="353"/>
      <c r="HEV98" s="353"/>
      <c r="HEW98" s="353"/>
      <c r="HEX98" s="353"/>
      <c r="HEY98" s="353"/>
      <c r="HEZ98" s="353"/>
      <c r="HFA98" s="353"/>
      <c r="HFB98" s="353"/>
      <c r="HFC98" s="353"/>
      <c r="HFD98" s="353"/>
      <c r="HFE98" s="353"/>
      <c r="HFF98" s="353"/>
      <c r="HFG98" s="353"/>
      <c r="HFH98" s="353"/>
      <c r="HFI98" s="353"/>
      <c r="HFJ98" s="353"/>
      <c r="HFK98" s="353"/>
      <c r="HFL98" s="353"/>
      <c r="HFM98" s="353"/>
      <c r="HFN98" s="353"/>
      <c r="HFO98" s="353"/>
      <c r="HFP98" s="353"/>
      <c r="HFQ98" s="353"/>
      <c r="HFR98" s="353"/>
      <c r="HFS98" s="353"/>
      <c r="HFT98" s="353"/>
      <c r="HFU98" s="353"/>
      <c r="HFV98" s="353"/>
      <c r="HFW98" s="353"/>
      <c r="HFX98" s="353"/>
      <c r="HFY98" s="353"/>
      <c r="HFZ98" s="353"/>
      <c r="HGA98" s="353"/>
      <c r="HGB98" s="353"/>
      <c r="HGC98" s="353"/>
      <c r="HGD98" s="353"/>
      <c r="HGE98" s="353"/>
      <c r="HGF98" s="353"/>
      <c r="HGG98" s="353"/>
      <c r="HGH98" s="353"/>
      <c r="HGI98" s="353"/>
      <c r="HGJ98" s="353"/>
      <c r="HGK98" s="353"/>
      <c r="HGL98" s="353"/>
      <c r="HGM98" s="353"/>
      <c r="HGN98" s="353"/>
      <c r="HGO98" s="353"/>
      <c r="HGP98" s="353"/>
      <c r="HGQ98" s="353"/>
      <c r="HGR98" s="353"/>
      <c r="HGS98" s="353"/>
      <c r="HGT98" s="353"/>
      <c r="HGU98" s="353"/>
      <c r="HGV98" s="353"/>
      <c r="HGW98" s="353"/>
      <c r="HGX98" s="353"/>
      <c r="HGY98" s="353"/>
      <c r="HGZ98" s="353"/>
      <c r="HHA98" s="353"/>
      <c r="HHB98" s="353"/>
      <c r="HHC98" s="353"/>
      <c r="HHD98" s="353"/>
      <c r="HHE98" s="353"/>
      <c r="HHF98" s="353"/>
      <c r="HHG98" s="353"/>
      <c r="HHH98" s="353"/>
      <c r="HHI98" s="353"/>
      <c r="HHJ98" s="353"/>
      <c r="HHK98" s="353"/>
      <c r="HHL98" s="353"/>
      <c r="HHM98" s="353"/>
      <c r="HHN98" s="353"/>
      <c r="HHO98" s="353"/>
      <c r="HHP98" s="353"/>
      <c r="HHQ98" s="353"/>
      <c r="HHR98" s="353"/>
      <c r="HHS98" s="353"/>
      <c r="HHT98" s="353"/>
      <c r="HHU98" s="353"/>
      <c r="HHV98" s="353"/>
      <c r="HHW98" s="353"/>
      <c r="HHX98" s="353"/>
      <c r="HHY98" s="353"/>
      <c r="HHZ98" s="353"/>
      <c r="HIA98" s="353"/>
      <c r="HIB98" s="353"/>
      <c r="HIC98" s="353"/>
      <c r="HID98" s="353"/>
      <c r="HIE98" s="353"/>
      <c r="HIF98" s="353"/>
      <c r="HIG98" s="353"/>
      <c r="HIH98" s="353"/>
      <c r="HII98" s="353"/>
      <c r="HIJ98" s="353"/>
      <c r="HIK98" s="353"/>
      <c r="HIL98" s="353"/>
      <c r="HIM98" s="353"/>
      <c r="HIN98" s="353"/>
      <c r="HIO98" s="353"/>
      <c r="HIP98" s="353"/>
      <c r="HIQ98" s="353"/>
      <c r="HIR98" s="353"/>
      <c r="HIS98" s="353"/>
      <c r="HIT98" s="353"/>
      <c r="HIU98" s="353"/>
      <c r="HIV98" s="353"/>
      <c r="HIW98" s="353"/>
      <c r="HIX98" s="353"/>
      <c r="HIY98" s="353"/>
      <c r="HIZ98" s="353"/>
      <c r="HJA98" s="353"/>
      <c r="HJB98" s="353"/>
      <c r="HJC98" s="353"/>
      <c r="HJD98" s="353"/>
      <c r="HJE98" s="353"/>
      <c r="HJF98" s="353"/>
      <c r="HJG98" s="353"/>
      <c r="HJH98" s="353"/>
      <c r="HJI98" s="353"/>
      <c r="HJJ98" s="353"/>
      <c r="HJK98" s="353"/>
      <c r="HJL98" s="353"/>
      <c r="HJM98" s="353"/>
      <c r="HJN98" s="353"/>
      <c r="HJO98" s="353"/>
      <c r="HJP98" s="353"/>
      <c r="HJQ98" s="353"/>
      <c r="HJR98" s="353"/>
      <c r="HJS98" s="353"/>
      <c r="HJT98" s="353"/>
      <c r="HJU98" s="353"/>
      <c r="HJV98" s="353"/>
      <c r="HJW98" s="353"/>
      <c r="HJX98" s="353"/>
      <c r="HJY98" s="353"/>
      <c r="HJZ98" s="353"/>
      <c r="HKA98" s="353"/>
      <c r="HKB98" s="353"/>
      <c r="HKC98" s="353"/>
      <c r="HKD98" s="353"/>
      <c r="HKE98" s="353"/>
      <c r="HKF98" s="353"/>
      <c r="HKG98" s="353"/>
      <c r="HKH98" s="353"/>
      <c r="HKI98" s="353"/>
      <c r="HKJ98" s="353"/>
      <c r="HKK98" s="353"/>
      <c r="HKL98" s="353"/>
      <c r="HKM98" s="353"/>
      <c r="HKN98" s="353"/>
      <c r="HKO98" s="353"/>
      <c r="HKP98" s="353"/>
      <c r="HKQ98" s="353"/>
      <c r="HKR98" s="353"/>
      <c r="HKS98" s="353"/>
      <c r="HKT98" s="353"/>
      <c r="HKU98" s="353"/>
      <c r="HKV98" s="353"/>
      <c r="HKW98" s="353"/>
      <c r="HKX98" s="353"/>
      <c r="HKY98" s="353"/>
      <c r="HKZ98" s="353"/>
      <c r="HLA98" s="353"/>
      <c r="HLB98" s="353"/>
      <c r="HLC98" s="353"/>
      <c r="HLD98" s="353"/>
      <c r="HLE98" s="353"/>
      <c r="HLF98" s="353"/>
      <c r="HLG98" s="353"/>
      <c r="HLH98" s="353"/>
      <c r="HLI98" s="353"/>
      <c r="HLJ98" s="353"/>
      <c r="HLK98" s="353"/>
      <c r="HLL98" s="353"/>
      <c r="HLM98" s="353"/>
      <c r="HLN98" s="353"/>
      <c r="HLO98" s="353"/>
      <c r="HLP98" s="353"/>
      <c r="HLQ98" s="353"/>
      <c r="HLR98" s="353"/>
      <c r="HLS98" s="353"/>
      <c r="HLT98" s="353"/>
      <c r="HLU98" s="353"/>
      <c r="HLV98" s="353"/>
      <c r="HLW98" s="353"/>
      <c r="HLX98" s="353"/>
      <c r="HLY98" s="353"/>
      <c r="HLZ98" s="353"/>
      <c r="HMA98" s="353"/>
      <c r="HMB98" s="353"/>
      <c r="HMC98" s="353"/>
      <c r="HMD98" s="353"/>
      <c r="HME98" s="353"/>
      <c r="HMF98" s="353"/>
      <c r="HMG98" s="353"/>
      <c r="HMH98" s="353"/>
      <c r="HMI98" s="353"/>
      <c r="HMJ98" s="353"/>
      <c r="HMK98" s="353"/>
      <c r="HML98" s="353"/>
      <c r="HMM98" s="353"/>
      <c r="HMN98" s="353"/>
      <c r="HMO98" s="353"/>
      <c r="HMP98" s="353"/>
      <c r="HMQ98" s="353"/>
      <c r="HMR98" s="353"/>
      <c r="HMS98" s="353"/>
      <c r="HMT98" s="353"/>
      <c r="HMU98" s="353"/>
      <c r="HMV98" s="353"/>
      <c r="HMW98" s="353"/>
      <c r="HMX98" s="353"/>
      <c r="HMY98" s="353"/>
      <c r="HMZ98" s="353"/>
      <c r="HNA98" s="353"/>
      <c r="HNB98" s="353"/>
      <c r="HNC98" s="353"/>
      <c r="HND98" s="353"/>
      <c r="HNE98" s="353"/>
      <c r="HNF98" s="353"/>
      <c r="HNG98" s="353"/>
      <c r="HNH98" s="353"/>
      <c r="HNI98" s="353"/>
      <c r="HNJ98" s="353"/>
      <c r="HNK98" s="353"/>
      <c r="HNL98" s="353"/>
      <c r="HNM98" s="353"/>
      <c r="HNN98" s="353"/>
      <c r="HNO98" s="353"/>
      <c r="HNP98" s="353"/>
      <c r="HNQ98" s="353"/>
      <c r="HNR98" s="353"/>
      <c r="HNS98" s="353"/>
      <c r="HNT98" s="353"/>
      <c r="HNU98" s="353"/>
      <c r="HNV98" s="353"/>
      <c r="HNW98" s="353"/>
      <c r="HNX98" s="353"/>
      <c r="HNY98" s="353"/>
      <c r="HNZ98" s="353"/>
      <c r="HOA98" s="353"/>
      <c r="HOB98" s="353"/>
      <c r="HOC98" s="353"/>
      <c r="HOD98" s="353"/>
      <c r="HOE98" s="353"/>
      <c r="HOF98" s="353"/>
      <c r="HOG98" s="353"/>
      <c r="HOH98" s="353"/>
      <c r="HOI98" s="353"/>
      <c r="HOJ98" s="353"/>
      <c r="HOK98" s="353"/>
      <c r="HOL98" s="353"/>
      <c r="HOM98" s="353"/>
      <c r="HON98" s="353"/>
      <c r="HOO98" s="353"/>
      <c r="HOP98" s="353"/>
      <c r="HOQ98" s="353"/>
      <c r="HOR98" s="353"/>
      <c r="HOS98" s="353"/>
      <c r="HOT98" s="353"/>
      <c r="HOU98" s="353"/>
      <c r="HOV98" s="353"/>
      <c r="HOW98" s="353"/>
      <c r="HOX98" s="353"/>
      <c r="HOY98" s="353"/>
      <c r="HOZ98" s="353"/>
      <c r="HPA98" s="353"/>
      <c r="HPB98" s="353"/>
      <c r="HPC98" s="353"/>
      <c r="HPD98" s="353"/>
      <c r="HPE98" s="353"/>
      <c r="HPF98" s="353"/>
      <c r="HPG98" s="353"/>
      <c r="HPH98" s="353"/>
      <c r="HPI98" s="353"/>
      <c r="HPJ98" s="353"/>
      <c r="HPK98" s="353"/>
      <c r="HPL98" s="353"/>
      <c r="HPM98" s="353"/>
      <c r="HPN98" s="353"/>
      <c r="HPO98" s="353"/>
      <c r="HPP98" s="353"/>
      <c r="HPQ98" s="353"/>
      <c r="HPR98" s="353"/>
      <c r="HPS98" s="353"/>
      <c r="HPT98" s="353"/>
      <c r="HPU98" s="353"/>
      <c r="HPV98" s="353"/>
      <c r="HPW98" s="353"/>
      <c r="HPX98" s="353"/>
      <c r="HPY98" s="353"/>
      <c r="HPZ98" s="353"/>
      <c r="HQA98" s="353"/>
      <c r="HQB98" s="353"/>
      <c r="HQC98" s="353"/>
      <c r="HQD98" s="353"/>
      <c r="HQE98" s="353"/>
      <c r="HQF98" s="353"/>
      <c r="HQG98" s="353"/>
      <c r="HQH98" s="353"/>
      <c r="HQI98" s="353"/>
      <c r="HQJ98" s="353"/>
      <c r="HQK98" s="353"/>
      <c r="HQL98" s="353"/>
      <c r="HQM98" s="353"/>
      <c r="HQN98" s="353"/>
      <c r="HQO98" s="353"/>
      <c r="HQP98" s="353"/>
      <c r="HQQ98" s="353"/>
      <c r="HQR98" s="353"/>
      <c r="HQS98" s="353"/>
      <c r="HQT98" s="353"/>
      <c r="HQU98" s="353"/>
      <c r="HQV98" s="353"/>
      <c r="HQW98" s="353"/>
      <c r="HQX98" s="353"/>
      <c r="HQY98" s="353"/>
      <c r="HQZ98" s="353"/>
      <c r="HRA98" s="353"/>
      <c r="HRB98" s="353"/>
      <c r="HRC98" s="353"/>
      <c r="HRD98" s="353"/>
      <c r="HRE98" s="353"/>
      <c r="HRF98" s="353"/>
      <c r="HRG98" s="353"/>
      <c r="HRH98" s="353"/>
      <c r="HRI98" s="353"/>
      <c r="HRJ98" s="353"/>
      <c r="HRK98" s="353"/>
      <c r="HRL98" s="353"/>
      <c r="HRM98" s="353"/>
      <c r="HRN98" s="353"/>
      <c r="HRO98" s="353"/>
      <c r="HRP98" s="353"/>
      <c r="HRQ98" s="353"/>
      <c r="HRR98" s="353"/>
      <c r="HRS98" s="353"/>
      <c r="HRT98" s="353"/>
      <c r="HRU98" s="353"/>
      <c r="HRV98" s="353"/>
      <c r="HRW98" s="353"/>
      <c r="HRX98" s="353"/>
      <c r="HRY98" s="353"/>
      <c r="HRZ98" s="353"/>
      <c r="HSA98" s="353"/>
      <c r="HSB98" s="353"/>
      <c r="HSC98" s="353"/>
      <c r="HSD98" s="353"/>
      <c r="HSE98" s="353"/>
      <c r="HSF98" s="353"/>
      <c r="HSG98" s="353"/>
      <c r="HSH98" s="353"/>
      <c r="HSI98" s="353"/>
      <c r="HSJ98" s="353"/>
      <c r="HSK98" s="353"/>
      <c r="HSL98" s="353"/>
      <c r="HSM98" s="353"/>
      <c r="HSN98" s="353"/>
      <c r="HSO98" s="353"/>
      <c r="HSP98" s="353"/>
      <c r="HSQ98" s="353"/>
      <c r="HSR98" s="353"/>
      <c r="HSS98" s="353"/>
      <c r="HST98" s="353"/>
      <c r="HSU98" s="353"/>
      <c r="HSV98" s="353"/>
      <c r="HSW98" s="353"/>
      <c r="HSX98" s="353"/>
      <c r="HSY98" s="353"/>
      <c r="HSZ98" s="353"/>
      <c r="HTA98" s="353"/>
      <c r="HTB98" s="353"/>
      <c r="HTC98" s="353"/>
      <c r="HTD98" s="353"/>
      <c r="HTE98" s="353"/>
      <c r="HTF98" s="353"/>
      <c r="HTG98" s="353"/>
      <c r="HTH98" s="353"/>
      <c r="HTI98" s="353"/>
      <c r="HTJ98" s="353"/>
      <c r="HTK98" s="353"/>
      <c r="HTL98" s="353"/>
      <c r="HTM98" s="353"/>
      <c r="HTN98" s="353"/>
      <c r="HTO98" s="353"/>
      <c r="HTP98" s="353"/>
      <c r="HTQ98" s="353"/>
      <c r="HTR98" s="353"/>
      <c r="HTS98" s="353"/>
      <c r="HTT98" s="353"/>
      <c r="HTU98" s="353"/>
      <c r="HTV98" s="353"/>
      <c r="HTW98" s="353"/>
      <c r="HTX98" s="353"/>
      <c r="HTY98" s="353"/>
      <c r="HTZ98" s="353"/>
      <c r="HUA98" s="353"/>
      <c r="HUB98" s="353"/>
      <c r="HUC98" s="353"/>
      <c r="HUD98" s="353"/>
      <c r="HUE98" s="353"/>
      <c r="HUF98" s="353"/>
      <c r="HUG98" s="353"/>
      <c r="HUH98" s="353"/>
      <c r="HUI98" s="353"/>
      <c r="HUJ98" s="353"/>
      <c r="HUK98" s="353"/>
      <c r="HUL98" s="353"/>
      <c r="HUM98" s="353"/>
      <c r="HUN98" s="353"/>
      <c r="HUO98" s="353"/>
      <c r="HUP98" s="353"/>
      <c r="HUQ98" s="353"/>
      <c r="HUR98" s="353"/>
      <c r="HUS98" s="353"/>
      <c r="HUT98" s="353"/>
      <c r="HUU98" s="353"/>
      <c r="HUV98" s="353"/>
      <c r="HUW98" s="353"/>
      <c r="HUX98" s="353"/>
      <c r="HUY98" s="353"/>
      <c r="HUZ98" s="353"/>
      <c r="HVA98" s="353"/>
      <c r="HVB98" s="353"/>
      <c r="HVC98" s="353"/>
      <c r="HVD98" s="353"/>
      <c r="HVE98" s="353"/>
      <c r="HVF98" s="353"/>
      <c r="HVG98" s="353"/>
      <c r="HVH98" s="353"/>
      <c r="HVI98" s="353"/>
      <c r="HVJ98" s="353"/>
      <c r="HVK98" s="353"/>
      <c r="HVL98" s="353"/>
      <c r="HVM98" s="353"/>
      <c r="HVN98" s="353"/>
      <c r="HVO98" s="353"/>
      <c r="HVP98" s="353"/>
      <c r="HVQ98" s="353"/>
      <c r="HVR98" s="353"/>
      <c r="HVS98" s="353"/>
      <c r="HVT98" s="353"/>
      <c r="HVU98" s="353"/>
      <c r="HVV98" s="353"/>
      <c r="HVW98" s="353"/>
      <c r="HVX98" s="353"/>
      <c r="HVY98" s="353"/>
      <c r="HVZ98" s="353"/>
      <c r="HWA98" s="353"/>
      <c r="HWB98" s="353"/>
      <c r="HWC98" s="353"/>
      <c r="HWD98" s="353"/>
      <c r="HWE98" s="353"/>
      <c r="HWF98" s="353"/>
      <c r="HWG98" s="353"/>
      <c r="HWH98" s="353"/>
      <c r="HWI98" s="353"/>
      <c r="HWJ98" s="353"/>
      <c r="HWK98" s="353"/>
      <c r="HWL98" s="353"/>
      <c r="HWM98" s="353"/>
      <c r="HWN98" s="353"/>
      <c r="HWO98" s="353"/>
      <c r="HWP98" s="353"/>
      <c r="HWQ98" s="353"/>
      <c r="HWR98" s="353"/>
      <c r="HWS98" s="353"/>
      <c r="HWT98" s="353"/>
      <c r="HWU98" s="353"/>
      <c r="HWV98" s="353"/>
      <c r="HWW98" s="353"/>
      <c r="HWX98" s="353"/>
      <c r="HWY98" s="353"/>
      <c r="HWZ98" s="353"/>
      <c r="HXA98" s="353"/>
      <c r="HXB98" s="353"/>
      <c r="HXC98" s="353"/>
      <c r="HXD98" s="353"/>
      <c r="HXE98" s="353"/>
      <c r="HXF98" s="353"/>
      <c r="HXG98" s="353"/>
      <c r="HXH98" s="353"/>
      <c r="HXI98" s="353"/>
      <c r="HXJ98" s="353"/>
      <c r="HXK98" s="353"/>
      <c r="HXL98" s="353"/>
      <c r="HXM98" s="353"/>
      <c r="HXN98" s="353"/>
      <c r="HXO98" s="353"/>
      <c r="HXP98" s="353"/>
      <c r="HXQ98" s="353"/>
      <c r="HXR98" s="353"/>
      <c r="HXS98" s="353"/>
      <c r="HXT98" s="353"/>
      <c r="HXU98" s="353"/>
      <c r="HXV98" s="353"/>
      <c r="HXW98" s="353"/>
      <c r="HXX98" s="353"/>
      <c r="HXY98" s="353"/>
      <c r="HXZ98" s="353"/>
      <c r="HYA98" s="353"/>
      <c r="HYB98" s="353"/>
      <c r="HYC98" s="353"/>
      <c r="HYD98" s="353"/>
      <c r="HYE98" s="353"/>
      <c r="HYF98" s="353"/>
      <c r="HYG98" s="353"/>
      <c r="HYH98" s="353"/>
      <c r="HYI98" s="353"/>
      <c r="HYJ98" s="353"/>
      <c r="HYK98" s="353"/>
      <c r="HYL98" s="353"/>
      <c r="HYM98" s="353"/>
      <c r="HYN98" s="353"/>
      <c r="HYO98" s="353"/>
      <c r="HYP98" s="353"/>
      <c r="HYQ98" s="353"/>
      <c r="HYR98" s="353"/>
      <c r="HYS98" s="353"/>
      <c r="HYT98" s="353"/>
      <c r="HYU98" s="353"/>
      <c r="HYV98" s="353"/>
      <c r="HYW98" s="353"/>
      <c r="HYX98" s="353"/>
      <c r="HYY98" s="353"/>
      <c r="HYZ98" s="353"/>
      <c r="HZA98" s="353"/>
      <c r="HZB98" s="353"/>
      <c r="HZC98" s="353"/>
      <c r="HZD98" s="353"/>
      <c r="HZE98" s="353"/>
      <c r="HZF98" s="353"/>
      <c r="HZG98" s="353"/>
      <c r="HZH98" s="353"/>
      <c r="HZI98" s="353"/>
      <c r="HZJ98" s="353"/>
      <c r="HZK98" s="353"/>
      <c r="HZL98" s="353"/>
      <c r="HZM98" s="353"/>
      <c r="HZN98" s="353"/>
      <c r="HZO98" s="353"/>
      <c r="HZP98" s="353"/>
      <c r="HZQ98" s="353"/>
      <c r="HZR98" s="353"/>
      <c r="HZS98" s="353"/>
      <c r="HZT98" s="353"/>
      <c r="HZU98" s="353"/>
      <c r="HZV98" s="353"/>
      <c r="HZW98" s="353"/>
      <c r="HZX98" s="353"/>
      <c r="HZY98" s="353"/>
      <c r="HZZ98" s="353"/>
      <c r="IAA98" s="353"/>
      <c r="IAB98" s="353"/>
      <c r="IAC98" s="353"/>
      <c r="IAD98" s="353"/>
      <c r="IAE98" s="353"/>
      <c r="IAF98" s="353"/>
      <c r="IAG98" s="353"/>
      <c r="IAH98" s="353"/>
      <c r="IAI98" s="353"/>
      <c r="IAJ98" s="353"/>
      <c r="IAK98" s="353"/>
      <c r="IAL98" s="353"/>
      <c r="IAM98" s="353"/>
      <c r="IAN98" s="353"/>
      <c r="IAO98" s="353"/>
      <c r="IAP98" s="353"/>
      <c r="IAQ98" s="353"/>
      <c r="IAR98" s="353"/>
      <c r="IAS98" s="353"/>
      <c r="IAT98" s="353"/>
      <c r="IAU98" s="353"/>
      <c r="IAV98" s="353"/>
      <c r="IAW98" s="353"/>
      <c r="IAX98" s="353"/>
      <c r="IAY98" s="353"/>
      <c r="IAZ98" s="353"/>
      <c r="IBA98" s="353"/>
      <c r="IBB98" s="353"/>
      <c r="IBC98" s="353"/>
      <c r="IBD98" s="353"/>
      <c r="IBE98" s="353"/>
      <c r="IBF98" s="353"/>
      <c r="IBG98" s="353"/>
      <c r="IBH98" s="353"/>
      <c r="IBI98" s="353"/>
      <c r="IBJ98" s="353"/>
      <c r="IBK98" s="353"/>
      <c r="IBL98" s="353"/>
      <c r="IBM98" s="353"/>
      <c r="IBN98" s="353"/>
      <c r="IBO98" s="353"/>
      <c r="IBP98" s="353"/>
      <c r="IBQ98" s="353"/>
      <c r="IBR98" s="353"/>
      <c r="IBS98" s="353"/>
      <c r="IBT98" s="353"/>
      <c r="IBU98" s="353"/>
      <c r="IBV98" s="353"/>
      <c r="IBW98" s="353"/>
      <c r="IBX98" s="353"/>
      <c r="IBY98" s="353"/>
      <c r="IBZ98" s="353"/>
      <c r="ICA98" s="353"/>
      <c r="ICB98" s="353"/>
      <c r="ICC98" s="353"/>
      <c r="ICD98" s="353"/>
      <c r="ICE98" s="353"/>
      <c r="ICF98" s="353"/>
      <c r="ICG98" s="353"/>
      <c r="ICH98" s="353"/>
      <c r="ICI98" s="353"/>
      <c r="ICJ98" s="353"/>
      <c r="ICK98" s="353"/>
      <c r="ICL98" s="353"/>
      <c r="ICM98" s="353"/>
      <c r="ICN98" s="353"/>
      <c r="ICO98" s="353"/>
      <c r="ICP98" s="353"/>
      <c r="ICQ98" s="353"/>
      <c r="ICR98" s="353"/>
      <c r="ICS98" s="353"/>
      <c r="ICT98" s="353"/>
      <c r="ICU98" s="353"/>
      <c r="ICV98" s="353"/>
      <c r="ICW98" s="353"/>
      <c r="ICX98" s="353"/>
      <c r="ICY98" s="353"/>
      <c r="ICZ98" s="353"/>
      <c r="IDA98" s="353"/>
      <c r="IDB98" s="353"/>
      <c r="IDC98" s="353"/>
      <c r="IDD98" s="353"/>
      <c r="IDE98" s="353"/>
      <c r="IDF98" s="353"/>
      <c r="IDG98" s="353"/>
      <c r="IDH98" s="353"/>
      <c r="IDI98" s="353"/>
      <c r="IDJ98" s="353"/>
      <c r="IDK98" s="353"/>
      <c r="IDL98" s="353"/>
      <c r="IDM98" s="353"/>
      <c r="IDN98" s="353"/>
      <c r="IDO98" s="353"/>
      <c r="IDP98" s="353"/>
      <c r="IDQ98" s="353"/>
      <c r="IDR98" s="353"/>
      <c r="IDS98" s="353"/>
      <c r="IDT98" s="353"/>
      <c r="IDU98" s="353"/>
      <c r="IDV98" s="353"/>
      <c r="IDW98" s="353"/>
      <c r="IDX98" s="353"/>
      <c r="IDY98" s="353"/>
      <c r="IDZ98" s="353"/>
      <c r="IEA98" s="353"/>
      <c r="IEB98" s="353"/>
      <c r="IEC98" s="353"/>
      <c r="IED98" s="353"/>
      <c r="IEE98" s="353"/>
      <c r="IEF98" s="353"/>
      <c r="IEG98" s="353"/>
      <c r="IEH98" s="353"/>
      <c r="IEI98" s="353"/>
      <c r="IEJ98" s="353"/>
      <c r="IEK98" s="353"/>
      <c r="IEL98" s="353"/>
      <c r="IEM98" s="353"/>
      <c r="IEN98" s="353"/>
      <c r="IEO98" s="353"/>
      <c r="IEP98" s="353"/>
      <c r="IEQ98" s="353"/>
      <c r="IER98" s="353"/>
      <c r="IES98" s="353"/>
      <c r="IET98" s="353"/>
      <c r="IEU98" s="353"/>
      <c r="IEV98" s="353"/>
      <c r="IEW98" s="353"/>
      <c r="IEX98" s="353"/>
      <c r="IEY98" s="353"/>
      <c r="IEZ98" s="353"/>
      <c r="IFA98" s="353"/>
      <c r="IFB98" s="353"/>
      <c r="IFC98" s="353"/>
      <c r="IFD98" s="353"/>
      <c r="IFE98" s="353"/>
      <c r="IFF98" s="353"/>
      <c r="IFG98" s="353"/>
      <c r="IFH98" s="353"/>
      <c r="IFI98" s="353"/>
      <c r="IFJ98" s="353"/>
      <c r="IFK98" s="353"/>
      <c r="IFL98" s="353"/>
      <c r="IFM98" s="353"/>
      <c r="IFN98" s="353"/>
      <c r="IFO98" s="353"/>
      <c r="IFP98" s="353"/>
      <c r="IFQ98" s="353"/>
      <c r="IFR98" s="353"/>
      <c r="IFS98" s="353"/>
      <c r="IFT98" s="353"/>
      <c r="IFU98" s="353"/>
      <c r="IFV98" s="353"/>
      <c r="IFW98" s="353"/>
      <c r="IFX98" s="353"/>
      <c r="IFY98" s="353"/>
      <c r="IFZ98" s="353"/>
      <c r="IGA98" s="353"/>
      <c r="IGB98" s="353"/>
      <c r="IGC98" s="353"/>
      <c r="IGD98" s="353"/>
      <c r="IGE98" s="353"/>
      <c r="IGF98" s="353"/>
      <c r="IGG98" s="353"/>
      <c r="IGH98" s="353"/>
      <c r="IGI98" s="353"/>
      <c r="IGJ98" s="353"/>
      <c r="IGK98" s="353"/>
      <c r="IGL98" s="353"/>
      <c r="IGM98" s="353"/>
      <c r="IGN98" s="353"/>
      <c r="IGO98" s="353"/>
      <c r="IGP98" s="353"/>
      <c r="IGQ98" s="353"/>
      <c r="IGR98" s="353"/>
      <c r="IGS98" s="353"/>
      <c r="IGT98" s="353"/>
      <c r="IGU98" s="353"/>
      <c r="IGV98" s="353"/>
      <c r="IGW98" s="353"/>
      <c r="IGX98" s="353"/>
      <c r="IGY98" s="353"/>
      <c r="IGZ98" s="353"/>
      <c r="IHA98" s="353"/>
      <c r="IHB98" s="353"/>
      <c r="IHC98" s="353"/>
      <c r="IHD98" s="353"/>
      <c r="IHE98" s="353"/>
      <c r="IHF98" s="353"/>
      <c r="IHG98" s="353"/>
      <c r="IHH98" s="353"/>
      <c r="IHI98" s="353"/>
      <c r="IHJ98" s="353"/>
      <c r="IHK98" s="353"/>
      <c r="IHL98" s="353"/>
      <c r="IHM98" s="353"/>
      <c r="IHN98" s="353"/>
      <c r="IHO98" s="353"/>
      <c r="IHP98" s="353"/>
      <c r="IHQ98" s="353"/>
      <c r="IHR98" s="353"/>
      <c r="IHS98" s="353"/>
      <c r="IHT98" s="353"/>
      <c r="IHU98" s="353"/>
      <c r="IHV98" s="353"/>
      <c r="IHW98" s="353"/>
      <c r="IHX98" s="353"/>
      <c r="IHY98" s="353"/>
      <c r="IHZ98" s="353"/>
      <c r="IIA98" s="353"/>
      <c r="IIB98" s="353"/>
      <c r="IIC98" s="353"/>
      <c r="IID98" s="353"/>
      <c r="IIE98" s="353"/>
      <c r="IIF98" s="353"/>
      <c r="IIG98" s="353"/>
      <c r="IIH98" s="353"/>
      <c r="III98" s="353"/>
      <c r="IIJ98" s="353"/>
      <c r="IIK98" s="353"/>
      <c r="IIL98" s="353"/>
      <c r="IIM98" s="353"/>
      <c r="IIN98" s="353"/>
      <c r="IIO98" s="353"/>
      <c r="IIP98" s="353"/>
      <c r="IIQ98" s="353"/>
      <c r="IIR98" s="353"/>
      <c r="IIS98" s="353"/>
      <c r="IIT98" s="353"/>
      <c r="IIU98" s="353"/>
      <c r="IIV98" s="353"/>
      <c r="IIW98" s="353"/>
      <c r="IIX98" s="353"/>
      <c r="IIY98" s="353"/>
      <c r="IIZ98" s="353"/>
      <c r="IJA98" s="353"/>
      <c r="IJB98" s="353"/>
      <c r="IJC98" s="353"/>
      <c r="IJD98" s="353"/>
      <c r="IJE98" s="353"/>
      <c r="IJF98" s="353"/>
      <c r="IJG98" s="353"/>
      <c r="IJH98" s="353"/>
      <c r="IJI98" s="353"/>
      <c r="IJJ98" s="353"/>
      <c r="IJK98" s="353"/>
      <c r="IJL98" s="353"/>
      <c r="IJM98" s="353"/>
      <c r="IJN98" s="353"/>
      <c r="IJO98" s="353"/>
      <c r="IJP98" s="353"/>
      <c r="IJQ98" s="353"/>
      <c r="IJR98" s="353"/>
      <c r="IJS98" s="353"/>
      <c r="IJT98" s="353"/>
      <c r="IJU98" s="353"/>
      <c r="IJV98" s="353"/>
      <c r="IJW98" s="353"/>
      <c r="IJX98" s="353"/>
      <c r="IJY98" s="353"/>
      <c r="IJZ98" s="353"/>
      <c r="IKA98" s="353"/>
      <c r="IKB98" s="353"/>
      <c r="IKC98" s="353"/>
      <c r="IKD98" s="353"/>
      <c r="IKE98" s="353"/>
      <c r="IKF98" s="353"/>
      <c r="IKG98" s="353"/>
      <c r="IKH98" s="353"/>
      <c r="IKI98" s="353"/>
      <c r="IKJ98" s="353"/>
      <c r="IKK98" s="353"/>
      <c r="IKL98" s="353"/>
      <c r="IKM98" s="353"/>
      <c r="IKN98" s="353"/>
      <c r="IKO98" s="353"/>
      <c r="IKP98" s="353"/>
      <c r="IKQ98" s="353"/>
      <c r="IKR98" s="353"/>
      <c r="IKS98" s="353"/>
      <c r="IKT98" s="353"/>
      <c r="IKU98" s="353"/>
      <c r="IKV98" s="353"/>
      <c r="IKW98" s="353"/>
      <c r="IKX98" s="353"/>
      <c r="IKY98" s="353"/>
      <c r="IKZ98" s="353"/>
      <c r="ILA98" s="353"/>
      <c r="ILB98" s="353"/>
      <c r="ILC98" s="353"/>
      <c r="ILD98" s="353"/>
      <c r="ILE98" s="353"/>
      <c r="ILF98" s="353"/>
      <c r="ILG98" s="353"/>
      <c r="ILH98" s="353"/>
      <c r="ILI98" s="353"/>
      <c r="ILJ98" s="353"/>
      <c r="ILK98" s="353"/>
      <c r="ILL98" s="353"/>
      <c r="ILM98" s="353"/>
      <c r="ILN98" s="353"/>
      <c r="ILO98" s="353"/>
      <c r="ILP98" s="353"/>
      <c r="ILQ98" s="353"/>
      <c r="ILR98" s="353"/>
      <c r="ILS98" s="353"/>
      <c r="ILT98" s="353"/>
      <c r="ILU98" s="353"/>
      <c r="ILV98" s="353"/>
      <c r="ILW98" s="353"/>
      <c r="ILX98" s="353"/>
      <c r="ILY98" s="353"/>
      <c r="ILZ98" s="353"/>
      <c r="IMA98" s="353"/>
      <c r="IMB98" s="353"/>
      <c r="IMC98" s="353"/>
      <c r="IMD98" s="353"/>
      <c r="IME98" s="353"/>
      <c r="IMF98" s="353"/>
      <c r="IMG98" s="353"/>
      <c r="IMH98" s="353"/>
      <c r="IMI98" s="353"/>
      <c r="IMJ98" s="353"/>
      <c r="IMK98" s="353"/>
      <c r="IML98" s="353"/>
      <c r="IMM98" s="353"/>
      <c r="IMN98" s="353"/>
      <c r="IMO98" s="353"/>
      <c r="IMP98" s="353"/>
      <c r="IMQ98" s="353"/>
      <c r="IMR98" s="353"/>
      <c r="IMS98" s="353"/>
      <c r="IMT98" s="353"/>
      <c r="IMU98" s="353"/>
      <c r="IMV98" s="353"/>
      <c r="IMW98" s="353"/>
      <c r="IMX98" s="353"/>
      <c r="IMY98" s="353"/>
      <c r="IMZ98" s="353"/>
      <c r="INA98" s="353"/>
      <c r="INB98" s="353"/>
      <c r="INC98" s="353"/>
      <c r="IND98" s="353"/>
      <c r="INE98" s="353"/>
      <c r="INF98" s="353"/>
      <c r="ING98" s="353"/>
      <c r="INH98" s="353"/>
      <c r="INI98" s="353"/>
      <c r="INJ98" s="353"/>
      <c r="INK98" s="353"/>
      <c r="INL98" s="353"/>
      <c r="INM98" s="353"/>
      <c r="INN98" s="353"/>
      <c r="INO98" s="353"/>
      <c r="INP98" s="353"/>
      <c r="INQ98" s="353"/>
      <c r="INR98" s="353"/>
      <c r="INS98" s="353"/>
      <c r="INT98" s="353"/>
      <c r="INU98" s="353"/>
      <c r="INV98" s="353"/>
      <c r="INW98" s="353"/>
      <c r="INX98" s="353"/>
      <c r="INY98" s="353"/>
      <c r="INZ98" s="353"/>
      <c r="IOA98" s="353"/>
      <c r="IOB98" s="353"/>
      <c r="IOC98" s="353"/>
      <c r="IOD98" s="353"/>
      <c r="IOE98" s="353"/>
      <c r="IOF98" s="353"/>
      <c r="IOG98" s="353"/>
      <c r="IOH98" s="353"/>
      <c r="IOI98" s="353"/>
      <c r="IOJ98" s="353"/>
      <c r="IOK98" s="353"/>
      <c r="IOL98" s="353"/>
      <c r="IOM98" s="353"/>
      <c r="ION98" s="353"/>
      <c r="IOO98" s="353"/>
      <c r="IOP98" s="353"/>
      <c r="IOQ98" s="353"/>
      <c r="IOR98" s="353"/>
      <c r="IOS98" s="353"/>
      <c r="IOT98" s="353"/>
      <c r="IOU98" s="353"/>
      <c r="IOV98" s="353"/>
      <c r="IOW98" s="353"/>
      <c r="IOX98" s="353"/>
      <c r="IOY98" s="353"/>
      <c r="IOZ98" s="353"/>
      <c r="IPA98" s="353"/>
      <c r="IPB98" s="353"/>
      <c r="IPC98" s="353"/>
      <c r="IPD98" s="353"/>
      <c r="IPE98" s="353"/>
      <c r="IPF98" s="353"/>
      <c r="IPG98" s="353"/>
      <c r="IPH98" s="353"/>
      <c r="IPI98" s="353"/>
      <c r="IPJ98" s="353"/>
      <c r="IPK98" s="353"/>
      <c r="IPL98" s="353"/>
      <c r="IPM98" s="353"/>
      <c r="IPN98" s="353"/>
      <c r="IPO98" s="353"/>
      <c r="IPP98" s="353"/>
      <c r="IPQ98" s="353"/>
      <c r="IPR98" s="353"/>
      <c r="IPS98" s="353"/>
      <c r="IPT98" s="353"/>
      <c r="IPU98" s="353"/>
      <c r="IPV98" s="353"/>
      <c r="IPW98" s="353"/>
      <c r="IPX98" s="353"/>
      <c r="IPY98" s="353"/>
      <c r="IPZ98" s="353"/>
      <c r="IQA98" s="353"/>
      <c r="IQB98" s="353"/>
      <c r="IQC98" s="353"/>
      <c r="IQD98" s="353"/>
      <c r="IQE98" s="353"/>
      <c r="IQF98" s="353"/>
      <c r="IQG98" s="353"/>
      <c r="IQH98" s="353"/>
      <c r="IQI98" s="353"/>
      <c r="IQJ98" s="353"/>
      <c r="IQK98" s="353"/>
      <c r="IQL98" s="353"/>
      <c r="IQM98" s="353"/>
      <c r="IQN98" s="353"/>
      <c r="IQO98" s="353"/>
      <c r="IQP98" s="353"/>
      <c r="IQQ98" s="353"/>
      <c r="IQR98" s="353"/>
      <c r="IQS98" s="353"/>
      <c r="IQT98" s="353"/>
      <c r="IQU98" s="353"/>
      <c r="IQV98" s="353"/>
      <c r="IQW98" s="353"/>
      <c r="IQX98" s="353"/>
      <c r="IQY98" s="353"/>
      <c r="IQZ98" s="353"/>
      <c r="IRA98" s="353"/>
      <c r="IRB98" s="353"/>
      <c r="IRC98" s="353"/>
      <c r="IRD98" s="353"/>
      <c r="IRE98" s="353"/>
      <c r="IRF98" s="353"/>
      <c r="IRG98" s="353"/>
      <c r="IRH98" s="353"/>
      <c r="IRI98" s="353"/>
      <c r="IRJ98" s="353"/>
      <c r="IRK98" s="353"/>
      <c r="IRL98" s="353"/>
      <c r="IRM98" s="353"/>
      <c r="IRN98" s="353"/>
      <c r="IRO98" s="353"/>
      <c r="IRP98" s="353"/>
      <c r="IRQ98" s="353"/>
      <c r="IRR98" s="353"/>
      <c r="IRS98" s="353"/>
      <c r="IRT98" s="353"/>
      <c r="IRU98" s="353"/>
      <c r="IRV98" s="353"/>
      <c r="IRW98" s="353"/>
      <c r="IRX98" s="353"/>
      <c r="IRY98" s="353"/>
      <c r="IRZ98" s="353"/>
      <c r="ISA98" s="353"/>
      <c r="ISB98" s="353"/>
      <c r="ISC98" s="353"/>
      <c r="ISD98" s="353"/>
      <c r="ISE98" s="353"/>
      <c r="ISF98" s="353"/>
      <c r="ISG98" s="353"/>
      <c r="ISH98" s="353"/>
      <c r="ISI98" s="353"/>
      <c r="ISJ98" s="353"/>
      <c r="ISK98" s="353"/>
      <c r="ISL98" s="353"/>
      <c r="ISM98" s="353"/>
      <c r="ISN98" s="353"/>
      <c r="ISO98" s="353"/>
      <c r="ISP98" s="353"/>
      <c r="ISQ98" s="353"/>
      <c r="ISR98" s="353"/>
      <c r="ISS98" s="353"/>
      <c r="IST98" s="353"/>
      <c r="ISU98" s="353"/>
      <c r="ISV98" s="353"/>
      <c r="ISW98" s="353"/>
      <c r="ISX98" s="353"/>
      <c r="ISY98" s="353"/>
      <c r="ISZ98" s="353"/>
      <c r="ITA98" s="353"/>
      <c r="ITB98" s="353"/>
      <c r="ITC98" s="353"/>
      <c r="ITD98" s="353"/>
      <c r="ITE98" s="353"/>
      <c r="ITF98" s="353"/>
      <c r="ITG98" s="353"/>
      <c r="ITH98" s="353"/>
      <c r="ITI98" s="353"/>
      <c r="ITJ98" s="353"/>
      <c r="ITK98" s="353"/>
      <c r="ITL98" s="353"/>
      <c r="ITM98" s="353"/>
      <c r="ITN98" s="353"/>
      <c r="ITO98" s="353"/>
      <c r="ITP98" s="353"/>
      <c r="ITQ98" s="353"/>
      <c r="ITR98" s="353"/>
      <c r="ITS98" s="353"/>
      <c r="ITT98" s="353"/>
      <c r="ITU98" s="353"/>
      <c r="ITV98" s="353"/>
      <c r="ITW98" s="353"/>
      <c r="ITX98" s="353"/>
      <c r="ITY98" s="353"/>
      <c r="ITZ98" s="353"/>
      <c r="IUA98" s="353"/>
      <c r="IUB98" s="353"/>
      <c r="IUC98" s="353"/>
      <c r="IUD98" s="353"/>
      <c r="IUE98" s="353"/>
      <c r="IUF98" s="353"/>
      <c r="IUG98" s="353"/>
      <c r="IUH98" s="353"/>
      <c r="IUI98" s="353"/>
      <c r="IUJ98" s="353"/>
      <c r="IUK98" s="353"/>
      <c r="IUL98" s="353"/>
      <c r="IUM98" s="353"/>
      <c r="IUN98" s="353"/>
      <c r="IUO98" s="353"/>
      <c r="IUP98" s="353"/>
      <c r="IUQ98" s="353"/>
      <c r="IUR98" s="353"/>
      <c r="IUS98" s="353"/>
      <c r="IUT98" s="353"/>
      <c r="IUU98" s="353"/>
      <c r="IUV98" s="353"/>
      <c r="IUW98" s="353"/>
      <c r="IUX98" s="353"/>
      <c r="IUY98" s="353"/>
      <c r="IUZ98" s="353"/>
      <c r="IVA98" s="353"/>
      <c r="IVB98" s="353"/>
      <c r="IVC98" s="353"/>
      <c r="IVD98" s="353"/>
      <c r="IVE98" s="353"/>
      <c r="IVF98" s="353"/>
      <c r="IVG98" s="353"/>
      <c r="IVH98" s="353"/>
      <c r="IVI98" s="353"/>
      <c r="IVJ98" s="353"/>
      <c r="IVK98" s="353"/>
      <c r="IVL98" s="353"/>
      <c r="IVM98" s="353"/>
      <c r="IVN98" s="353"/>
      <c r="IVO98" s="353"/>
      <c r="IVP98" s="353"/>
      <c r="IVQ98" s="353"/>
      <c r="IVR98" s="353"/>
      <c r="IVS98" s="353"/>
      <c r="IVT98" s="353"/>
      <c r="IVU98" s="353"/>
      <c r="IVV98" s="353"/>
      <c r="IVW98" s="353"/>
      <c r="IVX98" s="353"/>
      <c r="IVY98" s="353"/>
      <c r="IVZ98" s="353"/>
      <c r="IWA98" s="353"/>
      <c r="IWB98" s="353"/>
      <c r="IWC98" s="353"/>
      <c r="IWD98" s="353"/>
      <c r="IWE98" s="353"/>
      <c r="IWF98" s="353"/>
      <c r="IWG98" s="353"/>
      <c r="IWH98" s="353"/>
      <c r="IWI98" s="353"/>
      <c r="IWJ98" s="353"/>
      <c r="IWK98" s="353"/>
      <c r="IWL98" s="353"/>
      <c r="IWM98" s="353"/>
      <c r="IWN98" s="353"/>
      <c r="IWO98" s="353"/>
      <c r="IWP98" s="353"/>
      <c r="IWQ98" s="353"/>
      <c r="IWR98" s="353"/>
      <c r="IWS98" s="353"/>
      <c r="IWT98" s="353"/>
      <c r="IWU98" s="353"/>
      <c r="IWV98" s="353"/>
      <c r="IWW98" s="353"/>
      <c r="IWX98" s="353"/>
      <c r="IWY98" s="353"/>
      <c r="IWZ98" s="353"/>
      <c r="IXA98" s="353"/>
      <c r="IXB98" s="353"/>
      <c r="IXC98" s="353"/>
      <c r="IXD98" s="353"/>
      <c r="IXE98" s="353"/>
      <c r="IXF98" s="353"/>
      <c r="IXG98" s="353"/>
      <c r="IXH98" s="353"/>
      <c r="IXI98" s="353"/>
      <c r="IXJ98" s="353"/>
      <c r="IXK98" s="353"/>
      <c r="IXL98" s="353"/>
      <c r="IXM98" s="353"/>
      <c r="IXN98" s="353"/>
      <c r="IXO98" s="353"/>
      <c r="IXP98" s="353"/>
      <c r="IXQ98" s="353"/>
      <c r="IXR98" s="353"/>
      <c r="IXS98" s="353"/>
      <c r="IXT98" s="353"/>
      <c r="IXU98" s="353"/>
      <c r="IXV98" s="353"/>
      <c r="IXW98" s="353"/>
      <c r="IXX98" s="353"/>
      <c r="IXY98" s="353"/>
      <c r="IXZ98" s="353"/>
      <c r="IYA98" s="353"/>
      <c r="IYB98" s="353"/>
      <c r="IYC98" s="353"/>
      <c r="IYD98" s="353"/>
      <c r="IYE98" s="353"/>
      <c r="IYF98" s="353"/>
      <c r="IYG98" s="353"/>
      <c r="IYH98" s="353"/>
      <c r="IYI98" s="353"/>
      <c r="IYJ98" s="353"/>
      <c r="IYK98" s="353"/>
      <c r="IYL98" s="353"/>
      <c r="IYM98" s="353"/>
      <c r="IYN98" s="353"/>
      <c r="IYO98" s="353"/>
      <c r="IYP98" s="353"/>
      <c r="IYQ98" s="353"/>
      <c r="IYR98" s="353"/>
      <c r="IYS98" s="353"/>
      <c r="IYT98" s="353"/>
      <c r="IYU98" s="353"/>
      <c r="IYV98" s="353"/>
      <c r="IYW98" s="353"/>
      <c r="IYX98" s="353"/>
      <c r="IYY98" s="353"/>
      <c r="IYZ98" s="353"/>
      <c r="IZA98" s="353"/>
      <c r="IZB98" s="353"/>
      <c r="IZC98" s="353"/>
      <c r="IZD98" s="353"/>
      <c r="IZE98" s="353"/>
      <c r="IZF98" s="353"/>
      <c r="IZG98" s="353"/>
      <c r="IZH98" s="353"/>
      <c r="IZI98" s="353"/>
      <c r="IZJ98" s="353"/>
      <c r="IZK98" s="353"/>
      <c r="IZL98" s="353"/>
      <c r="IZM98" s="353"/>
      <c r="IZN98" s="353"/>
      <c r="IZO98" s="353"/>
      <c r="IZP98" s="353"/>
      <c r="IZQ98" s="353"/>
      <c r="IZR98" s="353"/>
      <c r="IZS98" s="353"/>
      <c r="IZT98" s="353"/>
      <c r="IZU98" s="353"/>
      <c r="IZV98" s="353"/>
      <c r="IZW98" s="353"/>
      <c r="IZX98" s="353"/>
      <c r="IZY98" s="353"/>
      <c r="IZZ98" s="353"/>
      <c r="JAA98" s="353"/>
      <c r="JAB98" s="353"/>
      <c r="JAC98" s="353"/>
      <c r="JAD98" s="353"/>
      <c r="JAE98" s="353"/>
      <c r="JAF98" s="353"/>
      <c r="JAG98" s="353"/>
      <c r="JAH98" s="353"/>
      <c r="JAI98" s="353"/>
      <c r="JAJ98" s="353"/>
      <c r="JAK98" s="353"/>
      <c r="JAL98" s="353"/>
      <c r="JAM98" s="353"/>
      <c r="JAN98" s="353"/>
      <c r="JAO98" s="353"/>
      <c r="JAP98" s="353"/>
      <c r="JAQ98" s="353"/>
      <c r="JAR98" s="353"/>
      <c r="JAS98" s="353"/>
      <c r="JAT98" s="353"/>
      <c r="JAU98" s="353"/>
      <c r="JAV98" s="353"/>
      <c r="JAW98" s="353"/>
      <c r="JAX98" s="353"/>
      <c r="JAY98" s="353"/>
      <c r="JAZ98" s="353"/>
      <c r="JBA98" s="353"/>
      <c r="JBB98" s="353"/>
      <c r="JBC98" s="353"/>
      <c r="JBD98" s="353"/>
      <c r="JBE98" s="353"/>
      <c r="JBF98" s="353"/>
      <c r="JBG98" s="353"/>
      <c r="JBH98" s="353"/>
      <c r="JBI98" s="353"/>
      <c r="JBJ98" s="353"/>
      <c r="JBK98" s="353"/>
      <c r="JBL98" s="353"/>
      <c r="JBM98" s="353"/>
      <c r="JBN98" s="353"/>
      <c r="JBO98" s="353"/>
      <c r="JBP98" s="353"/>
      <c r="JBQ98" s="353"/>
      <c r="JBR98" s="353"/>
      <c r="JBS98" s="353"/>
      <c r="JBT98" s="353"/>
      <c r="JBU98" s="353"/>
      <c r="JBV98" s="353"/>
      <c r="JBW98" s="353"/>
      <c r="JBX98" s="353"/>
      <c r="JBY98" s="353"/>
      <c r="JBZ98" s="353"/>
      <c r="JCA98" s="353"/>
      <c r="JCB98" s="353"/>
      <c r="JCC98" s="353"/>
      <c r="JCD98" s="353"/>
      <c r="JCE98" s="353"/>
      <c r="JCF98" s="353"/>
      <c r="JCG98" s="353"/>
      <c r="JCH98" s="353"/>
      <c r="JCI98" s="353"/>
      <c r="JCJ98" s="353"/>
      <c r="JCK98" s="353"/>
      <c r="JCL98" s="353"/>
      <c r="JCM98" s="353"/>
      <c r="JCN98" s="353"/>
      <c r="JCO98" s="353"/>
      <c r="JCP98" s="353"/>
      <c r="JCQ98" s="353"/>
      <c r="JCR98" s="353"/>
      <c r="JCS98" s="353"/>
      <c r="JCT98" s="353"/>
      <c r="JCU98" s="353"/>
      <c r="JCV98" s="353"/>
      <c r="JCW98" s="353"/>
      <c r="JCX98" s="353"/>
      <c r="JCY98" s="353"/>
      <c r="JCZ98" s="353"/>
      <c r="JDA98" s="353"/>
      <c r="JDB98" s="353"/>
      <c r="JDC98" s="353"/>
      <c r="JDD98" s="353"/>
      <c r="JDE98" s="353"/>
      <c r="JDF98" s="353"/>
      <c r="JDG98" s="353"/>
      <c r="JDH98" s="353"/>
      <c r="JDI98" s="353"/>
      <c r="JDJ98" s="353"/>
      <c r="JDK98" s="353"/>
      <c r="JDL98" s="353"/>
      <c r="JDM98" s="353"/>
      <c r="JDN98" s="353"/>
      <c r="JDO98" s="353"/>
      <c r="JDP98" s="353"/>
      <c r="JDQ98" s="353"/>
      <c r="JDR98" s="353"/>
      <c r="JDS98" s="353"/>
      <c r="JDT98" s="353"/>
      <c r="JDU98" s="353"/>
      <c r="JDV98" s="353"/>
      <c r="JDW98" s="353"/>
      <c r="JDX98" s="353"/>
      <c r="JDY98" s="353"/>
      <c r="JDZ98" s="353"/>
      <c r="JEA98" s="353"/>
      <c r="JEB98" s="353"/>
      <c r="JEC98" s="353"/>
      <c r="JED98" s="353"/>
      <c r="JEE98" s="353"/>
      <c r="JEF98" s="353"/>
      <c r="JEG98" s="353"/>
      <c r="JEH98" s="353"/>
      <c r="JEI98" s="353"/>
      <c r="JEJ98" s="353"/>
      <c r="JEK98" s="353"/>
      <c r="JEL98" s="353"/>
      <c r="JEM98" s="353"/>
      <c r="JEN98" s="353"/>
      <c r="JEO98" s="353"/>
      <c r="JEP98" s="353"/>
      <c r="JEQ98" s="353"/>
      <c r="JER98" s="353"/>
      <c r="JES98" s="353"/>
      <c r="JET98" s="353"/>
      <c r="JEU98" s="353"/>
      <c r="JEV98" s="353"/>
      <c r="JEW98" s="353"/>
      <c r="JEX98" s="353"/>
      <c r="JEY98" s="353"/>
      <c r="JEZ98" s="353"/>
      <c r="JFA98" s="353"/>
      <c r="JFB98" s="353"/>
      <c r="JFC98" s="353"/>
      <c r="JFD98" s="353"/>
      <c r="JFE98" s="353"/>
      <c r="JFF98" s="353"/>
      <c r="JFG98" s="353"/>
      <c r="JFH98" s="353"/>
      <c r="JFI98" s="353"/>
      <c r="JFJ98" s="353"/>
      <c r="JFK98" s="353"/>
      <c r="JFL98" s="353"/>
      <c r="JFM98" s="353"/>
      <c r="JFN98" s="353"/>
      <c r="JFO98" s="353"/>
      <c r="JFP98" s="353"/>
      <c r="JFQ98" s="353"/>
      <c r="JFR98" s="353"/>
      <c r="JFS98" s="353"/>
      <c r="JFT98" s="353"/>
      <c r="JFU98" s="353"/>
      <c r="JFV98" s="353"/>
      <c r="JFW98" s="353"/>
      <c r="JFX98" s="353"/>
      <c r="JFY98" s="353"/>
      <c r="JFZ98" s="353"/>
      <c r="JGA98" s="353"/>
      <c r="JGB98" s="353"/>
      <c r="JGC98" s="353"/>
      <c r="JGD98" s="353"/>
      <c r="JGE98" s="353"/>
      <c r="JGF98" s="353"/>
      <c r="JGG98" s="353"/>
      <c r="JGH98" s="353"/>
      <c r="JGI98" s="353"/>
      <c r="JGJ98" s="353"/>
      <c r="JGK98" s="353"/>
      <c r="JGL98" s="353"/>
      <c r="JGM98" s="353"/>
      <c r="JGN98" s="353"/>
      <c r="JGO98" s="353"/>
      <c r="JGP98" s="353"/>
      <c r="JGQ98" s="353"/>
      <c r="JGR98" s="353"/>
      <c r="JGS98" s="353"/>
      <c r="JGT98" s="353"/>
      <c r="JGU98" s="353"/>
      <c r="JGV98" s="353"/>
      <c r="JGW98" s="353"/>
      <c r="JGX98" s="353"/>
      <c r="JGY98" s="353"/>
      <c r="JGZ98" s="353"/>
      <c r="JHA98" s="353"/>
      <c r="JHB98" s="353"/>
      <c r="JHC98" s="353"/>
      <c r="JHD98" s="353"/>
      <c r="JHE98" s="353"/>
      <c r="JHF98" s="353"/>
      <c r="JHG98" s="353"/>
      <c r="JHH98" s="353"/>
      <c r="JHI98" s="353"/>
      <c r="JHJ98" s="353"/>
      <c r="JHK98" s="353"/>
      <c r="JHL98" s="353"/>
      <c r="JHM98" s="353"/>
      <c r="JHN98" s="353"/>
      <c r="JHO98" s="353"/>
      <c r="JHP98" s="353"/>
      <c r="JHQ98" s="353"/>
      <c r="JHR98" s="353"/>
      <c r="JHS98" s="353"/>
      <c r="JHT98" s="353"/>
      <c r="JHU98" s="353"/>
      <c r="JHV98" s="353"/>
      <c r="JHW98" s="353"/>
      <c r="JHX98" s="353"/>
      <c r="JHY98" s="353"/>
      <c r="JHZ98" s="353"/>
      <c r="JIA98" s="353"/>
      <c r="JIB98" s="353"/>
      <c r="JIC98" s="353"/>
      <c r="JID98" s="353"/>
      <c r="JIE98" s="353"/>
      <c r="JIF98" s="353"/>
      <c r="JIG98" s="353"/>
      <c r="JIH98" s="353"/>
      <c r="JII98" s="353"/>
      <c r="JIJ98" s="353"/>
      <c r="JIK98" s="353"/>
      <c r="JIL98" s="353"/>
      <c r="JIM98" s="353"/>
      <c r="JIN98" s="353"/>
      <c r="JIO98" s="353"/>
      <c r="JIP98" s="353"/>
      <c r="JIQ98" s="353"/>
      <c r="JIR98" s="353"/>
      <c r="JIS98" s="353"/>
      <c r="JIT98" s="353"/>
      <c r="JIU98" s="353"/>
      <c r="JIV98" s="353"/>
      <c r="JIW98" s="353"/>
      <c r="JIX98" s="353"/>
      <c r="JIY98" s="353"/>
      <c r="JIZ98" s="353"/>
      <c r="JJA98" s="353"/>
      <c r="JJB98" s="353"/>
      <c r="JJC98" s="353"/>
      <c r="JJD98" s="353"/>
      <c r="JJE98" s="353"/>
      <c r="JJF98" s="353"/>
      <c r="JJG98" s="353"/>
      <c r="JJH98" s="353"/>
      <c r="JJI98" s="353"/>
      <c r="JJJ98" s="353"/>
      <c r="JJK98" s="353"/>
      <c r="JJL98" s="353"/>
      <c r="JJM98" s="353"/>
      <c r="JJN98" s="353"/>
      <c r="JJO98" s="353"/>
      <c r="JJP98" s="353"/>
      <c r="JJQ98" s="353"/>
      <c r="JJR98" s="353"/>
      <c r="JJS98" s="353"/>
      <c r="JJT98" s="353"/>
      <c r="JJU98" s="353"/>
      <c r="JJV98" s="353"/>
      <c r="JJW98" s="353"/>
      <c r="JJX98" s="353"/>
      <c r="JJY98" s="353"/>
      <c r="JJZ98" s="353"/>
      <c r="JKA98" s="353"/>
      <c r="JKB98" s="353"/>
      <c r="JKC98" s="353"/>
      <c r="JKD98" s="353"/>
      <c r="JKE98" s="353"/>
      <c r="JKF98" s="353"/>
      <c r="JKG98" s="353"/>
      <c r="JKH98" s="353"/>
      <c r="JKI98" s="353"/>
      <c r="JKJ98" s="353"/>
      <c r="JKK98" s="353"/>
      <c r="JKL98" s="353"/>
      <c r="JKM98" s="353"/>
      <c r="JKN98" s="353"/>
      <c r="JKO98" s="353"/>
      <c r="JKP98" s="353"/>
      <c r="JKQ98" s="353"/>
      <c r="JKR98" s="353"/>
      <c r="JKS98" s="353"/>
      <c r="JKT98" s="353"/>
      <c r="JKU98" s="353"/>
      <c r="JKV98" s="353"/>
      <c r="JKW98" s="353"/>
      <c r="JKX98" s="353"/>
      <c r="JKY98" s="353"/>
      <c r="JKZ98" s="353"/>
      <c r="JLA98" s="353"/>
      <c r="JLB98" s="353"/>
      <c r="JLC98" s="353"/>
      <c r="JLD98" s="353"/>
      <c r="JLE98" s="353"/>
      <c r="JLF98" s="353"/>
      <c r="JLG98" s="353"/>
      <c r="JLH98" s="353"/>
      <c r="JLI98" s="353"/>
      <c r="JLJ98" s="353"/>
      <c r="JLK98" s="353"/>
      <c r="JLL98" s="353"/>
      <c r="JLM98" s="353"/>
      <c r="JLN98" s="353"/>
      <c r="JLO98" s="353"/>
      <c r="JLP98" s="353"/>
      <c r="JLQ98" s="353"/>
      <c r="JLR98" s="353"/>
      <c r="JLS98" s="353"/>
      <c r="JLT98" s="353"/>
      <c r="JLU98" s="353"/>
      <c r="JLV98" s="353"/>
      <c r="JLW98" s="353"/>
      <c r="JLX98" s="353"/>
      <c r="JLY98" s="353"/>
      <c r="JLZ98" s="353"/>
      <c r="JMA98" s="353"/>
      <c r="JMB98" s="353"/>
      <c r="JMC98" s="353"/>
      <c r="JMD98" s="353"/>
      <c r="JME98" s="353"/>
      <c r="JMF98" s="353"/>
      <c r="JMG98" s="353"/>
      <c r="JMH98" s="353"/>
      <c r="JMI98" s="353"/>
      <c r="JMJ98" s="353"/>
      <c r="JMK98" s="353"/>
      <c r="JML98" s="353"/>
      <c r="JMM98" s="353"/>
      <c r="JMN98" s="353"/>
      <c r="JMO98" s="353"/>
      <c r="JMP98" s="353"/>
      <c r="JMQ98" s="353"/>
      <c r="JMR98" s="353"/>
      <c r="JMS98" s="353"/>
      <c r="JMT98" s="353"/>
      <c r="JMU98" s="353"/>
      <c r="JMV98" s="353"/>
      <c r="JMW98" s="353"/>
      <c r="JMX98" s="353"/>
      <c r="JMY98" s="353"/>
      <c r="JMZ98" s="353"/>
      <c r="JNA98" s="353"/>
      <c r="JNB98" s="353"/>
      <c r="JNC98" s="353"/>
      <c r="JND98" s="353"/>
      <c r="JNE98" s="353"/>
      <c r="JNF98" s="353"/>
      <c r="JNG98" s="353"/>
      <c r="JNH98" s="353"/>
      <c r="JNI98" s="353"/>
      <c r="JNJ98" s="353"/>
      <c r="JNK98" s="353"/>
      <c r="JNL98" s="353"/>
      <c r="JNM98" s="353"/>
      <c r="JNN98" s="353"/>
      <c r="JNO98" s="353"/>
      <c r="JNP98" s="353"/>
      <c r="JNQ98" s="353"/>
      <c r="JNR98" s="353"/>
      <c r="JNS98" s="353"/>
      <c r="JNT98" s="353"/>
      <c r="JNU98" s="353"/>
      <c r="JNV98" s="353"/>
      <c r="JNW98" s="353"/>
      <c r="JNX98" s="353"/>
      <c r="JNY98" s="353"/>
      <c r="JNZ98" s="353"/>
      <c r="JOA98" s="353"/>
      <c r="JOB98" s="353"/>
      <c r="JOC98" s="353"/>
      <c r="JOD98" s="353"/>
      <c r="JOE98" s="353"/>
      <c r="JOF98" s="353"/>
      <c r="JOG98" s="353"/>
      <c r="JOH98" s="353"/>
      <c r="JOI98" s="353"/>
      <c r="JOJ98" s="353"/>
      <c r="JOK98" s="353"/>
      <c r="JOL98" s="353"/>
      <c r="JOM98" s="353"/>
      <c r="JON98" s="353"/>
      <c r="JOO98" s="353"/>
      <c r="JOP98" s="353"/>
      <c r="JOQ98" s="353"/>
      <c r="JOR98" s="353"/>
      <c r="JOS98" s="353"/>
      <c r="JOT98" s="353"/>
      <c r="JOU98" s="353"/>
      <c r="JOV98" s="353"/>
      <c r="JOW98" s="353"/>
      <c r="JOX98" s="353"/>
      <c r="JOY98" s="353"/>
      <c r="JOZ98" s="353"/>
      <c r="JPA98" s="353"/>
      <c r="JPB98" s="353"/>
      <c r="JPC98" s="353"/>
      <c r="JPD98" s="353"/>
      <c r="JPE98" s="353"/>
      <c r="JPF98" s="353"/>
      <c r="JPG98" s="353"/>
      <c r="JPH98" s="353"/>
      <c r="JPI98" s="353"/>
      <c r="JPJ98" s="353"/>
      <c r="JPK98" s="353"/>
      <c r="JPL98" s="353"/>
      <c r="JPM98" s="353"/>
      <c r="JPN98" s="353"/>
      <c r="JPO98" s="353"/>
      <c r="JPP98" s="353"/>
      <c r="JPQ98" s="353"/>
      <c r="JPR98" s="353"/>
      <c r="JPS98" s="353"/>
      <c r="JPT98" s="353"/>
      <c r="JPU98" s="353"/>
      <c r="JPV98" s="353"/>
      <c r="JPW98" s="353"/>
      <c r="JPX98" s="353"/>
      <c r="JPY98" s="353"/>
      <c r="JPZ98" s="353"/>
      <c r="JQA98" s="353"/>
      <c r="JQB98" s="353"/>
      <c r="JQC98" s="353"/>
      <c r="JQD98" s="353"/>
      <c r="JQE98" s="353"/>
      <c r="JQF98" s="353"/>
      <c r="JQG98" s="353"/>
      <c r="JQH98" s="353"/>
      <c r="JQI98" s="353"/>
      <c r="JQJ98" s="353"/>
      <c r="JQK98" s="353"/>
      <c r="JQL98" s="353"/>
      <c r="JQM98" s="353"/>
      <c r="JQN98" s="353"/>
      <c r="JQO98" s="353"/>
      <c r="JQP98" s="353"/>
      <c r="JQQ98" s="353"/>
      <c r="JQR98" s="353"/>
      <c r="JQS98" s="353"/>
      <c r="JQT98" s="353"/>
      <c r="JQU98" s="353"/>
      <c r="JQV98" s="353"/>
      <c r="JQW98" s="353"/>
      <c r="JQX98" s="353"/>
      <c r="JQY98" s="353"/>
      <c r="JQZ98" s="353"/>
      <c r="JRA98" s="353"/>
      <c r="JRB98" s="353"/>
      <c r="JRC98" s="353"/>
      <c r="JRD98" s="353"/>
      <c r="JRE98" s="353"/>
      <c r="JRF98" s="353"/>
      <c r="JRG98" s="353"/>
      <c r="JRH98" s="353"/>
      <c r="JRI98" s="353"/>
      <c r="JRJ98" s="353"/>
      <c r="JRK98" s="353"/>
      <c r="JRL98" s="353"/>
      <c r="JRM98" s="353"/>
      <c r="JRN98" s="353"/>
      <c r="JRO98" s="353"/>
      <c r="JRP98" s="353"/>
      <c r="JRQ98" s="353"/>
      <c r="JRR98" s="353"/>
      <c r="JRS98" s="353"/>
      <c r="JRT98" s="353"/>
      <c r="JRU98" s="353"/>
      <c r="JRV98" s="353"/>
      <c r="JRW98" s="353"/>
      <c r="JRX98" s="353"/>
      <c r="JRY98" s="353"/>
      <c r="JRZ98" s="353"/>
      <c r="JSA98" s="353"/>
      <c r="JSB98" s="353"/>
      <c r="JSC98" s="353"/>
      <c r="JSD98" s="353"/>
      <c r="JSE98" s="353"/>
      <c r="JSF98" s="353"/>
      <c r="JSG98" s="353"/>
      <c r="JSH98" s="353"/>
      <c r="JSI98" s="353"/>
      <c r="JSJ98" s="353"/>
      <c r="JSK98" s="353"/>
      <c r="JSL98" s="353"/>
      <c r="JSM98" s="353"/>
      <c r="JSN98" s="353"/>
      <c r="JSO98" s="353"/>
      <c r="JSP98" s="353"/>
      <c r="JSQ98" s="353"/>
      <c r="JSR98" s="353"/>
      <c r="JSS98" s="353"/>
      <c r="JST98" s="353"/>
      <c r="JSU98" s="353"/>
      <c r="JSV98" s="353"/>
      <c r="JSW98" s="353"/>
      <c r="JSX98" s="353"/>
      <c r="JSY98" s="353"/>
      <c r="JSZ98" s="353"/>
      <c r="JTA98" s="353"/>
      <c r="JTB98" s="353"/>
      <c r="JTC98" s="353"/>
      <c r="JTD98" s="353"/>
      <c r="JTE98" s="353"/>
      <c r="JTF98" s="353"/>
      <c r="JTG98" s="353"/>
      <c r="JTH98" s="353"/>
      <c r="JTI98" s="353"/>
      <c r="JTJ98" s="353"/>
      <c r="JTK98" s="353"/>
      <c r="JTL98" s="353"/>
      <c r="JTM98" s="353"/>
      <c r="JTN98" s="353"/>
      <c r="JTO98" s="353"/>
      <c r="JTP98" s="353"/>
      <c r="JTQ98" s="353"/>
      <c r="JTR98" s="353"/>
      <c r="JTS98" s="353"/>
      <c r="JTT98" s="353"/>
      <c r="JTU98" s="353"/>
      <c r="JTV98" s="353"/>
      <c r="JTW98" s="353"/>
      <c r="JTX98" s="353"/>
      <c r="JTY98" s="353"/>
      <c r="JTZ98" s="353"/>
      <c r="JUA98" s="353"/>
      <c r="JUB98" s="353"/>
      <c r="JUC98" s="353"/>
      <c r="JUD98" s="353"/>
      <c r="JUE98" s="353"/>
      <c r="JUF98" s="353"/>
      <c r="JUG98" s="353"/>
      <c r="JUH98" s="353"/>
      <c r="JUI98" s="353"/>
      <c r="JUJ98" s="353"/>
      <c r="JUK98" s="353"/>
      <c r="JUL98" s="353"/>
      <c r="JUM98" s="353"/>
      <c r="JUN98" s="353"/>
      <c r="JUO98" s="353"/>
      <c r="JUP98" s="353"/>
      <c r="JUQ98" s="353"/>
      <c r="JUR98" s="353"/>
      <c r="JUS98" s="353"/>
      <c r="JUT98" s="353"/>
      <c r="JUU98" s="353"/>
      <c r="JUV98" s="353"/>
      <c r="JUW98" s="353"/>
      <c r="JUX98" s="353"/>
      <c r="JUY98" s="353"/>
      <c r="JUZ98" s="353"/>
      <c r="JVA98" s="353"/>
      <c r="JVB98" s="353"/>
      <c r="JVC98" s="353"/>
      <c r="JVD98" s="353"/>
      <c r="JVE98" s="353"/>
      <c r="JVF98" s="353"/>
      <c r="JVG98" s="353"/>
      <c r="JVH98" s="353"/>
      <c r="JVI98" s="353"/>
      <c r="JVJ98" s="353"/>
      <c r="JVK98" s="353"/>
      <c r="JVL98" s="353"/>
      <c r="JVM98" s="353"/>
      <c r="JVN98" s="353"/>
      <c r="JVO98" s="353"/>
      <c r="JVP98" s="353"/>
      <c r="JVQ98" s="353"/>
      <c r="JVR98" s="353"/>
      <c r="JVS98" s="353"/>
      <c r="JVT98" s="353"/>
      <c r="JVU98" s="353"/>
      <c r="JVV98" s="353"/>
      <c r="JVW98" s="353"/>
      <c r="JVX98" s="353"/>
      <c r="JVY98" s="353"/>
      <c r="JVZ98" s="353"/>
      <c r="JWA98" s="353"/>
      <c r="JWB98" s="353"/>
      <c r="JWC98" s="353"/>
      <c r="JWD98" s="353"/>
      <c r="JWE98" s="353"/>
      <c r="JWF98" s="353"/>
      <c r="JWG98" s="353"/>
      <c r="JWH98" s="353"/>
      <c r="JWI98" s="353"/>
      <c r="JWJ98" s="353"/>
      <c r="JWK98" s="353"/>
      <c r="JWL98" s="353"/>
      <c r="JWM98" s="353"/>
      <c r="JWN98" s="353"/>
      <c r="JWO98" s="353"/>
      <c r="JWP98" s="353"/>
      <c r="JWQ98" s="353"/>
      <c r="JWR98" s="353"/>
      <c r="JWS98" s="353"/>
      <c r="JWT98" s="353"/>
      <c r="JWU98" s="353"/>
      <c r="JWV98" s="353"/>
      <c r="JWW98" s="353"/>
      <c r="JWX98" s="353"/>
      <c r="JWY98" s="353"/>
      <c r="JWZ98" s="353"/>
      <c r="JXA98" s="353"/>
      <c r="JXB98" s="353"/>
      <c r="JXC98" s="353"/>
      <c r="JXD98" s="353"/>
      <c r="JXE98" s="353"/>
      <c r="JXF98" s="353"/>
      <c r="JXG98" s="353"/>
      <c r="JXH98" s="353"/>
      <c r="JXI98" s="353"/>
      <c r="JXJ98" s="353"/>
      <c r="JXK98" s="353"/>
      <c r="JXL98" s="353"/>
      <c r="JXM98" s="353"/>
      <c r="JXN98" s="353"/>
      <c r="JXO98" s="353"/>
      <c r="JXP98" s="353"/>
      <c r="JXQ98" s="353"/>
      <c r="JXR98" s="353"/>
      <c r="JXS98" s="353"/>
      <c r="JXT98" s="353"/>
      <c r="JXU98" s="353"/>
      <c r="JXV98" s="353"/>
      <c r="JXW98" s="353"/>
      <c r="JXX98" s="353"/>
      <c r="JXY98" s="353"/>
      <c r="JXZ98" s="353"/>
      <c r="JYA98" s="353"/>
      <c r="JYB98" s="353"/>
      <c r="JYC98" s="353"/>
      <c r="JYD98" s="353"/>
      <c r="JYE98" s="353"/>
      <c r="JYF98" s="353"/>
      <c r="JYG98" s="353"/>
      <c r="JYH98" s="353"/>
      <c r="JYI98" s="353"/>
      <c r="JYJ98" s="353"/>
      <c r="JYK98" s="353"/>
      <c r="JYL98" s="353"/>
      <c r="JYM98" s="353"/>
      <c r="JYN98" s="353"/>
      <c r="JYO98" s="353"/>
      <c r="JYP98" s="353"/>
      <c r="JYQ98" s="353"/>
      <c r="JYR98" s="353"/>
      <c r="JYS98" s="353"/>
      <c r="JYT98" s="353"/>
      <c r="JYU98" s="353"/>
      <c r="JYV98" s="353"/>
      <c r="JYW98" s="353"/>
      <c r="JYX98" s="353"/>
      <c r="JYY98" s="353"/>
      <c r="JYZ98" s="353"/>
      <c r="JZA98" s="353"/>
      <c r="JZB98" s="353"/>
      <c r="JZC98" s="353"/>
      <c r="JZD98" s="353"/>
      <c r="JZE98" s="353"/>
      <c r="JZF98" s="353"/>
      <c r="JZG98" s="353"/>
      <c r="JZH98" s="353"/>
      <c r="JZI98" s="353"/>
      <c r="JZJ98" s="353"/>
      <c r="JZK98" s="353"/>
      <c r="JZL98" s="353"/>
      <c r="JZM98" s="353"/>
      <c r="JZN98" s="353"/>
      <c r="JZO98" s="353"/>
      <c r="JZP98" s="353"/>
      <c r="JZQ98" s="353"/>
      <c r="JZR98" s="353"/>
      <c r="JZS98" s="353"/>
      <c r="JZT98" s="353"/>
      <c r="JZU98" s="353"/>
      <c r="JZV98" s="353"/>
      <c r="JZW98" s="353"/>
      <c r="JZX98" s="353"/>
      <c r="JZY98" s="353"/>
      <c r="JZZ98" s="353"/>
      <c r="KAA98" s="353"/>
      <c r="KAB98" s="353"/>
      <c r="KAC98" s="353"/>
      <c r="KAD98" s="353"/>
      <c r="KAE98" s="353"/>
      <c r="KAF98" s="353"/>
      <c r="KAG98" s="353"/>
      <c r="KAH98" s="353"/>
      <c r="KAI98" s="353"/>
      <c r="KAJ98" s="353"/>
      <c r="KAK98" s="353"/>
      <c r="KAL98" s="353"/>
      <c r="KAM98" s="353"/>
      <c r="KAN98" s="353"/>
      <c r="KAO98" s="353"/>
      <c r="KAP98" s="353"/>
      <c r="KAQ98" s="353"/>
      <c r="KAR98" s="353"/>
      <c r="KAS98" s="353"/>
      <c r="KAT98" s="353"/>
      <c r="KAU98" s="353"/>
      <c r="KAV98" s="353"/>
      <c r="KAW98" s="353"/>
      <c r="KAX98" s="353"/>
      <c r="KAY98" s="353"/>
      <c r="KAZ98" s="353"/>
      <c r="KBA98" s="353"/>
      <c r="KBB98" s="353"/>
      <c r="KBC98" s="353"/>
      <c r="KBD98" s="353"/>
      <c r="KBE98" s="353"/>
      <c r="KBF98" s="353"/>
      <c r="KBG98" s="353"/>
      <c r="KBH98" s="353"/>
      <c r="KBI98" s="353"/>
      <c r="KBJ98" s="353"/>
      <c r="KBK98" s="353"/>
      <c r="KBL98" s="353"/>
      <c r="KBM98" s="353"/>
      <c r="KBN98" s="353"/>
      <c r="KBO98" s="353"/>
      <c r="KBP98" s="353"/>
      <c r="KBQ98" s="353"/>
      <c r="KBR98" s="353"/>
      <c r="KBS98" s="353"/>
      <c r="KBT98" s="353"/>
      <c r="KBU98" s="353"/>
      <c r="KBV98" s="353"/>
      <c r="KBW98" s="353"/>
      <c r="KBX98" s="353"/>
      <c r="KBY98" s="353"/>
      <c r="KBZ98" s="353"/>
      <c r="KCA98" s="353"/>
      <c r="KCB98" s="353"/>
      <c r="KCC98" s="353"/>
      <c r="KCD98" s="353"/>
      <c r="KCE98" s="353"/>
      <c r="KCF98" s="353"/>
      <c r="KCG98" s="353"/>
      <c r="KCH98" s="353"/>
      <c r="KCI98" s="353"/>
      <c r="KCJ98" s="353"/>
      <c r="KCK98" s="353"/>
      <c r="KCL98" s="353"/>
      <c r="KCM98" s="353"/>
      <c r="KCN98" s="353"/>
      <c r="KCO98" s="353"/>
      <c r="KCP98" s="353"/>
      <c r="KCQ98" s="353"/>
      <c r="KCR98" s="353"/>
      <c r="KCS98" s="353"/>
      <c r="KCT98" s="353"/>
      <c r="KCU98" s="353"/>
      <c r="KCV98" s="353"/>
      <c r="KCW98" s="353"/>
      <c r="KCX98" s="353"/>
      <c r="KCY98" s="353"/>
      <c r="KCZ98" s="353"/>
      <c r="KDA98" s="353"/>
      <c r="KDB98" s="353"/>
      <c r="KDC98" s="353"/>
      <c r="KDD98" s="353"/>
      <c r="KDE98" s="353"/>
      <c r="KDF98" s="353"/>
      <c r="KDG98" s="353"/>
      <c r="KDH98" s="353"/>
      <c r="KDI98" s="353"/>
      <c r="KDJ98" s="353"/>
      <c r="KDK98" s="353"/>
      <c r="KDL98" s="353"/>
      <c r="KDM98" s="353"/>
      <c r="KDN98" s="353"/>
      <c r="KDO98" s="353"/>
      <c r="KDP98" s="353"/>
      <c r="KDQ98" s="353"/>
      <c r="KDR98" s="353"/>
      <c r="KDS98" s="353"/>
      <c r="KDT98" s="353"/>
      <c r="KDU98" s="353"/>
      <c r="KDV98" s="353"/>
      <c r="KDW98" s="353"/>
      <c r="KDX98" s="353"/>
      <c r="KDY98" s="353"/>
      <c r="KDZ98" s="353"/>
      <c r="KEA98" s="353"/>
      <c r="KEB98" s="353"/>
      <c r="KEC98" s="353"/>
      <c r="KED98" s="353"/>
      <c r="KEE98" s="353"/>
      <c r="KEF98" s="353"/>
      <c r="KEG98" s="353"/>
      <c r="KEH98" s="353"/>
      <c r="KEI98" s="353"/>
      <c r="KEJ98" s="353"/>
      <c r="KEK98" s="353"/>
      <c r="KEL98" s="353"/>
      <c r="KEM98" s="353"/>
      <c r="KEN98" s="353"/>
      <c r="KEO98" s="353"/>
      <c r="KEP98" s="353"/>
      <c r="KEQ98" s="353"/>
      <c r="KER98" s="353"/>
      <c r="KES98" s="353"/>
      <c r="KET98" s="353"/>
      <c r="KEU98" s="353"/>
      <c r="KEV98" s="353"/>
      <c r="KEW98" s="353"/>
      <c r="KEX98" s="353"/>
      <c r="KEY98" s="353"/>
      <c r="KEZ98" s="353"/>
      <c r="KFA98" s="353"/>
      <c r="KFB98" s="353"/>
      <c r="KFC98" s="353"/>
      <c r="KFD98" s="353"/>
      <c r="KFE98" s="353"/>
      <c r="KFF98" s="353"/>
      <c r="KFG98" s="353"/>
      <c r="KFH98" s="353"/>
      <c r="KFI98" s="353"/>
      <c r="KFJ98" s="353"/>
      <c r="KFK98" s="353"/>
      <c r="KFL98" s="353"/>
      <c r="KFM98" s="353"/>
      <c r="KFN98" s="353"/>
      <c r="KFO98" s="353"/>
      <c r="KFP98" s="353"/>
      <c r="KFQ98" s="353"/>
      <c r="KFR98" s="353"/>
      <c r="KFS98" s="353"/>
      <c r="KFT98" s="353"/>
      <c r="KFU98" s="353"/>
      <c r="KFV98" s="353"/>
      <c r="KFW98" s="353"/>
      <c r="KFX98" s="353"/>
      <c r="KFY98" s="353"/>
      <c r="KFZ98" s="353"/>
      <c r="KGA98" s="353"/>
      <c r="KGB98" s="353"/>
      <c r="KGC98" s="353"/>
      <c r="KGD98" s="353"/>
      <c r="KGE98" s="353"/>
      <c r="KGF98" s="353"/>
      <c r="KGG98" s="353"/>
      <c r="KGH98" s="353"/>
      <c r="KGI98" s="353"/>
      <c r="KGJ98" s="353"/>
      <c r="KGK98" s="353"/>
      <c r="KGL98" s="353"/>
      <c r="KGM98" s="353"/>
      <c r="KGN98" s="353"/>
      <c r="KGO98" s="353"/>
      <c r="KGP98" s="353"/>
      <c r="KGQ98" s="353"/>
      <c r="KGR98" s="353"/>
      <c r="KGS98" s="353"/>
      <c r="KGT98" s="353"/>
      <c r="KGU98" s="353"/>
      <c r="KGV98" s="353"/>
      <c r="KGW98" s="353"/>
      <c r="KGX98" s="353"/>
      <c r="KGY98" s="353"/>
      <c r="KGZ98" s="353"/>
      <c r="KHA98" s="353"/>
      <c r="KHB98" s="353"/>
      <c r="KHC98" s="353"/>
      <c r="KHD98" s="353"/>
      <c r="KHE98" s="353"/>
      <c r="KHF98" s="353"/>
      <c r="KHG98" s="353"/>
      <c r="KHH98" s="353"/>
      <c r="KHI98" s="353"/>
      <c r="KHJ98" s="353"/>
      <c r="KHK98" s="353"/>
      <c r="KHL98" s="353"/>
      <c r="KHM98" s="353"/>
      <c r="KHN98" s="353"/>
      <c r="KHO98" s="353"/>
      <c r="KHP98" s="353"/>
      <c r="KHQ98" s="353"/>
      <c r="KHR98" s="353"/>
      <c r="KHS98" s="353"/>
      <c r="KHT98" s="353"/>
      <c r="KHU98" s="353"/>
      <c r="KHV98" s="353"/>
      <c r="KHW98" s="353"/>
      <c r="KHX98" s="353"/>
      <c r="KHY98" s="353"/>
      <c r="KHZ98" s="353"/>
      <c r="KIA98" s="353"/>
      <c r="KIB98" s="353"/>
      <c r="KIC98" s="353"/>
      <c r="KID98" s="353"/>
      <c r="KIE98" s="353"/>
      <c r="KIF98" s="353"/>
      <c r="KIG98" s="353"/>
      <c r="KIH98" s="353"/>
      <c r="KII98" s="353"/>
      <c r="KIJ98" s="353"/>
      <c r="KIK98" s="353"/>
      <c r="KIL98" s="353"/>
      <c r="KIM98" s="353"/>
      <c r="KIN98" s="353"/>
      <c r="KIO98" s="353"/>
      <c r="KIP98" s="353"/>
      <c r="KIQ98" s="353"/>
      <c r="KIR98" s="353"/>
      <c r="KIS98" s="353"/>
      <c r="KIT98" s="353"/>
      <c r="KIU98" s="353"/>
      <c r="KIV98" s="353"/>
      <c r="KIW98" s="353"/>
      <c r="KIX98" s="353"/>
      <c r="KIY98" s="353"/>
      <c r="KIZ98" s="353"/>
      <c r="KJA98" s="353"/>
      <c r="KJB98" s="353"/>
      <c r="KJC98" s="353"/>
      <c r="KJD98" s="353"/>
      <c r="KJE98" s="353"/>
      <c r="KJF98" s="353"/>
      <c r="KJG98" s="353"/>
      <c r="KJH98" s="353"/>
      <c r="KJI98" s="353"/>
      <c r="KJJ98" s="353"/>
      <c r="KJK98" s="353"/>
      <c r="KJL98" s="353"/>
      <c r="KJM98" s="353"/>
      <c r="KJN98" s="353"/>
      <c r="KJO98" s="353"/>
      <c r="KJP98" s="353"/>
      <c r="KJQ98" s="353"/>
      <c r="KJR98" s="353"/>
      <c r="KJS98" s="353"/>
      <c r="KJT98" s="353"/>
      <c r="KJU98" s="353"/>
      <c r="KJV98" s="353"/>
      <c r="KJW98" s="353"/>
      <c r="KJX98" s="353"/>
      <c r="KJY98" s="353"/>
      <c r="KJZ98" s="353"/>
      <c r="KKA98" s="353"/>
      <c r="KKB98" s="353"/>
      <c r="KKC98" s="353"/>
      <c r="KKD98" s="353"/>
      <c r="KKE98" s="353"/>
      <c r="KKF98" s="353"/>
      <c r="KKG98" s="353"/>
      <c r="KKH98" s="353"/>
      <c r="KKI98" s="353"/>
      <c r="KKJ98" s="353"/>
      <c r="KKK98" s="353"/>
      <c r="KKL98" s="353"/>
      <c r="KKM98" s="353"/>
      <c r="KKN98" s="353"/>
      <c r="KKO98" s="353"/>
      <c r="KKP98" s="353"/>
      <c r="KKQ98" s="353"/>
      <c r="KKR98" s="353"/>
      <c r="KKS98" s="353"/>
      <c r="KKT98" s="353"/>
      <c r="KKU98" s="353"/>
      <c r="KKV98" s="353"/>
      <c r="KKW98" s="353"/>
      <c r="KKX98" s="353"/>
      <c r="KKY98" s="353"/>
      <c r="KKZ98" s="353"/>
      <c r="KLA98" s="353"/>
      <c r="KLB98" s="353"/>
      <c r="KLC98" s="353"/>
      <c r="KLD98" s="353"/>
      <c r="KLE98" s="353"/>
      <c r="KLF98" s="353"/>
      <c r="KLG98" s="353"/>
      <c r="KLH98" s="353"/>
      <c r="KLI98" s="353"/>
      <c r="KLJ98" s="353"/>
      <c r="KLK98" s="353"/>
      <c r="KLL98" s="353"/>
      <c r="KLM98" s="353"/>
      <c r="KLN98" s="353"/>
      <c r="KLO98" s="353"/>
      <c r="KLP98" s="353"/>
      <c r="KLQ98" s="353"/>
      <c r="KLR98" s="353"/>
      <c r="KLS98" s="353"/>
      <c r="KLT98" s="353"/>
      <c r="KLU98" s="353"/>
      <c r="KLV98" s="353"/>
      <c r="KLW98" s="353"/>
      <c r="KLX98" s="353"/>
      <c r="KLY98" s="353"/>
      <c r="KLZ98" s="353"/>
      <c r="KMA98" s="353"/>
      <c r="KMB98" s="353"/>
      <c r="KMC98" s="353"/>
      <c r="KMD98" s="353"/>
      <c r="KME98" s="353"/>
      <c r="KMF98" s="353"/>
      <c r="KMG98" s="353"/>
      <c r="KMH98" s="353"/>
      <c r="KMI98" s="353"/>
      <c r="KMJ98" s="353"/>
      <c r="KMK98" s="353"/>
      <c r="KML98" s="353"/>
      <c r="KMM98" s="353"/>
      <c r="KMN98" s="353"/>
      <c r="KMO98" s="353"/>
      <c r="KMP98" s="353"/>
      <c r="KMQ98" s="353"/>
      <c r="KMR98" s="353"/>
      <c r="KMS98" s="353"/>
      <c r="KMT98" s="353"/>
      <c r="KMU98" s="353"/>
      <c r="KMV98" s="353"/>
      <c r="KMW98" s="353"/>
      <c r="KMX98" s="353"/>
      <c r="KMY98" s="353"/>
      <c r="KMZ98" s="353"/>
      <c r="KNA98" s="353"/>
      <c r="KNB98" s="353"/>
      <c r="KNC98" s="353"/>
      <c r="KND98" s="353"/>
      <c r="KNE98" s="353"/>
      <c r="KNF98" s="353"/>
      <c r="KNG98" s="353"/>
      <c r="KNH98" s="353"/>
      <c r="KNI98" s="353"/>
      <c r="KNJ98" s="353"/>
      <c r="KNK98" s="353"/>
      <c r="KNL98" s="353"/>
      <c r="KNM98" s="353"/>
      <c r="KNN98" s="353"/>
      <c r="KNO98" s="353"/>
      <c r="KNP98" s="353"/>
      <c r="KNQ98" s="353"/>
      <c r="KNR98" s="353"/>
      <c r="KNS98" s="353"/>
      <c r="KNT98" s="353"/>
      <c r="KNU98" s="353"/>
      <c r="KNV98" s="353"/>
      <c r="KNW98" s="353"/>
      <c r="KNX98" s="353"/>
      <c r="KNY98" s="353"/>
      <c r="KNZ98" s="353"/>
      <c r="KOA98" s="353"/>
      <c r="KOB98" s="353"/>
      <c r="KOC98" s="353"/>
      <c r="KOD98" s="353"/>
      <c r="KOE98" s="353"/>
      <c r="KOF98" s="353"/>
      <c r="KOG98" s="353"/>
      <c r="KOH98" s="353"/>
      <c r="KOI98" s="353"/>
      <c r="KOJ98" s="353"/>
      <c r="KOK98" s="353"/>
      <c r="KOL98" s="353"/>
      <c r="KOM98" s="353"/>
      <c r="KON98" s="353"/>
      <c r="KOO98" s="353"/>
      <c r="KOP98" s="353"/>
      <c r="KOQ98" s="353"/>
      <c r="KOR98" s="353"/>
      <c r="KOS98" s="353"/>
      <c r="KOT98" s="353"/>
      <c r="KOU98" s="353"/>
      <c r="KOV98" s="353"/>
      <c r="KOW98" s="353"/>
      <c r="KOX98" s="353"/>
      <c r="KOY98" s="353"/>
      <c r="KOZ98" s="353"/>
      <c r="KPA98" s="353"/>
      <c r="KPB98" s="353"/>
      <c r="KPC98" s="353"/>
      <c r="KPD98" s="353"/>
      <c r="KPE98" s="353"/>
      <c r="KPF98" s="353"/>
      <c r="KPG98" s="353"/>
      <c r="KPH98" s="353"/>
      <c r="KPI98" s="353"/>
      <c r="KPJ98" s="353"/>
      <c r="KPK98" s="353"/>
      <c r="KPL98" s="353"/>
      <c r="KPM98" s="353"/>
      <c r="KPN98" s="353"/>
      <c r="KPO98" s="353"/>
      <c r="KPP98" s="353"/>
      <c r="KPQ98" s="353"/>
      <c r="KPR98" s="353"/>
      <c r="KPS98" s="353"/>
      <c r="KPT98" s="353"/>
      <c r="KPU98" s="353"/>
      <c r="KPV98" s="353"/>
      <c r="KPW98" s="353"/>
      <c r="KPX98" s="353"/>
      <c r="KPY98" s="353"/>
      <c r="KPZ98" s="353"/>
      <c r="KQA98" s="353"/>
      <c r="KQB98" s="353"/>
      <c r="KQC98" s="353"/>
      <c r="KQD98" s="353"/>
      <c r="KQE98" s="353"/>
      <c r="KQF98" s="353"/>
      <c r="KQG98" s="353"/>
      <c r="KQH98" s="353"/>
      <c r="KQI98" s="353"/>
      <c r="KQJ98" s="353"/>
      <c r="KQK98" s="353"/>
      <c r="KQL98" s="353"/>
      <c r="KQM98" s="353"/>
      <c r="KQN98" s="353"/>
      <c r="KQO98" s="353"/>
      <c r="KQP98" s="353"/>
      <c r="KQQ98" s="353"/>
      <c r="KQR98" s="353"/>
      <c r="KQS98" s="353"/>
      <c r="KQT98" s="353"/>
      <c r="KQU98" s="353"/>
      <c r="KQV98" s="353"/>
      <c r="KQW98" s="353"/>
      <c r="KQX98" s="353"/>
      <c r="KQY98" s="353"/>
      <c r="KQZ98" s="353"/>
      <c r="KRA98" s="353"/>
      <c r="KRB98" s="353"/>
      <c r="KRC98" s="353"/>
      <c r="KRD98" s="353"/>
      <c r="KRE98" s="353"/>
      <c r="KRF98" s="353"/>
      <c r="KRG98" s="353"/>
      <c r="KRH98" s="353"/>
      <c r="KRI98" s="353"/>
      <c r="KRJ98" s="353"/>
      <c r="KRK98" s="353"/>
      <c r="KRL98" s="353"/>
      <c r="KRM98" s="353"/>
      <c r="KRN98" s="353"/>
      <c r="KRO98" s="353"/>
      <c r="KRP98" s="353"/>
      <c r="KRQ98" s="353"/>
      <c r="KRR98" s="353"/>
      <c r="KRS98" s="353"/>
      <c r="KRT98" s="353"/>
      <c r="KRU98" s="353"/>
      <c r="KRV98" s="353"/>
      <c r="KRW98" s="353"/>
      <c r="KRX98" s="353"/>
      <c r="KRY98" s="353"/>
      <c r="KRZ98" s="353"/>
      <c r="KSA98" s="353"/>
      <c r="KSB98" s="353"/>
      <c r="KSC98" s="353"/>
      <c r="KSD98" s="353"/>
      <c r="KSE98" s="353"/>
      <c r="KSF98" s="353"/>
      <c r="KSG98" s="353"/>
      <c r="KSH98" s="353"/>
      <c r="KSI98" s="353"/>
      <c r="KSJ98" s="353"/>
      <c r="KSK98" s="353"/>
      <c r="KSL98" s="353"/>
      <c r="KSM98" s="353"/>
      <c r="KSN98" s="353"/>
      <c r="KSO98" s="353"/>
      <c r="KSP98" s="353"/>
      <c r="KSQ98" s="353"/>
      <c r="KSR98" s="353"/>
      <c r="KSS98" s="353"/>
      <c r="KST98" s="353"/>
      <c r="KSU98" s="353"/>
      <c r="KSV98" s="353"/>
      <c r="KSW98" s="353"/>
      <c r="KSX98" s="353"/>
      <c r="KSY98" s="353"/>
      <c r="KSZ98" s="353"/>
      <c r="KTA98" s="353"/>
      <c r="KTB98" s="353"/>
      <c r="KTC98" s="353"/>
      <c r="KTD98" s="353"/>
      <c r="KTE98" s="353"/>
      <c r="KTF98" s="353"/>
      <c r="KTG98" s="353"/>
      <c r="KTH98" s="353"/>
      <c r="KTI98" s="353"/>
      <c r="KTJ98" s="353"/>
      <c r="KTK98" s="353"/>
      <c r="KTL98" s="353"/>
      <c r="KTM98" s="353"/>
      <c r="KTN98" s="353"/>
      <c r="KTO98" s="353"/>
      <c r="KTP98" s="353"/>
      <c r="KTQ98" s="353"/>
      <c r="KTR98" s="353"/>
      <c r="KTS98" s="353"/>
      <c r="KTT98" s="353"/>
      <c r="KTU98" s="353"/>
      <c r="KTV98" s="353"/>
      <c r="KTW98" s="353"/>
      <c r="KTX98" s="353"/>
      <c r="KTY98" s="353"/>
      <c r="KTZ98" s="353"/>
      <c r="KUA98" s="353"/>
      <c r="KUB98" s="353"/>
      <c r="KUC98" s="353"/>
      <c r="KUD98" s="353"/>
      <c r="KUE98" s="353"/>
      <c r="KUF98" s="353"/>
      <c r="KUG98" s="353"/>
      <c r="KUH98" s="353"/>
      <c r="KUI98" s="353"/>
      <c r="KUJ98" s="353"/>
      <c r="KUK98" s="353"/>
      <c r="KUL98" s="353"/>
      <c r="KUM98" s="353"/>
      <c r="KUN98" s="353"/>
      <c r="KUO98" s="353"/>
      <c r="KUP98" s="353"/>
      <c r="KUQ98" s="353"/>
      <c r="KUR98" s="353"/>
      <c r="KUS98" s="353"/>
      <c r="KUT98" s="353"/>
      <c r="KUU98" s="353"/>
      <c r="KUV98" s="353"/>
      <c r="KUW98" s="353"/>
      <c r="KUX98" s="353"/>
      <c r="KUY98" s="353"/>
      <c r="KUZ98" s="353"/>
      <c r="KVA98" s="353"/>
      <c r="KVB98" s="353"/>
      <c r="KVC98" s="353"/>
      <c r="KVD98" s="353"/>
      <c r="KVE98" s="353"/>
      <c r="KVF98" s="353"/>
      <c r="KVG98" s="353"/>
      <c r="KVH98" s="353"/>
      <c r="KVI98" s="353"/>
      <c r="KVJ98" s="353"/>
      <c r="KVK98" s="353"/>
      <c r="KVL98" s="353"/>
      <c r="KVM98" s="353"/>
      <c r="KVN98" s="353"/>
      <c r="KVO98" s="353"/>
      <c r="KVP98" s="353"/>
      <c r="KVQ98" s="353"/>
      <c r="KVR98" s="353"/>
      <c r="KVS98" s="353"/>
      <c r="KVT98" s="353"/>
      <c r="KVU98" s="353"/>
      <c r="KVV98" s="353"/>
      <c r="KVW98" s="353"/>
      <c r="KVX98" s="353"/>
      <c r="KVY98" s="353"/>
      <c r="KVZ98" s="353"/>
      <c r="KWA98" s="353"/>
      <c r="KWB98" s="353"/>
      <c r="KWC98" s="353"/>
      <c r="KWD98" s="353"/>
      <c r="KWE98" s="353"/>
      <c r="KWF98" s="353"/>
      <c r="KWG98" s="353"/>
      <c r="KWH98" s="353"/>
      <c r="KWI98" s="353"/>
      <c r="KWJ98" s="353"/>
      <c r="KWK98" s="353"/>
      <c r="KWL98" s="353"/>
      <c r="KWM98" s="353"/>
      <c r="KWN98" s="353"/>
      <c r="KWO98" s="353"/>
      <c r="KWP98" s="353"/>
      <c r="KWQ98" s="353"/>
      <c r="KWR98" s="353"/>
      <c r="KWS98" s="353"/>
      <c r="KWT98" s="353"/>
      <c r="KWU98" s="353"/>
      <c r="KWV98" s="353"/>
      <c r="KWW98" s="353"/>
      <c r="KWX98" s="353"/>
      <c r="KWY98" s="353"/>
      <c r="KWZ98" s="353"/>
      <c r="KXA98" s="353"/>
      <c r="KXB98" s="353"/>
      <c r="KXC98" s="353"/>
      <c r="KXD98" s="353"/>
      <c r="KXE98" s="353"/>
      <c r="KXF98" s="353"/>
      <c r="KXG98" s="353"/>
      <c r="KXH98" s="353"/>
      <c r="KXI98" s="353"/>
      <c r="KXJ98" s="353"/>
      <c r="KXK98" s="353"/>
      <c r="KXL98" s="353"/>
      <c r="KXM98" s="353"/>
      <c r="KXN98" s="353"/>
      <c r="KXO98" s="353"/>
      <c r="KXP98" s="353"/>
      <c r="KXQ98" s="353"/>
      <c r="KXR98" s="353"/>
      <c r="KXS98" s="353"/>
      <c r="KXT98" s="353"/>
      <c r="KXU98" s="353"/>
      <c r="KXV98" s="353"/>
      <c r="KXW98" s="353"/>
      <c r="KXX98" s="353"/>
      <c r="KXY98" s="353"/>
      <c r="KXZ98" s="353"/>
      <c r="KYA98" s="353"/>
      <c r="KYB98" s="353"/>
      <c r="KYC98" s="353"/>
      <c r="KYD98" s="353"/>
      <c r="KYE98" s="353"/>
      <c r="KYF98" s="353"/>
      <c r="KYG98" s="353"/>
      <c r="KYH98" s="353"/>
      <c r="KYI98" s="353"/>
      <c r="KYJ98" s="353"/>
      <c r="KYK98" s="353"/>
      <c r="KYL98" s="353"/>
      <c r="KYM98" s="353"/>
      <c r="KYN98" s="353"/>
      <c r="KYO98" s="353"/>
      <c r="KYP98" s="353"/>
      <c r="KYQ98" s="353"/>
      <c r="KYR98" s="353"/>
      <c r="KYS98" s="353"/>
      <c r="KYT98" s="353"/>
      <c r="KYU98" s="353"/>
      <c r="KYV98" s="353"/>
      <c r="KYW98" s="353"/>
      <c r="KYX98" s="353"/>
      <c r="KYY98" s="353"/>
      <c r="KYZ98" s="353"/>
      <c r="KZA98" s="353"/>
      <c r="KZB98" s="353"/>
      <c r="KZC98" s="353"/>
      <c r="KZD98" s="353"/>
      <c r="KZE98" s="353"/>
      <c r="KZF98" s="353"/>
      <c r="KZG98" s="353"/>
      <c r="KZH98" s="353"/>
      <c r="KZI98" s="353"/>
      <c r="KZJ98" s="353"/>
      <c r="KZK98" s="353"/>
      <c r="KZL98" s="353"/>
      <c r="KZM98" s="353"/>
      <c r="KZN98" s="353"/>
      <c r="KZO98" s="353"/>
      <c r="KZP98" s="353"/>
      <c r="KZQ98" s="353"/>
      <c r="KZR98" s="353"/>
      <c r="KZS98" s="353"/>
      <c r="KZT98" s="353"/>
      <c r="KZU98" s="353"/>
      <c r="KZV98" s="353"/>
      <c r="KZW98" s="353"/>
      <c r="KZX98" s="353"/>
      <c r="KZY98" s="353"/>
      <c r="KZZ98" s="353"/>
      <c r="LAA98" s="353"/>
      <c r="LAB98" s="353"/>
      <c r="LAC98" s="353"/>
      <c r="LAD98" s="353"/>
      <c r="LAE98" s="353"/>
      <c r="LAF98" s="353"/>
      <c r="LAG98" s="353"/>
      <c r="LAH98" s="353"/>
      <c r="LAI98" s="353"/>
      <c r="LAJ98" s="353"/>
      <c r="LAK98" s="353"/>
      <c r="LAL98" s="353"/>
      <c r="LAM98" s="353"/>
      <c r="LAN98" s="353"/>
      <c r="LAO98" s="353"/>
      <c r="LAP98" s="353"/>
      <c r="LAQ98" s="353"/>
      <c r="LAR98" s="353"/>
      <c r="LAS98" s="353"/>
      <c r="LAT98" s="353"/>
      <c r="LAU98" s="353"/>
      <c r="LAV98" s="353"/>
      <c r="LAW98" s="353"/>
      <c r="LAX98" s="353"/>
      <c r="LAY98" s="353"/>
      <c r="LAZ98" s="353"/>
      <c r="LBA98" s="353"/>
      <c r="LBB98" s="353"/>
      <c r="LBC98" s="353"/>
      <c r="LBD98" s="353"/>
      <c r="LBE98" s="353"/>
      <c r="LBF98" s="353"/>
      <c r="LBG98" s="353"/>
      <c r="LBH98" s="353"/>
      <c r="LBI98" s="353"/>
      <c r="LBJ98" s="353"/>
      <c r="LBK98" s="353"/>
      <c r="LBL98" s="353"/>
      <c r="LBM98" s="353"/>
      <c r="LBN98" s="353"/>
      <c r="LBO98" s="353"/>
      <c r="LBP98" s="353"/>
      <c r="LBQ98" s="353"/>
      <c r="LBR98" s="353"/>
      <c r="LBS98" s="353"/>
      <c r="LBT98" s="353"/>
      <c r="LBU98" s="353"/>
      <c r="LBV98" s="353"/>
      <c r="LBW98" s="353"/>
      <c r="LBX98" s="353"/>
      <c r="LBY98" s="353"/>
      <c r="LBZ98" s="353"/>
      <c r="LCA98" s="353"/>
      <c r="LCB98" s="353"/>
      <c r="LCC98" s="353"/>
      <c r="LCD98" s="353"/>
      <c r="LCE98" s="353"/>
      <c r="LCF98" s="353"/>
      <c r="LCG98" s="353"/>
      <c r="LCH98" s="353"/>
      <c r="LCI98" s="353"/>
      <c r="LCJ98" s="353"/>
      <c r="LCK98" s="353"/>
      <c r="LCL98" s="353"/>
      <c r="LCM98" s="353"/>
      <c r="LCN98" s="353"/>
      <c r="LCO98" s="353"/>
      <c r="LCP98" s="353"/>
      <c r="LCQ98" s="353"/>
      <c r="LCR98" s="353"/>
      <c r="LCS98" s="353"/>
      <c r="LCT98" s="353"/>
      <c r="LCU98" s="353"/>
      <c r="LCV98" s="353"/>
      <c r="LCW98" s="353"/>
      <c r="LCX98" s="353"/>
      <c r="LCY98" s="353"/>
      <c r="LCZ98" s="353"/>
      <c r="LDA98" s="353"/>
      <c r="LDB98" s="353"/>
      <c r="LDC98" s="353"/>
      <c r="LDD98" s="353"/>
      <c r="LDE98" s="353"/>
      <c r="LDF98" s="353"/>
      <c r="LDG98" s="353"/>
      <c r="LDH98" s="353"/>
      <c r="LDI98" s="353"/>
      <c r="LDJ98" s="353"/>
      <c r="LDK98" s="353"/>
      <c r="LDL98" s="353"/>
      <c r="LDM98" s="353"/>
      <c r="LDN98" s="353"/>
      <c r="LDO98" s="353"/>
      <c r="LDP98" s="353"/>
      <c r="LDQ98" s="353"/>
      <c r="LDR98" s="353"/>
      <c r="LDS98" s="353"/>
      <c r="LDT98" s="353"/>
      <c r="LDU98" s="353"/>
      <c r="LDV98" s="353"/>
      <c r="LDW98" s="353"/>
      <c r="LDX98" s="353"/>
      <c r="LDY98" s="353"/>
      <c r="LDZ98" s="353"/>
      <c r="LEA98" s="353"/>
      <c r="LEB98" s="353"/>
      <c r="LEC98" s="353"/>
      <c r="LED98" s="353"/>
      <c r="LEE98" s="353"/>
      <c r="LEF98" s="353"/>
      <c r="LEG98" s="353"/>
      <c r="LEH98" s="353"/>
      <c r="LEI98" s="353"/>
      <c r="LEJ98" s="353"/>
      <c r="LEK98" s="353"/>
      <c r="LEL98" s="353"/>
      <c r="LEM98" s="353"/>
      <c r="LEN98" s="353"/>
      <c r="LEO98" s="353"/>
      <c r="LEP98" s="353"/>
      <c r="LEQ98" s="353"/>
      <c r="LER98" s="353"/>
      <c r="LES98" s="353"/>
      <c r="LET98" s="353"/>
      <c r="LEU98" s="353"/>
      <c r="LEV98" s="353"/>
      <c r="LEW98" s="353"/>
      <c r="LEX98" s="353"/>
      <c r="LEY98" s="353"/>
      <c r="LEZ98" s="353"/>
      <c r="LFA98" s="353"/>
      <c r="LFB98" s="353"/>
      <c r="LFC98" s="353"/>
      <c r="LFD98" s="353"/>
      <c r="LFE98" s="353"/>
      <c r="LFF98" s="353"/>
      <c r="LFG98" s="353"/>
      <c r="LFH98" s="353"/>
      <c r="LFI98" s="353"/>
      <c r="LFJ98" s="353"/>
      <c r="LFK98" s="353"/>
      <c r="LFL98" s="353"/>
      <c r="LFM98" s="353"/>
      <c r="LFN98" s="353"/>
      <c r="LFO98" s="353"/>
      <c r="LFP98" s="353"/>
      <c r="LFQ98" s="353"/>
      <c r="LFR98" s="353"/>
      <c r="LFS98" s="353"/>
      <c r="LFT98" s="353"/>
      <c r="LFU98" s="353"/>
      <c r="LFV98" s="353"/>
      <c r="LFW98" s="353"/>
      <c r="LFX98" s="353"/>
      <c r="LFY98" s="353"/>
      <c r="LFZ98" s="353"/>
      <c r="LGA98" s="353"/>
      <c r="LGB98" s="353"/>
      <c r="LGC98" s="353"/>
      <c r="LGD98" s="353"/>
      <c r="LGE98" s="353"/>
      <c r="LGF98" s="353"/>
      <c r="LGG98" s="353"/>
      <c r="LGH98" s="353"/>
      <c r="LGI98" s="353"/>
      <c r="LGJ98" s="353"/>
      <c r="LGK98" s="353"/>
      <c r="LGL98" s="353"/>
      <c r="LGM98" s="353"/>
      <c r="LGN98" s="353"/>
      <c r="LGO98" s="353"/>
      <c r="LGP98" s="353"/>
      <c r="LGQ98" s="353"/>
      <c r="LGR98" s="353"/>
      <c r="LGS98" s="353"/>
      <c r="LGT98" s="353"/>
      <c r="LGU98" s="353"/>
      <c r="LGV98" s="353"/>
      <c r="LGW98" s="353"/>
      <c r="LGX98" s="353"/>
      <c r="LGY98" s="353"/>
      <c r="LGZ98" s="353"/>
      <c r="LHA98" s="353"/>
      <c r="LHB98" s="353"/>
      <c r="LHC98" s="353"/>
      <c r="LHD98" s="353"/>
      <c r="LHE98" s="353"/>
      <c r="LHF98" s="353"/>
      <c r="LHG98" s="353"/>
      <c r="LHH98" s="353"/>
      <c r="LHI98" s="353"/>
      <c r="LHJ98" s="353"/>
      <c r="LHK98" s="353"/>
      <c r="LHL98" s="353"/>
      <c r="LHM98" s="353"/>
      <c r="LHN98" s="353"/>
      <c r="LHO98" s="353"/>
      <c r="LHP98" s="353"/>
      <c r="LHQ98" s="353"/>
      <c r="LHR98" s="353"/>
      <c r="LHS98" s="353"/>
      <c r="LHT98" s="353"/>
      <c r="LHU98" s="353"/>
      <c r="LHV98" s="353"/>
      <c r="LHW98" s="353"/>
      <c r="LHX98" s="353"/>
      <c r="LHY98" s="353"/>
      <c r="LHZ98" s="353"/>
      <c r="LIA98" s="353"/>
      <c r="LIB98" s="353"/>
      <c r="LIC98" s="353"/>
      <c r="LID98" s="353"/>
      <c r="LIE98" s="353"/>
      <c r="LIF98" s="353"/>
      <c r="LIG98" s="353"/>
      <c r="LIH98" s="353"/>
      <c r="LII98" s="353"/>
      <c r="LIJ98" s="353"/>
      <c r="LIK98" s="353"/>
      <c r="LIL98" s="353"/>
      <c r="LIM98" s="353"/>
      <c r="LIN98" s="353"/>
      <c r="LIO98" s="353"/>
      <c r="LIP98" s="353"/>
      <c r="LIQ98" s="353"/>
      <c r="LIR98" s="353"/>
      <c r="LIS98" s="353"/>
      <c r="LIT98" s="353"/>
      <c r="LIU98" s="353"/>
      <c r="LIV98" s="353"/>
      <c r="LIW98" s="353"/>
      <c r="LIX98" s="353"/>
      <c r="LIY98" s="353"/>
      <c r="LIZ98" s="353"/>
      <c r="LJA98" s="353"/>
      <c r="LJB98" s="353"/>
      <c r="LJC98" s="353"/>
      <c r="LJD98" s="353"/>
      <c r="LJE98" s="353"/>
      <c r="LJF98" s="353"/>
      <c r="LJG98" s="353"/>
      <c r="LJH98" s="353"/>
      <c r="LJI98" s="353"/>
      <c r="LJJ98" s="353"/>
      <c r="LJK98" s="353"/>
      <c r="LJL98" s="353"/>
      <c r="LJM98" s="353"/>
      <c r="LJN98" s="353"/>
      <c r="LJO98" s="353"/>
      <c r="LJP98" s="353"/>
      <c r="LJQ98" s="353"/>
      <c r="LJR98" s="353"/>
      <c r="LJS98" s="353"/>
      <c r="LJT98" s="353"/>
      <c r="LJU98" s="353"/>
      <c r="LJV98" s="353"/>
      <c r="LJW98" s="353"/>
      <c r="LJX98" s="353"/>
      <c r="LJY98" s="353"/>
      <c r="LJZ98" s="353"/>
      <c r="LKA98" s="353"/>
      <c r="LKB98" s="353"/>
      <c r="LKC98" s="353"/>
      <c r="LKD98" s="353"/>
      <c r="LKE98" s="353"/>
      <c r="LKF98" s="353"/>
      <c r="LKG98" s="353"/>
      <c r="LKH98" s="353"/>
      <c r="LKI98" s="353"/>
      <c r="LKJ98" s="353"/>
      <c r="LKK98" s="353"/>
      <c r="LKL98" s="353"/>
      <c r="LKM98" s="353"/>
      <c r="LKN98" s="353"/>
      <c r="LKO98" s="353"/>
      <c r="LKP98" s="353"/>
      <c r="LKQ98" s="353"/>
      <c r="LKR98" s="353"/>
      <c r="LKS98" s="353"/>
      <c r="LKT98" s="353"/>
      <c r="LKU98" s="353"/>
      <c r="LKV98" s="353"/>
      <c r="LKW98" s="353"/>
      <c r="LKX98" s="353"/>
      <c r="LKY98" s="353"/>
      <c r="LKZ98" s="353"/>
      <c r="LLA98" s="353"/>
      <c r="LLB98" s="353"/>
      <c r="LLC98" s="353"/>
      <c r="LLD98" s="353"/>
      <c r="LLE98" s="353"/>
      <c r="LLF98" s="353"/>
      <c r="LLG98" s="353"/>
      <c r="LLH98" s="353"/>
      <c r="LLI98" s="353"/>
      <c r="LLJ98" s="353"/>
      <c r="LLK98" s="353"/>
      <c r="LLL98" s="353"/>
      <c r="LLM98" s="353"/>
      <c r="LLN98" s="353"/>
      <c r="LLO98" s="353"/>
      <c r="LLP98" s="353"/>
      <c r="LLQ98" s="353"/>
      <c r="LLR98" s="353"/>
      <c r="LLS98" s="353"/>
      <c r="LLT98" s="353"/>
      <c r="LLU98" s="353"/>
      <c r="LLV98" s="353"/>
      <c r="LLW98" s="353"/>
      <c r="LLX98" s="353"/>
      <c r="LLY98" s="353"/>
      <c r="LLZ98" s="353"/>
      <c r="LMA98" s="353"/>
      <c r="LMB98" s="353"/>
      <c r="LMC98" s="353"/>
      <c r="LMD98" s="353"/>
      <c r="LME98" s="353"/>
      <c r="LMF98" s="353"/>
      <c r="LMG98" s="353"/>
      <c r="LMH98" s="353"/>
      <c r="LMI98" s="353"/>
      <c r="LMJ98" s="353"/>
      <c r="LMK98" s="353"/>
      <c r="LML98" s="353"/>
      <c r="LMM98" s="353"/>
      <c r="LMN98" s="353"/>
      <c r="LMO98" s="353"/>
      <c r="LMP98" s="353"/>
      <c r="LMQ98" s="353"/>
      <c r="LMR98" s="353"/>
      <c r="LMS98" s="353"/>
      <c r="LMT98" s="353"/>
      <c r="LMU98" s="353"/>
      <c r="LMV98" s="353"/>
      <c r="LMW98" s="353"/>
      <c r="LMX98" s="353"/>
      <c r="LMY98" s="353"/>
      <c r="LMZ98" s="353"/>
      <c r="LNA98" s="353"/>
      <c r="LNB98" s="353"/>
      <c r="LNC98" s="353"/>
      <c r="LND98" s="353"/>
      <c r="LNE98" s="353"/>
      <c r="LNF98" s="353"/>
      <c r="LNG98" s="353"/>
      <c r="LNH98" s="353"/>
      <c r="LNI98" s="353"/>
      <c r="LNJ98" s="353"/>
      <c r="LNK98" s="353"/>
      <c r="LNL98" s="353"/>
      <c r="LNM98" s="353"/>
      <c r="LNN98" s="353"/>
      <c r="LNO98" s="353"/>
      <c r="LNP98" s="353"/>
      <c r="LNQ98" s="353"/>
      <c r="LNR98" s="353"/>
      <c r="LNS98" s="353"/>
      <c r="LNT98" s="353"/>
      <c r="LNU98" s="353"/>
      <c r="LNV98" s="353"/>
      <c r="LNW98" s="353"/>
      <c r="LNX98" s="353"/>
      <c r="LNY98" s="353"/>
      <c r="LNZ98" s="353"/>
      <c r="LOA98" s="353"/>
      <c r="LOB98" s="353"/>
      <c r="LOC98" s="353"/>
      <c r="LOD98" s="353"/>
      <c r="LOE98" s="353"/>
      <c r="LOF98" s="353"/>
      <c r="LOG98" s="353"/>
      <c r="LOH98" s="353"/>
      <c r="LOI98" s="353"/>
      <c r="LOJ98" s="353"/>
      <c r="LOK98" s="353"/>
      <c r="LOL98" s="353"/>
      <c r="LOM98" s="353"/>
      <c r="LON98" s="353"/>
      <c r="LOO98" s="353"/>
      <c r="LOP98" s="353"/>
      <c r="LOQ98" s="353"/>
      <c r="LOR98" s="353"/>
      <c r="LOS98" s="353"/>
      <c r="LOT98" s="353"/>
      <c r="LOU98" s="353"/>
      <c r="LOV98" s="353"/>
      <c r="LOW98" s="353"/>
      <c r="LOX98" s="353"/>
      <c r="LOY98" s="353"/>
      <c r="LOZ98" s="353"/>
      <c r="LPA98" s="353"/>
      <c r="LPB98" s="353"/>
      <c r="LPC98" s="353"/>
      <c r="LPD98" s="353"/>
      <c r="LPE98" s="353"/>
      <c r="LPF98" s="353"/>
      <c r="LPG98" s="353"/>
      <c r="LPH98" s="353"/>
      <c r="LPI98" s="353"/>
      <c r="LPJ98" s="353"/>
      <c r="LPK98" s="353"/>
      <c r="LPL98" s="353"/>
      <c r="LPM98" s="353"/>
      <c r="LPN98" s="353"/>
      <c r="LPO98" s="353"/>
      <c r="LPP98" s="353"/>
      <c r="LPQ98" s="353"/>
      <c r="LPR98" s="353"/>
      <c r="LPS98" s="353"/>
      <c r="LPT98" s="353"/>
      <c r="LPU98" s="353"/>
      <c r="LPV98" s="353"/>
      <c r="LPW98" s="353"/>
      <c r="LPX98" s="353"/>
      <c r="LPY98" s="353"/>
      <c r="LPZ98" s="353"/>
      <c r="LQA98" s="353"/>
      <c r="LQB98" s="353"/>
      <c r="LQC98" s="353"/>
      <c r="LQD98" s="353"/>
      <c r="LQE98" s="353"/>
      <c r="LQF98" s="353"/>
      <c r="LQG98" s="353"/>
      <c r="LQH98" s="353"/>
      <c r="LQI98" s="353"/>
      <c r="LQJ98" s="353"/>
      <c r="LQK98" s="353"/>
      <c r="LQL98" s="353"/>
      <c r="LQM98" s="353"/>
      <c r="LQN98" s="353"/>
      <c r="LQO98" s="353"/>
      <c r="LQP98" s="353"/>
      <c r="LQQ98" s="353"/>
      <c r="LQR98" s="353"/>
      <c r="LQS98" s="353"/>
      <c r="LQT98" s="353"/>
      <c r="LQU98" s="353"/>
      <c r="LQV98" s="353"/>
      <c r="LQW98" s="353"/>
      <c r="LQX98" s="353"/>
      <c r="LQY98" s="353"/>
      <c r="LQZ98" s="353"/>
      <c r="LRA98" s="353"/>
      <c r="LRB98" s="353"/>
      <c r="LRC98" s="353"/>
      <c r="LRD98" s="353"/>
      <c r="LRE98" s="353"/>
      <c r="LRF98" s="353"/>
      <c r="LRG98" s="353"/>
      <c r="LRH98" s="353"/>
      <c r="LRI98" s="353"/>
      <c r="LRJ98" s="353"/>
      <c r="LRK98" s="353"/>
      <c r="LRL98" s="353"/>
      <c r="LRM98" s="353"/>
      <c r="LRN98" s="353"/>
      <c r="LRO98" s="353"/>
      <c r="LRP98" s="353"/>
      <c r="LRQ98" s="353"/>
      <c r="LRR98" s="353"/>
      <c r="LRS98" s="353"/>
      <c r="LRT98" s="353"/>
      <c r="LRU98" s="353"/>
      <c r="LRV98" s="353"/>
      <c r="LRW98" s="353"/>
      <c r="LRX98" s="353"/>
      <c r="LRY98" s="353"/>
      <c r="LRZ98" s="353"/>
      <c r="LSA98" s="353"/>
      <c r="LSB98" s="353"/>
      <c r="LSC98" s="353"/>
      <c r="LSD98" s="353"/>
      <c r="LSE98" s="353"/>
      <c r="LSF98" s="353"/>
      <c r="LSG98" s="353"/>
      <c r="LSH98" s="353"/>
      <c r="LSI98" s="353"/>
      <c r="LSJ98" s="353"/>
      <c r="LSK98" s="353"/>
      <c r="LSL98" s="353"/>
      <c r="LSM98" s="353"/>
      <c r="LSN98" s="353"/>
      <c r="LSO98" s="353"/>
      <c r="LSP98" s="353"/>
      <c r="LSQ98" s="353"/>
      <c r="LSR98" s="353"/>
      <c r="LSS98" s="353"/>
      <c r="LST98" s="353"/>
      <c r="LSU98" s="353"/>
      <c r="LSV98" s="353"/>
      <c r="LSW98" s="353"/>
      <c r="LSX98" s="353"/>
      <c r="LSY98" s="353"/>
      <c r="LSZ98" s="353"/>
      <c r="LTA98" s="353"/>
      <c r="LTB98" s="353"/>
      <c r="LTC98" s="353"/>
      <c r="LTD98" s="353"/>
      <c r="LTE98" s="353"/>
      <c r="LTF98" s="353"/>
      <c r="LTG98" s="353"/>
      <c r="LTH98" s="353"/>
      <c r="LTI98" s="353"/>
      <c r="LTJ98" s="353"/>
      <c r="LTK98" s="353"/>
      <c r="LTL98" s="353"/>
      <c r="LTM98" s="353"/>
      <c r="LTN98" s="353"/>
      <c r="LTO98" s="353"/>
      <c r="LTP98" s="353"/>
      <c r="LTQ98" s="353"/>
      <c r="LTR98" s="353"/>
      <c r="LTS98" s="353"/>
      <c r="LTT98" s="353"/>
      <c r="LTU98" s="353"/>
      <c r="LTV98" s="353"/>
      <c r="LTW98" s="353"/>
      <c r="LTX98" s="353"/>
      <c r="LTY98" s="353"/>
      <c r="LTZ98" s="353"/>
      <c r="LUA98" s="353"/>
      <c r="LUB98" s="353"/>
      <c r="LUC98" s="353"/>
      <c r="LUD98" s="353"/>
      <c r="LUE98" s="353"/>
      <c r="LUF98" s="353"/>
      <c r="LUG98" s="353"/>
      <c r="LUH98" s="353"/>
      <c r="LUI98" s="353"/>
      <c r="LUJ98" s="353"/>
      <c r="LUK98" s="353"/>
      <c r="LUL98" s="353"/>
      <c r="LUM98" s="353"/>
      <c r="LUN98" s="353"/>
      <c r="LUO98" s="353"/>
      <c r="LUP98" s="353"/>
      <c r="LUQ98" s="353"/>
      <c r="LUR98" s="353"/>
      <c r="LUS98" s="353"/>
      <c r="LUT98" s="353"/>
      <c r="LUU98" s="353"/>
      <c r="LUV98" s="353"/>
      <c r="LUW98" s="353"/>
      <c r="LUX98" s="353"/>
      <c r="LUY98" s="353"/>
      <c r="LUZ98" s="353"/>
      <c r="LVA98" s="353"/>
      <c r="LVB98" s="353"/>
      <c r="LVC98" s="353"/>
      <c r="LVD98" s="353"/>
      <c r="LVE98" s="353"/>
      <c r="LVF98" s="353"/>
      <c r="LVG98" s="353"/>
      <c r="LVH98" s="353"/>
      <c r="LVI98" s="353"/>
      <c r="LVJ98" s="353"/>
      <c r="LVK98" s="353"/>
      <c r="LVL98" s="353"/>
      <c r="LVM98" s="353"/>
      <c r="LVN98" s="353"/>
      <c r="LVO98" s="353"/>
      <c r="LVP98" s="353"/>
      <c r="LVQ98" s="353"/>
      <c r="LVR98" s="353"/>
      <c r="LVS98" s="353"/>
      <c r="LVT98" s="353"/>
      <c r="LVU98" s="353"/>
      <c r="LVV98" s="353"/>
      <c r="LVW98" s="353"/>
      <c r="LVX98" s="353"/>
      <c r="LVY98" s="353"/>
      <c r="LVZ98" s="353"/>
      <c r="LWA98" s="353"/>
      <c r="LWB98" s="353"/>
      <c r="LWC98" s="353"/>
      <c r="LWD98" s="353"/>
      <c r="LWE98" s="353"/>
      <c r="LWF98" s="353"/>
      <c r="LWG98" s="353"/>
      <c r="LWH98" s="353"/>
      <c r="LWI98" s="353"/>
      <c r="LWJ98" s="353"/>
      <c r="LWK98" s="353"/>
      <c r="LWL98" s="353"/>
      <c r="LWM98" s="353"/>
      <c r="LWN98" s="353"/>
      <c r="LWO98" s="353"/>
      <c r="LWP98" s="353"/>
      <c r="LWQ98" s="353"/>
      <c r="LWR98" s="353"/>
      <c r="LWS98" s="353"/>
      <c r="LWT98" s="353"/>
      <c r="LWU98" s="353"/>
      <c r="LWV98" s="353"/>
      <c r="LWW98" s="353"/>
      <c r="LWX98" s="353"/>
      <c r="LWY98" s="353"/>
      <c r="LWZ98" s="353"/>
      <c r="LXA98" s="353"/>
      <c r="LXB98" s="353"/>
      <c r="LXC98" s="353"/>
      <c r="LXD98" s="353"/>
      <c r="LXE98" s="353"/>
      <c r="LXF98" s="353"/>
      <c r="LXG98" s="353"/>
      <c r="LXH98" s="353"/>
      <c r="LXI98" s="353"/>
      <c r="LXJ98" s="353"/>
      <c r="LXK98" s="353"/>
      <c r="LXL98" s="353"/>
      <c r="LXM98" s="353"/>
      <c r="LXN98" s="353"/>
      <c r="LXO98" s="353"/>
      <c r="LXP98" s="353"/>
      <c r="LXQ98" s="353"/>
      <c r="LXR98" s="353"/>
      <c r="LXS98" s="353"/>
      <c r="LXT98" s="353"/>
      <c r="LXU98" s="353"/>
      <c r="LXV98" s="353"/>
      <c r="LXW98" s="353"/>
      <c r="LXX98" s="353"/>
      <c r="LXY98" s="353"/>
      <c r="LXZ98" s="353"/>
      <c r="LYA98" s="353"/>
      <c r="LYB98" s="353"/>
      <c r="LYC98" s="353"/>
      <c r="LYD98" s="353"/>
      <c r="LYE98" s="353"/>
      <c r="LYF98" s="353"/>
      <c r="LYG98" s="353"/>
      <c r="LYH98" s="353"/>
      <c r="LYI98" s="353"/>
      <c r="LYJ98" s="353"/>
      <c r="LYK98" s="353"/>
      <c r="LYL98" s="353"/>
      <c r="LYM98" s="353"/>
      <c r="LYN98" s="353"/>
      <c r="LYO98" s="353"/>
      <c r="LYP98" s="353"/>
      <c r="LYQ98" s="353"/>
      <c r="LYR98" s="353"/>
      <c r="LYS98" s="353"/>
      <c r="LYT98" s="353"/>
      <c r="LYU98" s="353"/>
      <c r="LYV98" s="353"/>
      <c r="LYW98" s="353"/>
      <c r="LYX98" s="353"/>
      <c r="LYY98" s="353"/>
      <c r="LYZ98" s="353"/>
      <c r="LZA98" s="353"/>
      <c r="LZB98" s="353"/>
      <c r="LZC98" s="353"/>
      <c r="LZD98" s="353"/>
      <c r="LZE98" s="353"/>
      <c r="LZF98" s="353"/>
      <c r="LZG98" s="353"/>
      <c r="LZH98" s="353"/>
      <c r="LZI98" s="353"/>
      <c r="LZJ98" s="353"/>
      <c r="LZK98" s="353"/>
      <c r="LZL98" s="353"/>
      <c r="LZM98" s="353"/>
      <c r="LZN98" s="353"/>
      <c r="LZO98" s="353"/>
      <c r="LZP98" s="353"/>
      <c r="LZQ98" s="353"/>
      <c r="LZR98" s="353"/>
      <c r="LZS98" s="353"/>
      <c r="LZT98" s="353"/>
      <c r="LZU98" s="353"/>
      <c r="LZV98" s="353"/>
      <c r="LZW98" s="353"/>
      <c r="LZX98" s="353"/>
      <c r="LZY98" s="353"/>
      <c r="LZZ98" s="353"/>
      <c r="MAA98" s="353"/>
      <c r="MAB98" s="353"/>
      <c r="MAC98" s="353"/>
      <c r="MAD98" s="353"/>
      <c r="MAE98" s="353"/>
      <c r="MAF98" s="353"/>
      <c r="MAG98" s="353"/>
      <c r="MAH98" s="353"/>
      <c r="MAI98" s="353"/>
      <c r="MAJ98" s="353"/>
      <c r="MAK98" s="353"/>
      <c r="MAL98" s="353"/>
      <c r="MAM98" s="353"/>
      <c r="MAN98" s="353"/>
      <c r="MAO98" s="353"/>
      <c r="MAP98" s="353"/>
      <c r="MAQ98" s="353"/>
      <c r="MAR98" s="353"/>
      <c r="MAS98" s="353"/>
      <c r="MAT98" s="353"/>
      <c r="MAU98" s="353"/>
      <c r="MAV98" s="353"/>
      <c r="MAW98" s="353"/>
      <c r="MAX98" s="353"/>
      <c r="MAY98" s="353"/>
      <c r="MAZ98" s="353"/>
      <c r="MBA98" s="353"/>
      <c r="MBB98" s="353"/>
      <c r="MBC98" s="353"/>
      <c r="MBD98" s="353"/>
      <c r="MBE98" s="353"/>
      <c r="MBF98" s="353"/>
      <c r="MBG98" s="353"/>
      <c r="MBH98" s="353"/>
      <c r="MBI98" s="353"/>
      <c r="MBJ98" s="353"/>
      <c r="MBK98" s="353"/>
      <c r="MBL98" s="353"/>
      <c r="MBM98" s="353"/>
      <c r="MBN98" s="353"/>
      <c r="MBO98" s="353"/>
      <c r="MBP98" s="353"/>
      <c r="MBQ98" s="353"/>
      <c r="MBR98" s="353"/>
      <c r="MBS98" s="353"/>
      <c r="MBT98" s="353"/>
      <c r="MBU98" s="353"/>
      <c r="MBV98" s="353"/>
      <c r="MBW98" s="353"/>
      <c r="MBX98" s="353"/>
      <c r="MBY98" s="353"/>
      <c r="MBZ98" s="353"/>
      <c r="MCA98" s="353"/>
      <c r="MCB98" s="353"/>
      <c r="MCC98" s="353"/>
      <c r="MCD98" s="353"/>
      <c r="MCE98" s="353"/>
      <c r="MCF98" s="353"/>
      <c r="MCG98" s="353"/>
      <c r="MCH98" s="353"/>
      <c r="MCI98" s="353"/>
      <c r="MCJ98" s="353"/>
      <c r="MCK98" s="353"/>
      <c r="MCL98" s="353"/>
      <c r="MCM98" s="353"/>
      <c r="MCN98" s="353"/>
      <c r="MCO98" s="353"/>
      <c r="MCP98" s="353"/>
      <c r="MCQ98" s="353"/>
      <c r="MCR98" s="353"/>
      <c r="MCS98" s="353"/>
      <c r="MCT98" s="353"/>
      <c r="MCU98" s="353"/>
      <c r="MCV98" s="353"/>
      <c r="MCW98" s="353"/>
      <c r="MCX98" s="353"/>
      <c r="MCY98" s="353"/>
      <c r="MCZ98" s="353"/>
      <c r="MDA98" s="353"/>
      <c r="MDB98" s="353"/>
      <c r="MDC98" s="353"/>
      <c r="MDD98" s="353"/>
      <c r="MDE98" s="353"/>
      <c r="MDF98" s="353"/>
      <c r="MDG98" s="353"/>
      <c r="MDH98" s="353"/>
      <c r="MDI98" s="353"/>
      <c r="MDJ98" s="353"/>
      <c r="MDK98" s="353"/>
      <c r="MDL98" s="353"/>
      <c r="MDM98" s="353"/>
      <c r="MDN98" s="353"/>
      <c r="MDO98" s="353"/>
      <c r="MDP98" s="353"/>
      <c r="MDQ98" s="353"/>
      <c r="MDR98" s="353"/>
      <c r="MDS98" s="353"/>
      <c r="MDT98" s="353"/>
      <c r="MDU98" s="353"/>
      <c r="MDV98" s="353"/>
      <c r="MDW98" s="353"/>
      <c r="MDX98" s="353"/>
      <c r="MDY98" s="353"/>
      <c r="MDZ98" s="353"/>
      <c r="MEA98" s="353"/>
      <c r="MEB98" s="353"/>
      <c r="MEC98" s="353"/>
      <c r="MED98" s="353"/>
      <c r="MEE98" s="353"/>
      <c r="MEF98" s="353"/>
      <c r="MEG98" s="353"/>
      <c r="MEH98" s="353"/>
      <c r="MEI98" s="353"/>
      <c r="MEJ98" s="353"/>
      <c r="MEK98" s="353"/>
      <c r="MEL98" s="353"/>
      <c r="MEM98" s="353"/>
      <c r="MEN98" s="353"/>
      <c r="MEO98" s="353"/>
      <c r="MEP98" s="353"/>
      <c r="MEQ98" s="353"/>
      <c r="MER98" s="353"/>
      <c r="MES98" s="353"/>
      <c r="MET98" s="353"/>
      <c r="MEU98" s="353"/>
      <c r="MEV98" s="353"/>
      <c r="MEW98" s="353"/>
      <c r="MEX98" s="353"/>
      <c r="MEY98" s="353"/>
      <c r="MEZ98" s="353"/>
      <c r="MFA98" s="353"/>
      <c r="MFB98" s="353"/>
      <c r="MFC98" s="353"/>
      <c r="MFD98" s="353"/>
      <c r="MFE98" s="353"/>
      <c r="MFF98" s="353"/>
      <c r="MFG98" s="353"/>
      <c r="MFH98" s="353"/>
      <c r="MFI98" s="353"/>
      <c r="MFJ98" s="353"/>
      <c r="MFK98" s="353"/>
      <c r="MFL98" s="353"/>
      <c r="MFM98" s="353"/>
      <c r="MFN98" s="353"/>
      <c r="MFO98" s="353"/>
      <c r="MFP98" s="353"/>
      <c r="MFQ98" s="353"/>
      <c r="MFR98" s="353"/>
      <c r="MFS98" s="353"/>
      <c r="MFT98" s="353"/>
      <c r="MFU98" s="353"/>
      <c r="MFV98" s="353"/>
      <c r="MFW98" s="353"/>
      <c r="MFX98" s="353"/>
      <c r="MFY98" s="353"/>
      <c r="MFZ98" s="353"/>
      <c r="MGA98" s="353"/>
      <c r="MGB98" s="353"/>
      <c r="MGC98" s="353"/>
      <c r="MGD98" s="353"/>
      <c r="MGE98" s="353"/>
      <c r="MGF98" s="353"/>
      <c r="MGG98" s="353"/>
      <c r="MGH98" s="353"/>
      <c r="MGI98" s="353"/>
      <c r="MGJ98" s="353"/>
      <c r="MGK98" s="353"/>
      <c r="MGL98" s="353"/>
      <c r="MGM98" s="353"/>
      <c r="MGN98" s="353"/>
      <c r="MGO98" s="353"/>
      <c r="MGP98" s="353"/>
      <c r="MGQ98" s="353"/>
      <c r="MGR98" s="353"/>
      <c r="MGS98" s="353"/>
      <c r="MGT98" s="353"/>
      <c r="MGU98" s="353"/>
      <c r="MGV98" s="353"/>
      <c r="MGW98" s="353"/>
      <c r="MGX98" s="353"/>
      <c r="MGY98" s="353"/>
      <c r="MGZ98" s="353"/>
      <c r="MHA98" s="353"/>
      <c r="MHB98" s="353"/>
      <c r="MHC98" s="353"/>
      <c r="MHD98" s="353"/>
      <c r="MHE98" s="353"/>
      <c r="MHF98" s="353"/>
      <c r="MHG98" s="353"/>
      <c r="MHH98" s="353"/>
      <c r="MHI98" s="353"/>
      <c r="MHJ98" s="353"/>
      <c r="MHK98" s="353"/>
      <c r="MHL98" s="353"/>
      <c r="MHM98" s="353"/>
      <c r="MHN98" s="353"/>
      <c r="MHO98" s="353"/>
      <c r="MHP98" s="353"/>
      <c r="MHQ98" s="353"/>
      <c r="MHR98" s="353"/>
      <c r="MHS98" s="353"/>
      <c r="MHT98" s="353"/>
      <c r="MHU98" s="353"/>
      <c r="MHV98" s="353"/>
      <c r="MHW98" s="353"/>
      <c r="MHX98" s="353"/>
      <c r="MHY98" s="353"/>
      <c r="MHZ98" s="353"/>
      <c r="MIA98" s="353"/>
      <c r="MIB98" s="353"/>
      <c r="MIC98" s="353"/>
      <c r="MID98" s="353"/>
      <c r="MIE98" s="353"/>
      <c r="MIF98" s="353"/>
      <c r="MIG98" s="353"/>
      <c r="MIH98" s="353"/>
      <c r="MII98" s="353"/>
      <c r="MIJ98" s="353"/>
      <c r="MIK98" s="353"/>
      <c r="MIL98" s="353"/>
      <c r="MIM98" s="353"/>
      <c r="MIN98" s="353"/>
      <c r="MIO98" s="353"/>
      <c r="MIP98" s="353"/>
      <c r="MIQ98" s="353"/>
      <c r="MIR98" s="353"/>
      <c r="MIS98" s="353"/>
      <c r="MIT98" s="353"/>
      <c r="MIU98" s="353"/>
      <c r="MIV98" s="353"/>
      <c r="MIW98" s="353"/>
      <c r="MIX98" s="353"/>
      <c r="MIY98" s="353"/>
      <c r="MIZ98" s="353"/>
      <c r="MJA98" s="353"/>
      <c r="MJB98" s="353"/>
      <c r="MJC98" s="353"/>
      <c r="MJD98" s="353"/>
      <c r="MJE98" s="353"/>
      <c r="MJF98" s="353"/>
      <c r="MJG98" s="353"/>
      <c r="MJH98" s="353"/>
      <c r="MJI98" s="353"/>
      <c r="MJJ98" s="353"/>
      <c r="MJK98" s="353"/>
      <c r="MJL98" s="353"/>
      <c r="MJM98" s="353"/>
      <c r="MJN98" s="353"/>
      <c r="MJO98" s="353"/>
      <c r="MJP98" s="353"/>
      <c r="MJQ98" s="353"/>
      <c r="MJR98" s="353"/>
      <c r="MJS98" s="353"/>
      <c r="MJT98" s="353"/>
      <c r="MJU98" s="353"/>
      <c r="MJV98" s="353"/>
      <c r="MJW98" s="353"/>
      <c r="MJX98" s="353"/>
      <c r="MJY98" s="353"/>
      <c r="MJZ98" s="353"/>
      <c r="MKA98" s="353"/>
      <c r="MKB98" s="353"/>
      <c r="MKC98" s="353"/>
      <c r="MKD98" s="353"/>
      <c r="MKE98" s="353"/>
      <c r="MKF98" s="353"/>
      <c r="MKG98" s="353"/>
      <c r="MKH98" s="353"/>
      <c r="MKI98" s="353"/>
      <c r="MKJ98" s="353"/>
      <c r="MKK98" s="353"/>
      <c r="MKL98" s="353"/>
      <c r="MKM98" s="353"/>
      <c r="MKN98" s="353"/>
      <c r="MKO98" s="353"/>
      <c r="MKP98" s="353"/>
      <c r="MKQ98" s="353"/>
      <c r="MKR98" s="353"/>
      <c r="MKS98" s="353"/>
      <c r="MKT98" s="353"/>
      <c r="MKU98" s="353"/>
      <c r="MKV98" s="353"/>
      <c r="MKW98" s="353"/>
      <c r="MKX98" s="353"/>
      <c r="MKY98" s="353"/>
      <c r="MKZ98" s="353"/>
      <c r="MLA98" s="353"/>
      <c r="MLB98" s="353"/>
      <c r="MLC98" s="353"/>
      <c r="MLD98" s="353"/>
      <c r="MLE98" s="353"/>
      <c r="MLF98" s="353"/>
      <c r="MLG98" s="353"/>
      <c r="MLH98" s="353"/>
      <c r="MLI98" s="353"/>
      <c r="MLJ98" s="353"/>
      <c r="MLK98" s="353"/>
      <c r="MLL98" s="353"/>
      <c r="MLM98" s="353"/>
      <c r="MLN98" s="353"/>
      <c r="MLO98" s="353"/>
      <c r="MLP98" s="353"/>
      <c r="MLQ98" s="353"/>
      <c r="MLR98" s="353"/>
      <c r="MLS98" s="353"/>
      <c r="MLT98" s="353"/>
      <c r="MLU98" s="353"/>
      <c r="MLV98" s="353"/>
      <c r="MLW98" s="353"/>
      <c r="MLX98" s="353"/>
      <c r="MLY98" s="353"/>
      <c r="MLZ98" s="353"/>
      <c r="MMA98" s="353"/>
      <c r="MMB98" s="353"/>
      <c r="MMC98" s="353"/>
      <c r="MMD98" s="353"/>
      <c r="MME98" s="353"/>
      <c r="MMF98" s="353"/>
      <c r="MMG98" s="353"/>
      <c r="MMH98" s="353"/>
      <c r="MMI98" s="353"/>
      <c r="MMJ98" s="353"/>
      <c r="MMK98" s="353"/>
      <c r="MML98" s="353"/>
      <c r="MMM98" s="353"/>
      <c r="MMN98" s="353"/>
      <c r="MMO98" s="353"/>
      <c r="MMP98" s="353"/>
      <c r="MMQ98" s="353"/>
      <c r="MMR98" s="353"/>
      <c r="MMS98" s="353"/>
      <c r="MMT98" s="353"/>
      <c r="MMU98" s="353"/>
      <c r="MMV98" s="353"/>
      <c r="MMW98" s="353"/>
      <c r="MMX98" s="353"/>
      <c r="MMY98" s="353"/>
      <c r="MMZ98" s="353"/>
      <c r="MNA98" s="353"/>
      <c r="MNB98" s="353"/>
      <c r="MNC98" s="353"/>
      <c r="MND98" s="353"/>
      <c r="MNE98" s="353"/>
      <c r="MNF98" s="353"/>
      <c r="MNG98" s="353"/>
      <c r="MNH98" s="353"/>
      <c r="MNI98" s="353"/>
      <c r="MNJ98" s="353"/>
      <c r="MNK98" s="353"/>
      <c r="MNL98" s="353"/>
      <c r="MNM98" s="353"/>
      <c r="MNN98" s="353"/>
      <c r="MNO98" s="353"/>
      <c r="MNP98" s="353"/>
      <c r="MNQ98" s="353"/>
      <c r="MNR98" s="353"/>
      <c r="MNS98" s="353"/>
      <c r="MNT98" s="353"/>
      <c r="MNU98" s="353"/>
      <c r="MNV98" s="353"/>
      <c r="MNW98" s="353"/>
      <c r="MNX98" s="353"/>
      <c r="MNY98" s="353"/>
      <c r="MNZ98" s="353"/>
      <c r="MOA98" s="353"/>
      <c r="MOB98" s="353"/>
      <c r="MOC98" s="353"/>
      <c r="MOD98" s="353"/>
      <c r="MOE98" s="353"/>
      <c r="MOF98" s="353"/>
      <c r="MOG98" s="353"/>
      <c r="MOH98" s="353"/>
      <c r="MOI98" s="353"/>
      <c r="MOJ98" s="353"/>
      <c r="MOK98" s="353"/>
      <c r="MOL98" s="353"/>
      <c r="MOM98" s="353"/>
      <c r="MON98" s="353"/>
      <c r="MOO98" s="353"/>
      <c r="MOP98" s="353"/>
      <c r="MOQ98" s="353"/>
      <c r="MOR98" s="353"/>
      <c r="MOS98" s="353"/>
      <c r="MOT98" s="353"/>
      <c r="MOU98" s="353"/>
      <c r="MOV98" s="353"/>
      <c r="MOW98" s="353"/>
      <c r="MOX98" s="353"/>
      <c r="MOY98" s="353"/>
      <c r="MOZ98" s="353"/>
      <c r="MPA98" s="353"/>
      <c r="MPB98" s="353"/>
      <c r="MPC98" s="353"/>
      <c r="MPD98" s="353"/>
      <c r="MPE98" s="353"/>
      <c r="MPF98" s="353"/>
      <c r="MPG98" s="353"/>
      <c r="MPH98" s="353"/>
      <c r="MPI98" s="353"/>
      <c r="MPJ98" s="353"/>
      <c r="MPK98" s="353"/>
      <c r="MPL98" s="353"/>
      <c r="MPM98" s="353"/>
      <c r="MPN98" s="353"/>
      <c r="MPO98" s="353"/>
      <c r="MPP98" s="353"/>
      <c r="MPQ98" s="353"/>
      <c r="MPR98" s="353"/>
      <c r="MPS98" s="353"/>
      <c r="MPT98" s="353"/>
      <c r="MPU98" s="353"/>
      <c r="MPV98" s="353"/>
      <c r="MPW98" s="353"/>
      <c r="MPX98" s="353"/>
      <c r="MPY98" s="353"/>
      <c r="MPZ98" s="353"/>
      <c r="MQA98" s="353"/>
      <c r="MQB98" s="353"/>
      <c r="MQC98" s="353"/>
      <c r="MQD98" s="353"/>
      <c r="MQE98" s="353"/>
      <c r="MQF98" s="353"/>
      <c r="MQG98" s="353"/>
      <c r="MQH98" s="353"/>
      <c r="MQI98" s="353"/>
      <c r="MQJ98" s="353"/>
      <c r="MQK98" s="353"/>
      <c r="MQL98" s="353"/>
      <c r="MQM98" s="353"/>
      <c r="MQN98" s="353"/>
      <c r="MQO98" s="353"/>
      <c r="MQP98" s="353"/>
      <c r="MQQ98" s="353"/>
      <c r="MQR98" s="353"/>
      <c r="MQS98" s="353"/>
      <c r="MQT98" s="353"/>
      <c r="MQU98" s="353"/>
      <c r="MQV98" s="353"/>
      <c r="MQW98" s="353"/>
      <c r="MQX98" s="353"/>
      <c r="MQY98" s="353"/>
      <c r="MQZ98" s="353"/>
      <c r="MRA98" s="353"/>
      <c r="MRB98" s="353"/>
      <c r="MRC98" s="353"/>
      <c r="MRD98" s="353"/>
      <c r="MRE98" s="353"/>
      <c r="MRF98" s="353"/>
      <c r="MRG98" s="353"/>
      <c r="MRH98" s="353"/>
      <c r="MRI98" s="353"/>
      <c r="MRJ98" s="353"/>
      <c r="MRK98" s="353"/>
      <c r="MRL98" s="353"/>
      <c r="MRM98" s="353"/>
      <c r="MRN98" s="353"/>
      <c r="MRO98" s="353"/>
      <c r="MRP98" s="353"/>
      <c r="MRQ98" s="353"/>
      <c r="MRR98" s="353"/>
      <c r="MRS98" s="353"/>
      <c r="MRT98" s="353"/>
      <c r="MRU98" s="353"/>
      <c r="MRV98" s="353"/>
      <c r="MRW98" s="353"/>
      <c r="MRX98" s="353"/>
      <c r="MRY98" s="353"/>
      <c r="MRZ98" s="353"/>
      <c r="MSA98" s="353"/>
      <c r="MSB98" s="353"/>
      <c r="MSC98" s="353"/>
      <c r="MSD98" s="353"/>
      <c r="MSE98" s="353"/>
      <c r="MSF98" s="353"/>
      <c r="MSG98" s="353"/>
      <c r="MSH98" s="353"/>
      <c r="MSI98" s="353"/>
      <c r="MSJ98" s="353"/>
      <c r="MSK98" s="353"/>
      <c r="MSL98" s="353"/>
      <c r="MSM98" s="353"/>
      <c r="MSN98" s="353"/>
      <c r="MSO98" s="353"/>
      <c r="MSP98" s="353"/>
      <c r="MSQ98" s="353"/>
      <c r="MSR98" s="353"/>
      <c r="MSS98" s="353"/>
      <c r="MST98" s="353"/>
      <c r="MSU98" s="353"/>
      <c r="MSV98" s="353"/>
      <c r="MSW98" s="353"/>
      <c r="MSX98" s="353"/>
      <c r="MSY98" s="353"/>
      <c r="MSZ98" s="353"/>
      <c r="MTA98" s="353"/>
      <c r="MTB98" s="353"/>
      <c r="MTC98" s="353"/>
      <c r="MTD98" s="353"/>
      <c r="MTE98" s="353"/>
      <c r="MTF98" s="353"/>
      <c r="MTG98" s="353"/>
      <c r="MTH98" s="353"/>
      <c r="MTI98" s="353"/>
      <c r="MTJ98" s="353"/>
      <c r="MTK98" s="353"/>
      <c r="MTL98" s="353"/>
      <c r="MTM98" s="353"/>
      <c r="MTN98" s="353"/>
      <c r="MTO98" s="353"/>
      <c r="MTP98" s="353"/>
      <c r="MTQ98" s="353"/>
      <c r="MTR98" s="353"/>
      <c r="MTS98" s="353"/>
      <c r="MTT98" s="353"/>
      <c r="MTU98" s="353"/>
      <c r="MTV98" s="353"/>
      <c r="MTW98" s="353"/>
      <c r="MTX98" s="353"/>
      <c r="MTY98" s="353"/>
      <c r="MTZ98" s="353"/>
      <c r="MUA98" s="353"/>
      <c r="MUB98" s="353"/>
      <c r="MUC98" s="353"/>
      <c r="MUD98" s="353"/>
      <c r="MUE98" s="353"/>
      <c r="MUF98" s="353"/>
      <c r="MUG98" s="353"/>
      <c r="MUH98" s="353"/>
      <c r="MUI98" s="353"/>
      <c r="MUJ98" s="353"/>
      <c r="MUK98" s="353"/>
      <c r="MUL98" s="353"/>
      <c r="MUM98" s="353"/>
      <c r="MUN98" s="353"/>
      <c r="MUO98" s="353"/>
      <c r="MUP98" s="353"/>
      <c r="MUQ98" s="353"/>
      <c r="MUR98" s="353"/>
      <c r="MUS98" s="353"/>
      <c r="MUT98" s="353"/>
      <c r="MUU98" s="353"/>
      <c r="MUV98" s="353"/>
      <c r="MUW98" s="353"/>
      <c r="MUX98" s="353"/>
      <c r="MUY98" s="353"/>
      <c r="MUZ98" s="353"/>
      <c r="MVA98" s="353"/>
      <c r="MVB98" s="353"/>
      <c r="MVC98" s="353"/>
      <c r="MVD98" s="353"/>
      <c r="MVE98" s="353"/>
      <c r="MVF98" s="353"/>
      <c r="MVG98" s="353"/>
      <c r="MVH98" s="353"/>
      <c r="MVI98" s="353"/>
      <c r="MVJ98" s="353"/>
      <c r="MVK98" s="353"/>
      <c r="MVL98" s="353"/>
      <c r="MVM98" s="353"/>
      <c r="MVN98" s="353"/>
      <c r="MVO98" s="353"/>
      <c r="MVP98" s="353"/>
      <c r="MVQ98" s="353"/>
      <c r="MVR98" s="353"/>
      <c r="MVS98" s="353"/>
      <c r="MVT98" s="353"/>
      <c r="MVU98" s="353"/>
      <c r="MVV98" s="353"/>
      <c r="MVW98" s="353"/>
      <c r="MVX98" s="353"/>
      <c r="MVY98" s="353"/>
      <c r="MVZ98" s="353"/>
      <c r="MWA98" s="353"/>
      <c r="MWB98" s="353"/>
      <c r="MWC98" s="353"/>
      <c r="MWD98" s="353"/>
      <c r="MWE98" s="353"/>
      <c r="MWF98" s="353"/>
      <c r="MWG98" s="353"/>
      <c r="MWH98" s="353"/>
      <c r="MWI98" s="353"/>
      <c r="MWJ98" s="353"/>
      <c r="MWK98" s="353"/>
      <c r="MWL98" s="353"/>
      <c r="MWM98" s="353"/>
      <c r="MWN98" s="353"/>
      <c r="MWO98" s="353"/>
      <c r="MWP98" s="353"/>
      <c r="MWQ98" s="353"/>
      <c r="MWR98" s="353"/>
      <c r="MWS98" s="353"/>
      <c r="MWT98" s="353"/>
      <c r="MWU98" s="353"/>
      <c r="MWV98" s="353"/>
      <c r="MWW98" s="353"/>
      <c r="MWX98" s="353"/>
      <c r="MWY98" s="353"/>
      <c r="MWZ98" s="353"/>
      <c r="MXA98" s="353"/>
      <c r="MXB98" s="353"/>
      <c r="MXC98" s="353"/>
      <c r="MXD98" s="353"/>
      <c r="MXE98" s="353"/>
      <c r="MXF98" s="353"/>
      <c r="MXG98" s="353"/>
      <c r="MXH98" s="353"/>
      <c r="MXI98" s="353"/>
      <c r="MXJ98" s="353"/>
      <c r="MXK98" s="353"/>
      <c r="MXL98" s="353"/>
      <c r="MXM98" s="353"/>
      <c r="MXN98" s="353"/>
      <c r="MXO98" s="353"/>
      <c r="MXP98" s="353"/>
      <c r="MXQ98" s="353"/>
      <c r="MXR98" s="353"/>
      <c r="MXS98" s="353"/>
      <c r="MXT98" s="353"/>
      <c r="MXU98" s="353"/>
      <c r="MXV98" s="353"/>
      <c r="MXW98" s="353"/>
      <c r="MXX98" s="353"/>
      <c r="MXY98" s="353"/>
      <c r="MXZ98" s="353"/>
      <c r="MYA98" s="353"/>
      <c r="MYB98" s="353"/>
      <c r="MYC98" s="353"/>
      <c r="MYD98" s="353"/>
      <c r="MYE98" s="353"/>
      <c r="MYF98" s="353"/>
      <c r="MYG98" s="353"/>
      <c r="MYH98" s="353"/>
      <c r="MYI98" s="353"/>
      <c r="MYJ98" s="353"/>
      <c r="MYK98" s="353"/>
      <c r="MYL98" s="353"/>
      <c r="MYM98" s="353"/>
      <c r="MYN98" s="353"/>
      <c r="MYO98" s="353"/>
      <c r="MYP98" s="353"/>
      <c r="MYQ98" s="353"/>
      <c r="MYR98" s="353"/>
      <c r="MYS98" s="353"/>
      <c r="MYT98" s="353"/>
      <c r="MYU98" s="353"/>
      <c r="MYV98" s="353"/>
      <c r="MYW98" s="353"/>
      <c r="MYX98" s="353"/>
      <c r="MYY98" s="353"/>
      <c r="MYZ98" s="353"/>
      <c r="MZA98" s="353"/>
      <c r="MZB98" s="353"/>
      <c r="MZC98" s="353"/>
      <c r="MZD98" s="353"/>
      <c r="MZE98" s="353"/>
      <c r="MZF98" s="353"/>
      <c r="MZG98" s="353"/>
      <c r="MZH98" s="353"/>
      <c r="MZI98" s="353"/>
      <c r="MZJ98" s="353"/>
      <c r="MZK98" s="353"/>
      <c r="MZL98" s="353"/>
      <c r="MZM98" s="353"/>
      <c r="MZN98" s="353"/>
      <c r="MZO98" s="353"/>
      <c r="MZP98" s="353"/>
      <c r="MZQ98" s="353"/>
      <c r="MZR98" s="353"/>
      <c r="MZS98" s="353"/>
      <c r="MZT98" s="353"/>
      <c r="MZU98" s="353"/>
      <c r="MZV98" s="353"/>
      <c r="MZW98" s="353"/>
      <c r="MZX98" s="353"/>
      <c r="MZY98" s="353"/>
      <c r="MZZ98" s="353"/>
      <c r="NAA98" s="353"/>
      <c r="NAB98" s="353"/>
      <c r="NAC98" s="353"/>
      <c r="NAD98" s="353"/>
      <c r="NAE98" s="353"/>
      <c r="NAF98" s="353"/>
      <c r="NAG98" s="353"/>
      <c r="NAH98" s="353"/>
      <c r="NAI98" s="353"/>
      <c r="NAJ98" s="353"/>
      <c r="NAK98" s="353"/>
      <c r="NAL98" s="353"/>
      <c r="NAM98" s="353"/>
      <c r="NAN98" s="353"/>
      <c r="NAO98" s="353"/>
      <c r="NAP98" s="353"/>
      <c r="NAQ98" s="353"/>
      <c r="NAR98" s="353"/>
      <c r="NAS98" s="353"/>
      <c r="NAT98" s="353"/>
      <c r="NAU98" s="353"/>
      <c r="NAV98" s="353"/>
      <c r="NAW98" s="353"/>
      <c r="NAX98" s="353"/>
      <c r="NAY98" s="353"/>
      <c r="NAZ98" s="353"/>
      <c r="NBA98" s="353"/>
      <c r="NBB98" s="353"/>
      <c r="NBC98" s="353"/>
      <c r="NBD98" s="353"/>
      <c r="NBE98" s="353"/>
      <c r="NBF98" s="353"/>
      <c r="NBG98" s="353"/>
      <c r="NBH98" s="353"/>
      <c r="NBI98" s="353"/>
      <c r="NBJ98" s="353"/>
      <c r="NBK98" s="353"/>
      <c r="NBL98" s="353"/>
      <c r="NBM98" s="353"/>
      <c r="NBN98" s="353"/>
      <c r="NBO98" s="353"/>
      <c r="NBP98" s="353"/>
      <c r="NBQ98" s="353"/>
      <c r="NBR98" s="353"/>
      <c r="NBS98" s="353"/>
      <c r="NBT98" s="353"/>
      <c r="NBU98" s="353"/>
      <c r="NBV98" s="353"/>
      <c r="NBW98" s="353"/>
      <c r="NBX98" s="353"/>
      <c r="NBY98" s="353"/>
      <c r="NBZ98" s="353"/>
      <c r="NCA98" s="353"/>
      <c r="NCB98" s="353"/>
      <c r="NCC98" s="353"/>
      <c r="NCD98" s="353"/>
      <c r="NCE98" s="353"/>
      <c r="NCF98" s="353"/>
      <c r="NCG98" s="353"/>
      <c r="NCH98" s="353"/>
      <c r="NCI98" s="353"/>
      <c r="NCJ98" s="353"/>
      <c r="NCK98" s="353"/>
      <c r="NCL98" s="353"/>
      <c r="NCM98" s="353"/>
      <c r="NCN98" s="353"/>
      <c r="NCO98" s="353"/>
      <c r="NCP98" s="353"/>
      <c r="NCQ98" s="353"/>
      <c r="NCR98" s="353"/>
      <c r="NCS98" s="353"/>
      <c r="NCT98" s="353"/>
      <c r="NCU98" s="353"/>
      <c r="NCV98" s="353"/>
      <c r="NCW98" s="353"/>
      <c r="NCX98" s="353"/>
      <c r="NCY98" s="353"/>
      <c r="NCZ98" s="353"/>
      <c r="NDA98" s="353"/>
      <c r="NDB98" s="353"/>
      <c r="NDC98" s="353"/>
      <c r="NDD98" s="353"/>
      <c r="NDE98" s="353"/>
      <c r="NDF98" s="353"/>
      <c r="NDG98" s="353"/>
      <c r="NDH98" s="353"/>
      <c r="NDI98" s="353"/>
      <c r="NDJ98" s="353"/>
      <c r="NDK98" s="353"/>
      <c r="NDL98" s="353"/>
      <c r="NDM98" s="353"/>
      <c r="NDN98" s="353"/>
      <c r="NDO98" s="353"/>
      <c r="NDP98" s="353"/>
      <c r="NDQ98" s="353"/>
      <c r="NDR98" s="353"/>
      <c r="NDS98" s="353"/>
      <c r="NDT98" s="353"/>
      <c r="NDU98" s="353"/>
      <c r="NDV98" s="353"/>
      <c r="NDW98" s="353"/>
      <c r="NDX98" s="353"/>
      <c r="NDY98" s="353"/>
      <c r="NDZ98" s="353"/>
      <c r="NEA98" s="353"/>
      <c r="NEB98" s="353"/>
      <c r="NEC98" s="353"/>
      <c r="NED98" s="353"/>
      <c r="NEE98" s="353"/>
      <c r="NEF98" s="353"/>
      <c r="NEG98" s="353"/>
      <c r="NEH98" s="353"/>
      <c r="NEI98" s="353"/>
      <c r="NEJ98" s="353"/>
      <c r="NEK98" s="353"/>
      <c r="NEL98" s="353"/>
      <c r="NEM98" s="353"/>
      <c r="NEN98" s="353"/>
      <c r="NEO98" s="353"/>
      <c r="NEP98" s="353"/>
      <c r="NEQ98" s="353"/>
      <c r="NER98" s="353"/>
      <c r="NES98" s="353"/>
      <c r="NET98" s="353"/>
      <c r="NEU98" s="353"/>
      <c r="NEV98" s="353"/>
      <c r="NEW98" s="353"/>
      <c r="NEX98" s="353"/>
      <c r="NEY98" s="353"/>
      <c r="NEZ98" s="353"/>
      <c r="NFA98" s="353"/>
      <c r="NFB98" s="353"/>
      <c r="NFC98" s="353"/>
      <c r="NFD98" s="353"/>
      <c r="NFE98" s="353"/>
      <c r="NFF98" s="353"/>
      <c r="NFG98" s="353"/>
      <c r="NFH98" s="353"/>
      <c r="NFI98" s="353"/>
      <c r="NFJ98" s="353"/>
      <c r="NFK98" s="353"/>
      <c r="NFL98" s="353"/>
      <c r="NFM98" s="353"/>
      <c r="NFN98" s="353"/>
      <c r="NFO98" s="353"/>
      <c r="NFP98" s="353"/>
      <c r="NFQ98" s="353"/>
      <c r="NFR98" s="353"/>
      <c r="NFS98" s="353"/>
      <c r="NFT98" s="353"/>
      <c r="NFU98" s="353"/>
      <c r="NFV98" s="353"/>
      <c r="NFW98" s="353"/>
      <c r="NFX98" s="353"/>
      <c r="NFY98" s="353"/>
      <c r="NFZ98" s="353"/>
      <c r="NGA98" s="353"/>
      <c r="NGB98" s="353"/>
      <c r="NGC98" s="353"/>
      <c r="NGD98" s="353"/>
      <c r="NGE98" s="353"/>
      <c r="NGF98" s="353"/>
      <c r="NGG98" s="353"/>
      <c r="NGH98" s="353"/>
      <c r="NGI98" s="353"/>
      <c r="NGJ98" s="353"/>
      <c r="NGK98" s="353"/>
      <c r="NGL98" s="353"/>
      <c r="NGM98" s="353"/>
      <c r="NGN98" s="353"/>
      <c r="NGO98" s="353"/>
      <c r="NGP98" s="353"/>
      <c r="NGQ98" s="353"/>
      <c r="NGR98" s="353"/>
      <c r="NGS98" s="353"/>
      <c r="NGT98" s="353"/>
      <c r="NGU98" s="353"/>
      <c r="NGV98" s="353"/>
      <c r="NGW98" s="353"/>
      <c r="NGX98" s="353"/>
      <c r="NGY98" s="353"/>
      <c r="NGZ98" s="353"/>
      <c r="NHA98" s="353"/>
      <c r="NHB98" s="353"/>
      <c r="NHC98" s="353"/>
      <c r="NHD98" s="353"/>
      <c r="NHE98" s="353"/>
      <c r="NHF98" s="353"/>
      <c r="NHG98" s="353"/>
      <c r="NHH98" s="353"/>
      <c r="NHI98" s="353"/>
      <c r="NHJ98" s="353"/>
      <c r="NHK98" s="353"/>
      <c r="NHL98" s="353"/>
      <c r="NHM98" s="353"/>
      <c r="NHN98" s="353"/>
      <c r="NHO98" s="353"/>
      <c r="NHP98" s="353"/>
      <c r="NHQ98" s="353"/>
      <c r="NHR98" s="353"/>
      <c r="NHS98" s="353"/>
      <c r="NHT98" s="353"/>
      <c r="NHU98" s="353"/>
      <c r="NHV98" s="353"/>
      <c r="NHW98" s="353"/>
      <c r="NHX98" s="353"/>
      <c r="NHY98" s="353"/>
      <c r="NHZ98" s="353"/>
      <c r="NIA98" s="353"/>
      <c r="NIB98" s="353"/>
      <c r="NIC98" s="353"/>
      <c r="NID98" s="353"/>
      <c r="NIE98" s="353"/>
      <c r="NIF98" s="353"/>
      <c r="NIG98" s="353"/>
      <c r="NIH98" s="353"/>
      <c r="NII98" s="353"/>
      <c r="NIJ98" s="353"/>
      <c r="NIK98" s="353"/>
      <c r="NIL98" s="353"/>
      <c r="NIM98" s="353"/>
      <c r="NIN98" s="353"/>
      <c r="NIO98" s="353"/>
      <c r="NIP98" s="353"/>
      <c r="NIQ98" s="353"/>
      <c r="NIR98" s="353"/>
      <c r="NIS98" s="353"/>
      <c r="NIT98" s="353"/>
      <c r="NIU98" s="353"/>
      <c r="NIV98" s="353"/>
      <c r="NIW98" s="353"/>
      <c r="NIX98" s="353"/>
      <c r="NIY98" s="353"/>
      <c r="NIZ98" s="353"/>
      <c r="NJA98" s="353"/>
      <c r="NJB98" s="353"/>
      <c r="NJC98" s="353"/>
      <c r="NJD98" s="353"/>
      <c r="NJE98" s="353"/>
      <c r="NJF98" s="353"/>
      <c r="NJG98" s="353"/>
      <c r="NJH98" s="353"/>
      <c r="NJI98" s="353"/>
      <c r="NJJ98" s="353"/>
      <c r="NJK98" s="353"/>
      <c r="NJL98" s="353"/>
      <c r="NJM98" s="353"/>
      <c r="NJN98" s="353"/>
      <c r="NJO98" s="353"/>
      <c r="NJP98" s="353"/>
      <c r="NJQ98" s="353"/>
      <c r="NJR98" s="353"/>
      <c r="NJS98" s="353"/>
      <c r="NJT98" s="353"/>
      <c r="NJU98" s="353"/>
      <c r="NJV98" s="353"/>
      <c r="NJW98" s="353"/>
      <c r="NJX98" s="353"/>
      <c r="NJY98" s="353"/>
      <c r="NJZ98" s="353"/>
      <c r="NKA98" s="353"/>
      <c r="NKB98" s="353"/>
      <c r="NKC98" s="353"/>
      <c r="NKD98" s="353"/>
      <c r="NKE98" s="353"/>
      <c r="NKF98" s="353"/>
      <c r="NKG98" s="353"/>
      <c r="NKH98" s="353"/>
      <c r="NKI98" s="353"/>
      <c r="NKJ98" s="353"/>
      <c r="NKK98" s="353"/>
      <c r="NKL98" s="353"/>
      <c r="NKM98" s="353"/>
      <c r="NKN98" s="353"/>
      <c r="NKO98" s="353"/>
      <c r="NKP98" s="353"/>
      <c r="NKQ98" s="353"/>
      <c r="NKR98" s="353"/>
      <c r="NKS98" s="353"/>
      <c r="NKT98" s="353"/>
      <c r="NKU98" s="353"/>
      <c r="NKV98" s="353"/>
      <c r="NKW98" s="353"/>
      <c r="NKX98" s="353"/>
      <c r="NKY98" s="353"/>
      <c r="NKZ98" s="353"/>
      <c r="NLA98" s="353"/>
      <c r="NLB98" s="353"/>
      <c r="NLC98" s="353"/>
      <c r="NLD98" s="353"/>
      <c r="NLE98" s="353"/>
      <c r="NLF98" s="353"/>
      <c r="NLG98" s="353"/>
      <c r="NLH98" s="353"/>
      <c r="NLI98" s="353"/>
      <c r="NLJ98" s="353"/>
      <c r="NLK98" s="353"/>
      <c r="NLL98" s="353"/>
      <c r="NLM98" s="353"/>
      <c r="NLN98" s="353"/>
      <c r="NLO98" s="353"/>
      <c r="NLP98" s="353"/>
      <c r="NLQ98" s="353"/>
      <c r="NLR98" s="353"/>
      <c r="NLS98" s="353"/>
      <c r="NLT98" s="353"/>
      <c r="NLU98" s="353"/>
      <c r="NLV98" s="353"/>
      <c r="NLW98" s="353"/>
      <c r="NLX98" s="353"/>
      <c r="NLY98" s="353"/>
      <c r="NLZ98" s="353"/>
      <c r="NMA98" s="353"/>
      <c r="NMB98" s="353"/>
      <c r="NMC98" s="353"/>
      <c r="NMD98" s="353"/>
      <c r="NME98" s="353"/>
      <c r="NMF98" s="353"/>
      <c r="NMG98" s="353"/>
      <c r="NMH98" s="353"/>
      <c r="NMI98" s="353"/>
      <c r="NMJ98" s="353"/>
      <c r="NMK98" s="353"/>
      <c r="NML98" s="353"/>
      <c r="NMM98" s="353"/>
      <c r="NMN98" s="353"/>
      <c r="NMO98" s="353"/>
      <c r="NMP98" s="353"/>
      <c r="NMQ98" s="353"/>
      <c r="NMR98" s="353"/>
      <c r="NMS98" s="353"/>
      <c r="NMT98" s="353"/>
      <c r="NMU98" s="353"/>
      <c r="NMV98" s="353"/>
      <c r="NMW98" s="353"/>
      <c r="NMX98" s="353"/>
      <c r="NMY98" s="353"/>
      <c r="NMZ98" s="353"/>
      <c r="NNA98" s="353"/>
      <c r="NNB98" s="353"/>
      <c r="NNC98" s="353"/>
      <c r="NND98" s="353"/>
      <c r="NNE98" s="353"/>
      <c r="NNF98" s="353"/>
      <c r="NNG98" s="353"/>
      <c r="NNH98" s="353"/>
      <c r="NNI98" s="353"/>
      <c r="NNJ98" s="353"/>
      <c r="NNK98" s="353"/>
      <c r="NNL98" s="353"/>
      <c r="NNM98" s="353"/>
      <c r="NNN98" s="353"/>
      <c r="NNO98" s="353"/>
      <c r="NNP98" s="353"/>
      <c r="NNQ98" s="353"/>
      <c r="NNR98" s="353"/>
      <c r="NNS98" s="353"/>
      <c r="NNT98" s="353"/>
      <c r="NNU98" s="353"/>
      <c r="NNV98" s="353"/>
      <c r="NNW98" s="353"/>
      <c r="NNX98" s="353"/>
      <c r="NNY98" s="353"/>
      <c r="NNZ98" s="353"/>
      <c r="NOA98" s="353"/>
      <c r="NOB98" s="353"/>
      <c r="NOC98" s="353"/>
      <c r="NOD98" s="353"/>
      <c r="NOE98" s="353"/>
      <c r="NOF98" s="353"/>
      <c r="NOG98" s="353"/>
      <c r="NOH98" s="353"/>
      <c r="NOI98" s="353"/>
      <c r="NOJ98" s="353"/>
      <c r="NOK98" s="353"/>
      <c r="NOL98" s="353"/>
      <c r="NOM98" s="353"/>
      <c r="NON98" s="353"/>
      <c r="NOO98" s="353"/>
      <c r="NOP98" s="353"/>
      <c r="NOQ98" s="353"/>
      <c r="NOR98" s="353"/>
      <c r="NOS98" s="353"/>
      <c r="NOT98" s="353"/>
      <c r="NOU98" s="353"/>
      <c r="NOV98" s="353"/>
      <c r="NOW98" s="353"/>
      <c r="NOX98" s="353"/>
      <c r="NOY98" s="353"/>
      <c r="NOZ98" s="353"/>
      <c r="NPA98" s="353"/>
      <c r="NPB98" s="353"/>
      <c r="NPC98" s="353"/>
      <c r="NPD98" s="353"/>
      <c r="NPE98" s="353"/>
      <c r="NPF98" s="353"/>
      <c r="NPG98" s="353"/>
      <c r="NPH98" s="353"/>
      <c r="NPI98" s="353"/>
      <c r="NPJ98" s="353"/>
      <c r="NPK98" s="353"/>
      <c r="NPL98" s="353"/>
      <c r="NPM98" s="353"/>
      <c r="NPN98" s="353"/>
      <c r="NPO98" s="353"/>
      <c r="NPP98" s="353"/>
      <c r="NPQ98" s="353"/>
      <c r="NPR98" s="353"/>
      <c r="NPS98" s="353"/>
      <c r="NPT98" s="353"/>
      <c r="NPU98" s="353"/>
      <c r="NPV98" s="353"/>
      <c r="NPW98" s="353"/>
      <c r="NPX98" s="353"/>
      <c r="NPY98" s="353"/>
      <c r="NPZ98" s="353"/>
      <c r="NQA98" s="353"/>
      <c r="NQB98" s="353"/>
      <c r="NQC98" s="353"/>
      <c r="NQD98" s="353"/>
      <c r="NQE98" s="353"/>
      <c r="NQF98" s="353"/>
      <c r="NQG98" s="353"/>
      <c r="NQH98" s="353"/>
      <c r="NQI98" s="353"/>
      <c r="NQJ98" s="353"/>
      <c r="NQK98" s="353"/>
      <c r="NQL98" s="353"/>
      <c r="NQM98" s="353"/>
      <c r="NQN98" s="353"/>
      <c r="NQO98" s="353"/>
      <c r="NQP98" s="353"/>
      <c r="NQQ98" s="353"/>
      <c r="NQR98" s="353"/>
      <c r="NQS98" s="353"/>
      <c r="NQT98" s="353"/>
      <c r="NQU98" s="353"/>
      <c r="NQV98" s="353"/>
      <c r="NQW98" s="353"/>
      <c r="NQX98" s="353"/>
      <c r="NQY98" s="353"/>
      <c r="NQZ98" s="353"/>
      <c r="NRA98" s="353"/>
      <c r="NRB98" s="353"/>
      <c r="NRC98" s="353"/>
      <c r="NRD98" s="353"/>
      <c r="NRE98" s="353"/>
      <c r="NRF98" s="353"/>
      <c r="NRG98" s="353"/>
      <c r="NRH98" s="353"/>
      <c r="NRI98" s="353"/>
      <c r="NRJ98" s="353"/>
      <c r="NRK98" s="353"/>
      <c r="NRL98" s="353"/>
      <c r="NRM98" s="353"/>
      <c r="NRN98" s="353"/>
      <c r="NRO98" s="353"/>
      <c r="NRP98" s="353"/>
      <c r="NRQ98" s="353"/>
      <c r="NRR98" s="353"/>
      <c r="NRS98" s="353"/>
      <c r="NRT98" s="353"/>
      <c r="NRU98" s="353"/>
      <c r="NRV98" s="353"/>
      <c r="NRW98" s="353"/>
      <c r="NRX98" s="353"/>
      <c r="NRY98" s="353"/>
      <c r="NRZ98" s="353"/>
      <c r="NSA98" s="353"/>
      <c r="NSB98" s="353"/>
      <c r="NSC98" s="353"/>
      <c r="NSD98" s="353"/>
      <c r="NSE98" s="353"/>
      <c r="NSF98" s="353"/>
      <c r="NSG98" s="353"/>
      <c r="NSH98" s="353"/>
      <c r="NSI98" s="353"/>
      <c r="NSJ98" s="353"/>
      <c r="NSK98" s="353"/>
      <c r="NSL98" s="353"/>
      <c r="NSM98" s="353"/>
      <c r="NSN98" s="353"/>
      <c r="NSO98" s="353"/>
      <c r="NSP98" s="353"/>
      <c r="NSQ98" s="353"/>
      <c r="NSR98" s="353"/>
      <c r="NSS98" s="353"/>
      <c r="NST98" s="353"/>
      <c r="NSU98" s="353"/>
      <c r="NSV98" s="353"/>
      <c r="NSW98" s="353"/>
      <c r="NSX98" s="353"/>
      <c r="NSY98" s="353"/>
      <c r="NSZ98" s="353"/>
      <c r="NTA98" s="353"/>
      <c r="NTB98" s="353"/>
      <c r="NTC98" s="353"/>
      <c r="NTD98" s="353"/>
      <c r="NTE98" s="353"/>
      <c r="NTF98" s="353"/>
      <c r="NTG98" s="353"/>
      <c r="NTH98" s="353"/>
      <c r="NTI98" s="353"/>
      <c r="NTJ98" s="353"/>
      <c r="NTK98" s="353"/>
      <c r="NTL98" s="353"/>
      <c r="NTM98" s="353"/>
      <c r="NTN98" s="353"/>
      <c r="NTO98" s="353"/>
      <c r="NTP98" s="353"/>
      <c r="NTQ98" s="353"/>
      <c r="NTR98" s="353"/>
      <c r="NTS98" s="353"/>
      <c r="NTT98" s="353"/>
      <c r="NTU98" s="353"/>
      <c r="NTV98" s="353"/>
      <c r="NTW98" s="353"/>
      <c r="NTX98" s="353"/>
      <c r="NTY98" s="353"/>
      <c r="NTZ98" s="353"/>
      <c r="NUA98" s="353"/>
      <c r="NUB98" s="353"/>
      <c r="NUC98" s="353"/>
      <c r="NUD98" s="353"/>
      <c r="NUE98" s="353"/>
      <c r="NUF98" s="353"/>
      <c r="NUG98" s="353"/>
      <c r="NUH98" s="353"/>
      <c r="NUI98" s="353"/>
      <c r="NUJ98" s="353"/>
      <c r="NUK98" s="353"/>
      <c r="NUL98" s="353"/>
      <c r="NUM98" s="353"/>
      <c r="NUN98" s="353"/>
      <c r="NUO98" s="353"/>
      <c r="NUP98" s="353"/>
      <c r="NUQ98" s="353"/>
      <c r="NUR98" s="353"/>
      <c r="NUS98" s="353"/>
      <c r="NUT98" s="353"/>
      <c r="NUU98" s="353"/>
      <c r="NUV98" s="353"/>
      <c r="NUW98" s="353"/>
      <c r="NUX98" s="353"/>
      <c r="NUY98" s="353"/>
      <c r="NUZ98" s="353"/>
      <c r="NVA98" s="353"/>
      <c r="NVB98" s="353"/>
      <c r="NVC98" s="353"/>
      <c r="NVD98" s="353"/>
      <c r="NVE98" s="353"/>
      <c r="NVF98" s="353"/>
      <c r="NVG98" s="353"/>
      <c r="NVH98" s="353"/>
      <c r="NVI98" s="353"/>
      <c r="NVJ98" s="353"/>
      <c r="NVK98" s="353"/>
      <c r="NVL98" s="353"/>
      <c r="NVM98" s="353"/>
      <c r="NVN98" s="353"/>
      <c r="NVO98" s="353"/>
      <c r="NVP98" s="353"/>
      <c r="NVQ98" s="353"/>
      <c r="NVR98" s="353"/>
      <c r="NVS98" s="353"/>
      <c r="NVT98" s="353"/>
      <c r="NVU98" s="353"/>
      <c r="NVV98" s="353"/>
      <c r="NVW98" s="353"/>
      <c r="NVX98" s="353"/>
      <c r="NVY98" s="353"/>
      <c r="NVZ98" s="353"/>
      <c r="NWA98" s="353"/>
      <c r="NWB98" s="353"/>
      <c r="NWC98" s="353"/>
      <c r="NWD98" s="353"/>
      <c r="NWE98" s="353"/>
      <c r="NWF98" s="353"/>
      <c r="NWG98" s="353"/>
      <c r="NWH98" s="353"/>
      <c r="NWI98" s="353"/>
      <c r="NWJ98" s="353"/>
      <c r="NWK98" s="353"/>
      <c r="NWL98" s="353"/>
      <c r="NWM98" s="353"/>
      <c r="NWN98" s="353"/>
      <c r="NWO98" s="353"/>
      <c r="NWP98" s="353"/>
      <c r="NWQ98" s="353"/>
      <c r="NWR98" s="353"/>
      <c r="NWS98" s="353"/>
      <c r="NWT98" s="353"/>
      <c r="NWU98" s="353"/>
      <c r="NWV98" s="353"/>
      <c r="NWW98" s="353"/>
      <c r="NWX98" s="353"/>
      <c r="NWY98" s="353"/>
      <c r="NWZ98" s="353"/>
      <c r="NXA98" s="353"/>
      <c r="NXB98" s="353"/>
      <c r="NXC98" s="353"/>
      <c r="NXD98" s="353"/>
      <c r="NXE98" s="353"/>
      <c r="NXF98" s="353"/>
      <c r="NXG98" s="353"/>
      <c r="NXH98" s="353"/>
      <c r="NXI98" s="353"/>
      <c r="NXJ98" s="353"/>
      <c r="NXK98" s="353"/>
      <c r="NXL98" s="353"/>
      <c r="NXM98" s="353"/>
      <c r="NXN98" s="353"/>
      <c r="NXO98" s="353"/>
      <c r="NXP98" s="353"/>
      <c r="NXQ98" s="353"/>
      <c r="NXR98" s="353"/>
      <c r="NXS98" s="353"/>
      <c r="NXT98" s="353"/>
      <c r="NXU98" s="353"/>
      <c r="NXV98" s="353"/>
      <c r="NXW98" s="353"/>
      <c r="NXX98" s="353"/>
      <c r="NXY98" s="353"/>
      <c r="NXZ98" s="353"/>
      <c r="NYA98" s="353"/>
      <c r="NYB98" s="353"/>
      <c r="NYC98" s="353"/>
      <c r="NYD98" s="353"/>
      <c r="NYE98" s="353"/>
      <c r="NYF98" s="353"/>
      <c r="NYG98" s="353"/>
      <c r="NYH98" s="353"/>
      <c r="NYI98" s="353"/>
      <c r="NYJ98" s="353"/>
      <c r="NYK98" s="353"/>
      <c r="NYL98" s="353"/>
      <c r="NYM98" s="353"/>
      <c r="NYN98" s="353"/>
      <c r="NYO98" s="353"/>
      <c r="NYP98" s="353"/>
      <c r="NYQ98" s="353"/>
      <c r="NYR98" s="353"/>
      <c r="NYS98" s="353"/>
      <c r="NYT98" s="353"/>
      <c r="NYU98" s="353"/>
      <c r="NYV98" s="353"/>
      <c r="NYW98" s="353"/>
      <c r="NYX98" s="353"/>
      <c r="NYY98" s="353"/>
      <c r="NYZ98" s="353"/>
      <c r="NZA98" s="353"/>
      <c r="NZB98" s="353"/>
      <c r="NZC98" s="353"/>
      <c r="NZD98" s="353"/>
      <c r="NZE98" s="353"/>
      <c r="NZF98" s="353"/>
      <c r="NZG98" s="353"/>
      <c r="NZH98" s="353"/>
      <c r="NZI98" s="353"/>
      <c r="NZJ98" s="353"/>
      <c r="NZK98" s="353"/>
      <c r="NZL98" s="353"/>
      <c r="NZM98" s="353"/>
      <c r="NZN98" s="353"/>
      <c r="NZO98" s="353"/>
      <c r="NZP98" s="353"/>
      <c r="NZQ98" s="353"/>
      <c r="NZR98" s="353"/>
      <c r="NZS98" s="353"/>
      <c r="NZT98" s="353"/>
      <c r="NZU98" s="353"/>
      <c r="NZV98" s="353"/>
      <c r="NZW98" s="353"/>
      <c r="NZX98" s="353"/>
      <c r="NZY98" s="353"/>
      <c r="NZZ98" s="353"/>
      <c r="OAA98" s="353"/>
      <c r="OAB98" s="353"/>
      <c r="OAC98" s="353"/>
      <c r="OAD98" s="353"/>
      <c r="OAE98" s="353"/>
      <c r="OAF98" s="353"/>
      <c r="OAG98" s="353"/>
      <c r="OAH98" s="353"/>
      <c r="OAI98" s="353"/>
      <c r="OAJ98" s="353"/>
      <c r="OAK98" s="353"/>
      <c r="OAL98" s="353"/>
      <c r="OAM98" s="353"/>
      <c r="OAN98" s="353"/>
      <c r="OAO98" s="353"/>
      <c r="OAP98" s="353"/>
      <c r="OAQ98" s="353"/>
      <c r="OAR98" s="353"/>
      <c r="OAS98" s="353"/>
      <c r="OAT98" s="353"/>
      <c r="OAU98" s="353"/>
      <c r="OAV98" s="353"/>
      <c r="OAW98" s="353"/>
      <c r="OAX98" s="353"/>
      <c r="OAY98" s="353"/>
      <c r="OAZ98" s="353"/>
      <c r="OBA98" s="353"/>
      <c r="OBB98" s="353"/>
      <c r="OBC98" s="353"/>
      <c r="OBD98" s="353"/>
      <c r="OBE98" s="353"/>
      <c r="OBF98" s="353"/>
      <c r="OBG98" s="353"/>
      <c r="OBH98" s="353"/>
      <c r="OBI98" s="353"/>
      <c r="OBJ98" s="353"/>
      <c r="OBK98" s="353"/>
      <c r="OBL98" s="353"/>
      <c r="OBM98" s="353"/>
      <c r="OBN98" s="353"/>
      <c r="OBO98" s="353"/>
      <c r="OBP98" s="353"/>
      <c r="OBQ98" s="353"/>
      <c r="OBR98" s="353"/>
      <c r="OBS98" s="353"/>
      <c r="OBT98" s="353"/>
      <c r="OBU98" s="353"/>
      <c r="OBV98" s="353"/>
      <c r="OBW98" s="353"/>
      <c r="OBX98" s="353"/>
      <c r="OBY98" s="353"/>
      <c r="OBZ98" s="353"/>
      <c r="OCA98" s="353"/>
      <c r="OCB98" s="353"/>
      <c r="OCC98" s="353"/>
      <c r="OCD98" s="353"/>
      <c r="OCE98" s="353"/>
      <c r="OCF98" s="353"/>
      <c r="OCG98" s="353"/>
      <c r="OCH98" s="353"/>
      <c r="OCI98" s="353"/>
      <c r="OCJ98" s="353"/>
      <c r="OCK98" s="353"/>
      <c r="OCL98" s="353"/>
      <c r="OCM98" s="353"/>
      <c r="OCN98" s="353"/>
      <c r="OCO98" s="353"/>
      <c r="OCP98" s="353"/>
      <c r="OCQ98" s="353"/>
      <c r="OCR98" s="353"/>
      <c r="OCS98" s="353"/>
      <c r="OCT98" s="353"/>
      <c r="OCU98" s="353"/>
      <c r="OCV98" s="353"/>
      <c r="OCW98" s="353"/>
      <c r="OCX98" s="353"/>
      <c r="OCY98" s="353"/>
      <c r="OCZ98" s="353"/>
      <c r="ODA98" s="353"/>
      <c r="ODB98" s="353"/>
      <c r="ODC98" s="353"/>
      <c r="ODD98" s="353"/>
      <c r="ODE98" s="353"/>
      <c r="ODF98" s="353"/>
      <c r="ODG98" s="353"/>
      <c r="ODH98" s="353"/>
      <c r="ODI98" s="353"/>
      <c r="ODJ98" s="353"/>
      <c r="ODK98" s="353"/>
      <c r="ODL98" s="353"/>
      <c r="ODM98" s="353"/>
      <c r="ODN98" s="353"/>
      <c r="ODO98" s="353"/>
      <c r="ODP98" s="353"/>
      <c r="ODQ98" s="353"/>
      <c r="ODR98" s="353"/>
      <c r="ODS98" s="353"/>
      <c r="ODT98" s="353"/>
      <c r="ODU98" s="353"/>
      <c r="ODV98" s="353"/>
      <c r="ODW98" s="353"/>
      <c r="ODX98" s="353"/>
      <c r="ODY98" s="353"/>
      <c r="ODZ98" s="353"/>
      <c r="OEA98" s="353"/>
      <c r="OEB98" s="353"/>
      <c r="OEC98" s="353"/>
      <c r="OED98" s="353"/>
      <c r="OEE98" s="353"/>
      <c r="OEF98" s="353"/>
      <c r="OEG98" s="353"/>
      <c r="OEH98" s="353"/>
      <c r="OEI98" s="353"/>
      <c r="OEJ98" s="353"/>
      <c r="OEK98" s="353"/>
      <c r="OEL98" s="353"/>
      <c r="OEM98" s="353"/>
      <c r="OEN98" s="353"/>
      <c r="OEO98" s="353"/>
      <c r="OEP98" s="353"/>
      <c r="OEQ98" s="353"/>
      <c r="OER98" s="353"/>
      <c r="OES98" s="353"/>
      <c r="OET98" s="353"/>
      <c r="OEU98" s="353"/>
      <c r="OEV98" s="353"/>
      <c r="OEW98" s="353"/>
      <c r="OEX98" s="353"/>
      <c r="OEY98" s="353"/>
      <c r="OEZ98" s="353"/>
      <c r="OFA98" s="353"/>
      <c r="OFB98" s="353"/>
      <c r="OFC98" s="353"/>
      <c r="OFD98" s="353"/>
      <c r="OFE98" s="353"/>
      <c r="OFF98" s="353"/>
      <c r="OFG98" s="353"/>
      <c r="OFH98" s="353"/>
      <c r="OFI98" s="353"/>
      <c r="OFJ98" s="353"/>
      <c r="OFK98" s="353"/>
      <c r="OFL98" s="353"/>
      <c r="OFM98" s="353"/>
      <c r="OFN98" s="353"/>
      <c r="OFO98" s="353"/>
      <c r="OFP98" s="353"/>
      <c r="OFQ98" s="353"/>
      <c r="OFR98" s="353"/>
      <c r="OFS98" s="353"/>
      <c r="OFT98" s="353"/>
      <c r="OFU98" s="353"/>
      <c r="OFV98" s="353"/>
      <c r="OFW98" s="353"/>
      <c r="OFX98" s="353"/>
      <c r="OFY98" s="353"/>
      <c r="OFZ98" s="353"/>
      <c r="OGA98" s="353"/>
      <c r="OGB98" s="353"/>
      <c r="OGC98" s="353"/>
      <c r="OGD98" s="353"/>
      <c r="OGE98" s="353"/>
      <c r="OGF98" s="353"/>
      <c r="OGG98" s="353"/>
      <c r="OGH98" s="353"/>
      <c r="OGI98" s="353"/>
      <c r="OGJ98" s="353"/>
      <c r="OGK98" s="353"/>
      <c r="OGL98" s="353"/>
      <c r="OGM98" s="353"/>
      <c r="OGN98" s="353"/>
      <c r="OGO98" s="353"/>
      <c r="OGP98" s="353"/>
      <c r="OGQ98" s="353"/>
      <c r="OGR98" s="353"/>
      <c r="OGS98" s="353"/>
      <c r="OGT98" s="353"/>
      <c r="OGU98" s="353"/>
      <c r="OGV98" s="353"/>
      <c r="OGW98" s="353"/>
      <c r="OGX98" s="353"/>
      <c r="OGY98" s="353"/>
      <c r="OGZ98" s="353"/>
      <c r="OHA98" s="353"/>
      <c r="OHB98" s="353"/>
      <c r="OHC98" s="353"/>
      <c r="OHD98" s="353"/>
      <c r="OHE98" s="353"/>
      <c r="OHF98" s="353"/>
      <c r="OHG98" s="353"/>
      <c r="OHH98" s="353"/>
      <c r="OHI98" s="353"/>
      <c r="OHJ98" s="353"/>
      <c r="OHK98" s="353"/>
      <c r="OHL98" s="353"/>
      <c r="OHM98" s="353"/>
      <c r="OHN98" s="353"/>
      <c r="OHO98" s="353"/>
      <c r="OHP98" s="353"/>
      <c r="OHQ98" s="353"/>
      <c r="OHR98" s="353"/>
      <c r="OHS98" s="353"/>
      <c r="OHT98" s="353"/>
      <c r="OHU98" s="353"/>
      <c r="OHV98" s="353"/>
      <c r="OHW98" s="353"/>
      <c r="OHX98" s="353"/>
      <c r="OHY98" s="353"/>
      <c r="OHZ98" s="353"/>
      <c r="OIA98" s="353"/>
      <c r="OIB98" s="353"/>
      <c r="OIC98" s="353"/>
      <c r="OID98" s="353"/>
      <c r="OIE98" s="353"/>
      <c r="OIF98" s="353"/>
      <c r="OIG98" s="353"/>
      <c r="OIH98" s="353"/>
      <c r="OII98" s="353"/>
      <c r="OIJ98" s="353"/>
      <c r="OIK98" s="353"/>
      <c r="OIL98" s="353"/>
      <c r="OIM98" s="353"/>
      <c r="OIN98" s="353"/>
      <c r="OIO98" s="353"/>
      <c r="OIP98" s="353"/>
      <c r="OIQ98" s="353"/>
      <c r="OIR98" s="353"/>
      <c r="OIS98" s="353"/>
      <c r="OIT98" s="353"/>
      <c r="OIU98" s="353"/>
      <c r="OIV98" s="353"/>
      <c r="OIW98" s="353"/>
      <c r="OIX98" s="353"/>
      <c r="OIY98" s="353"/>
      <c r="OIZ98" s="353"/>
      <c r="OJA98" s="353"/>
      <c r="OJB98" s="353"/>
      <c r="OJC98" s="353"/>
      <c r="OJD98" s="353"/>
      <c r="OJE98" s="353"/>
      <c r="OJF98" s="353"/>
      <c r="OJG98" s="353"/>
      <c r="OJH98" s="353"/>
      <c r="OJI98" s="353"/>
      <c r="OJJ98" s="353"/>
      <c r="OJK98" s="353"/>
      <c r="OJL98" s="353"/>
      <c r="OJM98" s="353"/>
      <c r="OJN98" s="353"/>
      <c r="OJO98" s="353"/>
      <c r="OJP98" s="353"/>
      <c r="OJQ98" s="353"/>
      <c r="OJR98" s="353"/>
      <c r="OJS98" s="353"/>
      <c r="OJT98" s="353"/>
      <c r="OJU98" s="353"/>
      <c r="OJV98" s="353"/>
      <c r="OJW98" s="353"/>
      <c r="OJX98" s="353"/>
      <c r="OJY98" s="353"/>
      <c r="OJZ98" s="353"/>
      <c r="OKA98" s="353"/>
      <c r="OKB98" s="353"/>
      <c r="OKC98" s="353"/>
      <c r="OKD98" s="353"/>
      <c r="OKE98" s="353"/>
      <c r="OKF98" s="353"/>
      <c r="OKG98" s="353"/>
      <c r="OKH98" s="353"/>
      <c r="OKI98" s="353"/>
      <c r="OKJ98" s="353"/>
      <c r="OKK98" s="353"/>
      <c r="OKL98" s="353"/>
      <c r="OKM98" s="353"/>
      <c r="OKN98" s="353"/>
      <c r="OKO98" s="353"/>
      <c r="OKP98" s="353"/>
      <c r="OKQ98" s="353"/>
      <c r="OKR98" s="353"/>
      <c r="OKS98" s="353"/>
      <c r="OKT98" s="353"/>
      <c r="OKU98" s="353"/>
      <c r="OKV98" s="353"/>
      <c r="OKW98" s="353"/>
      <c r="OKX98" s="353"/>
      <c r="OKY98" s="353"/>
      <c r="OKZ98" s="353"/>
      <c r="OLA98" s="353"/>
      <c r="OLB98" s="353"/>
      <c r="OLC98" s="353"/>
      <c r="OLD98" s="353"/>
      <c r="OLE98" s="353"/>
      <c r="OLF98" s="353"/>
      <c r="OLG98" s="353"/>
      <c r="OLH98" s="353"/>
      <c r="OLI98" s="353"/>
      <c r="OLJ98" s="353"/>
      <c r="OLK98" s="353"/>
      <c r="OLL98" s="353"/>
      <c r="OLM98" s="353"/>
      <c r="OLN98" s="353"/>
      <c r="OLO98" s="353"/>
      <c r="OLP98" s="353"/>
      <c r="OLQ98" s="353"/>
      <c r="OLR98" s="353"/>
      <c r="OLS98" s="353"/>
      <c r="OLT98" s="353"/>
      <c r="OLU98" s="353"/>
      <c r="OLV98" s="353"/>
      <c r="OLW98" s="353"/>
      <c r="OLX98" s="353"/>
      <c r="OLY98" s="353"/>
      <c r="OLZ98" s="353"/>
      <c r="OMA98" s="353"/>
      <c r="OMB98" s="353"/>
      <c r="OMC98" s="353"/>
      <c r="OMD98" s="353"/>
      <c r="OME98" s="353"/>
      <c r="OMF98" s="353"/>
      <c r="OMG98" s="353"/>
      <c r="OMH98" s="353"/>
      <c r="OMI98" s="353"/>
      <c r="OMJ98" s="353"/>
      <c r="OMK98" s="353"/>
      <c r="OML98" s="353"/>
      <c r="OMM98" s="353"/>
      <c r="OMN98" s="353"/>
      <c r="OMO98" s="353"/>
      <c r="OMP98" s="353"/>
      <c r="OMQ98" s="353"/>
      <c r="OMR98" s="353"/>
      <c r="OMS98" s="353"/>
      <c r="OMT98" s="353"/>
      <c r="OMU98" s="353"/>
      <c r="OMV98" s="353"/>
      <c r="OMW98" s="353"/>
      <c r="OMX98" s="353"/>
      <c r="OMY98" s="353"/>
      <c r="OMZ98" s="353"/>
      <c r="ONA98" s="353"/>
      <c r="ONB98" s="353"/>
      <c r="ONC98" s="353"/>
      <c r="OND98" s="353"/>
      <c r="ONE98" s="353"/>
      <c r="ONF98" s="353"/>
      <c r="ONG98" s="353"/>
      <c r="ONH98" s="353"/>
      <c r="ONI98" s="353"/>
      <c r="ONJ98" s="353"/>
      <c r="ONK98" s="353"/>
      <c r="ONL98" s="353"/>
      <c r="ONM98" s="353"/>
      <c r="ONN98" s="353"/>
      <c r="ONO98" s="353"/>
      <c r="ONP98" s="353"/>
      <c r="ONQ98" s="353"/>
      <c r="ONR98" s="353"/>
      <c r="ONS98" s="353"/>
      <c r="ONT98" s="353"/>
      <c r="ONU98" s="353"/>
      <c r="ONV98" s="353"/>
      <c r="ONW98" s="353"/>
      <c r="ONX98" s="353"/>
      <c r="ONY98" s="353"/>
      <c r="ONZ98" s="353"/>
      <c r="OOA98" s="353"/>
      <c r="OOB98" s="353"/>
      <c r="OOC98" s="353"/>
      <c r="OOD98" s="353"/>
      <c r="OOE98" s="353"/>
      <c r="OOF98" s="353"/>
      <c r="OOG98" s="353"/>
      <c r="OOH98" s="353"/>
      <c r="OOI98" s="353"/>
      <c r="OOJ98" s="353"/>
      <c r="OOK98" s="353"/>
      <c r="OOL98" s="353"/>
      <c r="OOM98" s="353"/>
      <c r="OON98" s="353"/>
      <c r="OOO98" s="353"/>
      <c r="OOP98" s="353"/>
      <c r="OOQ98" s="353"/>
      <c r="OOR98" s="353"/>
      <c r="OOS98" s="353"/>
      <c r="OOT98" s="353"/>
      <c r="OOU98" s="353"/>
      <c r="OOV98" s="353"/>
      <c r="OOW98" s="353"/>
      <c r="OOX98" s="353"/>
      <c r="OOY98" s="353"/>
      <c r="OOZ98" s="353"/>
      <c r="OPA98" s="353"/>
      <c r="OPB98" s="353"/>
      <c r="OPC98" s="353"/>
      <c r="OPD98" s="353"/>
      <c r="OPE98" s="353"/>
      <c r="OPF98" s="353"/>
      <c r="OPG98" s="353"/>
      <c r="OPH98" s="353"/>
      <c r="OPI98" s="353"/>
      <c r="OPJ98" s="353"/>
      <c r="OPK98" s="353"/>
      <c r="OPL98" s="353"/>
      <c r="OPM98" s="353"/>
      <c r="OPN98" s="353"/>
      <c r="OPO98" s="353"/>
      <c r="OPP98" s="353"/>
      <c r="OPQ98" s="353"/>
      <c r="OPR98" s="353"/>
      <c r="OPS98" s="353"/>
      <c r="OPT98" s="353"/>
      <c r="OPU98" s="353"/>
      <c r="OPV98" s="353"/>
      <c r="OPW98" s="353"/>
      <c r="OPX98" s="353"/>
      <c r="OPY98" s="353"/>
      <c r="OPZ98" s="353"/>
      <c r="OQA98" s="353"/>
      <c r="OQB98" s="353"/>
      <c r="OQC98" s="353"/>
      <c r="OQD98" s="353"/>
      <c r="OQE98" s="353"/>
      <c r="OQF98" s="353"/>
      <c r="OQG98" s="353"/>
      <c r="OQH98" s="353"/>
      <c r="OQI98" s="353"/>
      <c r="OQJ98" s="353"/>
      <c r="OQK98" s="353"/>
      <c r="OQL98" s="353"/>
      <c r="OQM98" s="353"/>
      <c r="OQN98" s="353"/>
      <c r="OQO98" s="353"/>
      <c r="OQP98" s="353"/>
      <c r="OQQ98" s="353"/>
      <c r="OQR98" s="353"/>
      <c r="OQS98" s="353"/>
      <c r="OQT98" s="353"/>
      <c r="OQU98" s="353"/>
      <c r="OQV98" s="353"/>
      <c r="OQW98" s="353"/>
      <c r="OQX98" s="353"/>
      <c r="OQY98" s="353"/>
      <c r="OQZ98" s="353"/>
      <c r="ORA98" s="353"/>
      <c r="ORB98" s="353"/>
      <c r="ORC98" s="353"/>
      <c r="ORD98" s="353"/>
      <c r="ORE98" s="353"/>
      <c r="ORF98" s="353"/>
      <c r="ORG98" s="353"/>
      <c r="ORH98" s="353"/>
      <c r="ORI98" s="353"/>
      <c r="ORJ98" s="353"/>
      <c r="ORK98" s="353"/>
      <c r="ORL98" s="353"/>
      <c r="ORM98" s="353"/>
      <c r="ORN98" s="353"/>
      <c r="ORO98" s="353"/>
      <c r="ORP98" s="353"/>
      <c r="ORQ98" s="353"/>
      <c r="ORR98" s="353"/>
      <c r="ORS98" s="353"/>
      <c r="ORT98" s="353"/>
      <c r="ORU98" s="353"/>
      <c r="ORV98" s="353"/>
      <c r="ORW98" s="353"/>
      <c r="ORX98" s="353"/>
      <c r="ORY98" s="353"/>
      <c r="ORZ98" s="353"/>
      <c r="OSA98" s="353"/>
      <c r="OSB98" s="353"/>
      <c r="OSC98" s="353"/>
      <c r="OSD98" s="353"/>
      <c r="OSE98" s="353"/>
      <c r="OSF98" s="353"/>
      <c r="OSG98" s="353"/>
      <c r="OSH98" s="353"/>
      <c r="OSI98" s="353"/>
      <c r="OSJ98" s="353"/>
      <c r="OSK98" s="353"/>
      <c r="OSL98" s="353"/>
      <c r="OSM98" s="353"/>
      <c r="OSN98" s="353"/>
      <c r="OSO98" s="353"/>
      <c r="OSP98" s="353"/>
      <c r="OSQ98" s="353"/>
      <c r="OSR98" s="353"/>
      <c r="OSS98" s="353"/>
      <c r="OST98" s="353"/>
      <c r="OSU98" s="353"/>
      <c r="OSV98" s="353"/>
      <c r="OSW98" s="353"/>
      <c r="OSX98" s="353"/>
      <c r="OSY98" s="353"/>
      <c r="OSZ98" s="353"/>
      <c r="OTA98" s="353"/>
      <c r="OTB98" s="353"/>
      <c r="OTC98" s="353"/>
      <c r="OTD98" s="353"/>
      <c r="OTE98" s="353"/>
      <c r="OTF98" s="353"/>
      <c r="OTG98" s="353"/>
      <c r="OTH98" s="353"/>
      <c r="OTI98" s="353"/>
      <c r="OTJ98" s="353"/>
      <c r="OTK98" s="353"/>
      <c r="OTL98" s="353"/>
      <c r="OTM98" s="353"/>
      <c r="OTN98" s="353"/>
      <c r="OTO98" s="353"/>
      <c r="OTP98" s="353"/>
      <c r="OTQ98" s="353"/>
      <c r="OTR98" s="353"/>
      <c r="OTS98" s="353"/>
      <c r="OTT98" s="353"/>
      <c r="OTU98" s="353"/>
      <c r="OTV98" s="353"/>
      <c r="OTW98" s="353"/>
      <c r="OTX98" s="353"/>
      <c r="OTY98" s="353"/>
      <c r="OTZ98" s="353"/>
      <c r="OUA98" s="353"/>
      <c r="OUB98" s="353"/>
      <c r="OUC98" s="353"/>
      <c r="OUD98" s="353"/>
      <c r="OUE98" s="353"/>
      <c r="OUF98" s="353"/>
      <c r="OUG98" s="353"/>
      <c r="OUH98" s="353"/>
      <c r="OUI98" s="353"/>
      <c r="OUJ98" s="353"/>
      <c r="OUK98" s="353"/>
      <c r="OUL98" s="353"/>
      <c r="OUM98" s="353"/>
      <c r="OUN98" s="353"/>
      <c r="OUO98" s="353"/>
      <c r="OUP98" s="353"/>
      <c r="OUQ98" s="353"/>
      <c r="OUR98" s="353"/>
      <c r="OUS98" s="353"/>
      <c r="OUT98" s="353"/>
      <c r="OUU98" s="353"/>
      <c r="OUV98" s="353"/>
      <c r="OUW98" s="353"/>
      <c r="OUX98" s="353"/>
      <c r="OUY98" s="353"/>
      <c r="OUZ98" s="353"/>
      <c r="OVA98" s="353"/>
      <c r="OVB98" s="353"/>
      <c r="OVC98" s="353"/>
      <c r="OVD98" s="353"/>
      <c r="OVE98" s="353"/>
      <c r="OVF98" s="353"/>
      <c r="OVG98" s="353"/>
      <c r="OVH98" s="353"/>
      <c r="OVI98" s="353"/>
      <c r="OVJ98" s="353"/>
      <c r="OVK98" s="353"/>
      <c r="OVL98" s="353"/>
      <c r="OVM98" s="353"/>
      <c r="OVN98" s="353"/>
      <c r="OVO98" s="353"/>
      <c r="OVP98" s="353"/>
      <c r="OVQ98" s="353"/>
      <c r="OVR98" s="353"/>
      <c r="OVS98" s="353"/>
      <c r="OVT98" s="353"/>
      <c r="OVU98" s="353"/>
      <c r="OVV98" s="353"/>
      <c r="OVW98" s="353"/>
      <c r="OVX98" s="353"/>
      <c r="OVY98" s="353"/>
      <c r="OVZ98" s="353"/>
      <c r="OWA98" s="353"/>
      <c r="OWB98" s="353"/>
      <c r="OWC98" s="353"/>
      <c r="OWD98" s="353"/>
      <c r="OWE98" s="353"/>
      <c r="OWF98" s="353"/>
      <c r="OWG98" s="353"/>
      <c r="OWH98" s="353"/>
      <c r="OWI98" s="353"/>
      <c r="OWJ98" s="353"/>
      <c r="OWK98" s="353"/>
      <c r="OWL98" s="353"/>
      <c r="OWM98" s="353"/>
      <c r="OWN98" s="353"/>
      <c r="OWO98" s="353"/>
      <c r="OWP98" s="353"/>
      <c r="OWQ98" s="353"/>
      <c r="OWR98" s="353"/>
      <c r="OWS98" s="353"/>
      <c r="OWT98" s="353"/>
      <c r="OWU98" s="353"/>
      <c r="OWV98" s="353"/>
      <c r="OWW98" s="353"/>
      <c r="OWX98" s="353"/>
      <c r="OWY98" s="353"/>
      <c r="OWZ98" s="353"/>
      <c r="OXA98" s="353"/>
      <c r="OXB98" s="353"/>
      <c r="OXC98" s="353"/>
      <c r="OXD98" s="353"/>
      <c r="OXE98" s="353"/>
      <c r="OXF98" s="353"/>
      <c r="OXG98" s="353"/>
      <c r="OXH98" s="353"/>
      <c r="OXI98" s="353"/>
      <c r="OXJ98" s="353"/>
      <c r="OXK98" s="353"/>
      <c r="OXL98" s="353"/>
      <c r="OXM98" s="353"/>
      <c r="OXN98" s="353"/>
      <c r="OXO98" s="353"/>
      <c r="OXP98" s="353"/>
      <c r="OXQ98" s="353"/>
      <c r="OXR98" s="353"/>
      <c r="OXS98" s="353"/>
      <c r="OXT98" s="353"/>
      <c r="OXU98" s="353"/>
      <c r="OXV98" s="353"/>
      <c r="OXW98" s="353"/>
      <c r="OXX98" s="353"/>
      <c r="OXY98" s="353"/>
      <c r="OXZ98" s="353"/>
      <c r="OYA98" s="353"/>
      <c r="OYB98" s="353"/>
      <c r="OYC98" s="353"/>
      <c r="OYD98" s="353"/>
      <c r="OYE98" s="353"/>
      <c r="OYF98" s="353"/>
      <c r="OYG98" s="353"/>
      <c r="OYH98" s="353"/>
      <c r="OYI98" s="353"/>
      <c r="OYJ98" s="353"/>
      <c r="OYK98" s="353"/>
      <c r="OYL98" s="353"/>
      <c r="OYM98" s="353"/>
      <c r="OYN98" s="353"/>
      <c r="OYO98" s="353"/>
      <c r="OYP98" s="353"/>
      <c r="OYQ98" s="353"/>
      <c r="OYR98" s="353"/>
      <c r="OYS98" s="353"/>
      <c r="OYT98" s="353"/>
      <c r="OYU98" s="353"/>
      <c r="OYV98" s="353"/>
      <c r="OYW98" s="353"/>
      <c r="OYX98" s="353"/>
      <c r="OYY98" s="353"/>
      <c r="OYZ98" s="353"/>
      <c r="OZA98" s="353"/>
      <c r="OZB98" s="353"/>
      <c r="OZC98" s="353"/>
      <c r="OZD98" s="353"/>
      <c r="OZE98" s="353"/>
      <c r="OZF98" s="353"/>
      <c r="OZG98" s="353"/>
      <c r="OZH98" s="353"/>
      <c r="OZI98" s="353"/>
      <c r="OZJ98" s="353"/>
      <c r="OZK98" s="353"/>
      <c r="OZL98" s="353"/>
      <c r="OZM98" s="353"/>
      <c r="OZN98" s="353"/>
      <c r="OZO98" s="353"/>
      <c r="OZP98" s="353"/>
      <c r="OZQ98" s="353"/>
      <c r="OZR98" s="353"/>
      <c r="OZS98" s="353"/>
      <c r="OZT98" s="353"/>
      <c r="OZU98" s="353"/>
      <c r="OZV98" s="353"/>
      <c r="OZW98" s="353"/>
      <c r="OZX98" s="353"/>
      <c r="OZY98" s="353"/>
      <c r="OZZ98" s="353"/>
      <c r="PAA98" s="353"/>
      <c r="PAB98" s="353"/>
      <c r="PAC98" s="353"/>
      <c r="PAD98" s="353"/>
      <c r="PAE98" s="353"/>
      <c r="PAF98" s="353"/>
      <c r="PAG98" s="353"/>
      <c r="PAH98" s="353"/>
      <c r="PAI98" s="353"/>
      <c r="PAJ98" s="353"/>
      <c r="PAK98" s="353"/>
      <c r="PAL98" s="353"/>
      <c r="PAM98" s="353"/>
      <c r="PAN98" s="353"/>
      <c r="PAO98" s="353"/>
      <c r="PAP98" s="353"/>
      <c r="PAQ98" s="353"/>
      <c r="PAR98" s="353"/>
      <c r="PAS98" s="353"/>
      <c r="PAT98" s="353"/>
      <c r="PAU98" s="353"/>
      <c r="PAV98" s="353"/>
      <c r="PAW98" s="353"/>
      <c r="PAX98" s="353"/>
      <c r="PAY98" s="353"/>
      <c r="PAZ98" s="353"/>
      <c r="PBA98" s="353"/>
      <c r="PBB98" s="353"/>
      <c r="PBC98" s="353"/>
      <c r="PBD98" s="353"/>
      <c r="PBE98" s="353"/>
      <c r="PBF98" s="353"/>
      <c r="PBG98" s="353"/>
      <c r="PBH98" s="353"/>
      <c r="PBI98" s="353"/>
      <c r="PBJ98" s="353"/>
      <c r="PBK98" s="353"/>
      <c r="PBL98" s="353"/>
      <c r="PBM98" s="353"/>
      <c r="PBN98" s="353"/>
      <c r="PBO98" s="353"/>
      <c r="PBP98" s="353"/>
      <c r="PBQ98" s="353"/>
      <c r="PBR98" s="353"/>
      <c r="PBS98" s="353"/>
      <c r="PBT98" s="353"/>
      <c r="PBU98" s="353"/>
      <c r="PBV98" s="353"/>
      <c r="PBW98" s="353"/>
      <c r="PBX98" s="353"/>
      <c r="PBY98" s="353"/>
      <c r="PBZ98" s="353"/>
      <c r="PCA98" s="353"/>
      <c r="PCB98" s="353"/>
      <c r="PCC98" s="353"/>
      <c r="PCD98" s="353"/>
      <c r="PCE98" s="353"/>
      <c r="PCF98" s="353"/>
      <c r="PCG98" s="353"/>
      <c r="PCH98" s="353"/>
      <c r="PCI98" s="353"/>
      <c r="PCJ98" s="353"/>
      <c r="PCK98" s="353"/>
      <c r="PCL98" s="353"/>
      <c r="PCM98" s="353"/>
      <c r="PCN98" s="353"/>
      <c r="PCO98" s="353"/>
      <c r="PCP98" s="353"/>
      <c r="PCQ98" s="353"/>
      <c r="PCR98" s="353"/>
      <c r="PCS98" s="353"/>
      <c r="PCT98" s="353"/>
      <c r="PCU98" s="353"/>
      <c r="PCV98" s="353"/>
      <c r="PCW98" s="353"/>
      <c r="PCX98" s="353"/>
      <c r="PCY98" s="353"/>
      <c r="PCZ98" s="353"/>
      <c r="PDA98" s="353"/>
      <c r="PDB98" s="353"/>
      <c r="PDC98" s="353"/>
      <c r="PDD98" s="353"/>
      <c r="PDE98" s="353"/>
      <c r="PDF98" s="353"/>
      <c r="PDG98" s="353"/>
      <c r="PDH98" s="353"/>
      <c r="PDI98" s="353"/>
      <c r="PDJ98" s="353"/>
      <c r="PDK98" s="353"/>
      <c r="PDL98" s="353"/>
      <c r="PDM98" s="353"/>
      <c r="PDN98" s="353"/>
      <c r="PDO98" s="353"/>
      <c r="PDP98" s="353"/>
      <c r="PDQ98" s="353"/>
      <c r="PDR98" s="353"/>
      <c r="PDS98" s="353"/>
      <c r="PDT98" s="353"/>
      <c r="PDU98" s="353"/>
      <c r="PDV98" s="353"/>
      <c r="PDW98" s="353"/>
      <c r="PDX98" s="353"/>
      <c r="PDY98" s="353"/>
      <c r="PDZ98" s="353"/>
      <c r="PEA98" s="353"/>
      <c r="PEB98" s="353"/>
      <c r="PEC98" s="353"/>
      <c r="PED98" s="353"/>
      <c r="PEE98" s="353"/>
      <c r="PEF98" s="353"/>
      <c r="PEG98" s="353"/>
      <c r="PEH98" s="353"/>
      <c r="PEI98" s="353"/>
      <c r="PEJ98" s="353"/>
      <c r="PEK98" s="353"/>
      <c r="PEL98" s="353"/>
      <c r="PEM98" s="353"/>
      <c r="PEN98" s="353"/>
      <c r="PEO98" s="353"/>
      <c r="PEP98" s="353"/>
      <c r="PEQ98" s="353"/>
      <c r="PER98" s="353"/>
      <c r="PES98" s="353"/>
      <c r="PET98" s="353"/>
      <c r="PEU98" s="353"/>
      <c r="PEV98" s="353"/>
      <c r="PEW98" s="353"/>
      <c r="PEX98" s="353"/>
      <c r="PEY98" s="353"/>
      <c r="PEZ98" s="353"/>
      <c r="PFA98" s="353"/>
      <c r="PFB98" s="353"/>
      <c r="PFC98" s="353"/>
      <c r="PFD98" s="353"/>
      <c r="PFE98" s="353"/>
      <c r="PFF98" s="353"/>
      <c r="PFG98" s="353"/>
      <c r="PFH98" s="353"/>
      <c r="PFI98" s="353"/>
      <c r="PFJ98" s="353"/>
      <c r="PFK98" s="353"/>
      <c r="PFL98" s="353"/>
      <c r="PFM98" s="353"/>
      <c r="PFN98" s="353"/>
      <c r="PFO98" s="353"/>
      <c r="PFP98" s="353"/>
      <c r="PFQ98" s="353"/>
      <c r="PFR98" s="353"/>
      <c r="PFS98" s="353"/>
      <c r="PFT98" s="353"/>
      <c r="PFU98" s="353"/>
      <c r="PFV98" s="353"/>
      <c r="PFW98" s="353"/>
      <c r="PFX98" s="353"/>
      <c r="PFY98" s="353"/>
      <c r="PFZ98" s="353"/>
      <c r="PGA98" s="353"/>
      <c r="PGB98" s="353"/>
      <c r="PGC98" s="353"/>
      <c r="PGD98" s="353"/>
      <c r="PGE98" s="353"/>
      <c r="PGF98" s="353"/>
      <c r="PGG98" s="353"/>
      <c r="PGH98" s="353"/>
      <c r="PGI98" s="353"/>
      <c r="PGJ98" s="353"/>
      <c r="PGK98" s="353"/>
      <c r="PGL98" s="353"/>
      <c r="PGM98" s="353"/>
      <c r="PGN98" s="353"/>
      <c r="PGO98" s="353"/>
      <c r="PGP98" s="353"/>
      <c r="PGQ98" s="353"/>
      <c r="PGR98" s="353"/>
      <c r="PGS98" s="353"/>
      <c r="PGT98" s="353"/>
      <c r="PGU98" s="353"/>
      <c r="PGV98" s="353"/>
      <c r="PGW98" s="353"/>
      <c r="PGX98" s="353"/>
      <c r="PGY98" s="353"/>
      <c r="PGZ98" s="353"/>
      <c r="PHA98" s="353"/>
      <c r="PHB98" s="353"/>
      <c r="PHC98" s="353"/>
      <c r="PHD98" s="353"/>
      <c r="PHE98" s="353"/>
      <c r="PHF98" s="353"/>
      <c r="PHG98" s="353"/>
      <c r="PHH98" s="353"/>
      <c r="PHI98" s="353"/>
      <c r="PHJ98" s="353"/>
      <c r="PHK98" s="353"/>
      <c r="PHL98" s="353"/>
      <c r="PHM98" s="353"/>
      <c r="PHN98" s="353"/>
      <c r="PHO98" s="353"/>
      <c r="PHP98" s="353"/>
      <c r="PHQ98" s="353"/>
      <c r="PHR98" s="353"/>
      <c r="PHS98" s="353"/>
      <c r="PHT98" s="353"/>
      <c r="PHU98" s="353"/>
      <c r="PHV98" s="353"/>
      <c r="PHW98" s="353"/>
      <c r="PHX98" s="353"/>
      <c r="PHY98" s="353"/>
      <c r="PHZ98" s="353"/>
      <c r="PIA98" s="353"/>
      <c r="PIB98" s="353"/>
      <c r="PIC98" s="353"/>
      <c r="PID98" s="353"/>
      <c r="PIE98" s="353"/>
      <c r="PIF98" s="353"/>
      <c r="PIG98" s="353"/>
      <c r="PIH98" s="353"/>
      <c r="PII98" s="353"/>
      <c r="PIJ98" s="353"/>
      <c r="PIK98" s="353"/>
      <c r="PIL98" s="353"/>
      <c r="PIM98" s="353"/>
      <c r="PIN98" s="353"/>
      <c r="PIO98" s="353"/>
      <c r="PIP98" s="353"/>
      <c r="PIQ98" s="353"/>
      <c r="PIR98" s="353"/>
      <c r="PIS98" s="353"/>
      <c r="PIT98" s="353"/>
      <c r="PIU98" s="353"/>
      <c r="PIV98" s="353"/>
      <c r="PIW98" s="353"/>
      <c r="PIX98" s="353"/>
      <c r="PIY98" s="353"/>
      <c r="PIZ98" s="353"/>
      <c r="PJA98" s="353"/>
      <c r="PJB98" s="353"/>
      <c r="PJC98" s="353"/>
      <c r="PJD98" s="353"/>
      <c r="PJE98" s="353"/>
      <c r="PJF98" s="353"/>
      <c r="PJG98" s="353"/>
      <c r="PJH98" s="353"/>
      <c r="PJI98" s="353"/>
      <c r="PJJ98" s="353"/>
      <c r="PJK98" s="353"/>
      <c r="PJL98" s="353"/>
      <c r="PJM98" s="353"/>
      <c r="PJN98" s="353"/>
      <c r="PJO98" s="353"/>
      <c r="PJP98" s="353"/>
      <c r="PJQ98" s="353"/>
      <c r="PJR98" s="353"/>
      <c r="PJS98" s="353"/>
      <c r="PJT98" s="353"/>
      <c r="PJU98" s="353"/>
      <c r="PJV98" s="353"/>
      <c r="PJW98" s="353"/>
      <c r="PJX98" s="353"/>
      <c r="PJY98" s="353"/>
      <c r="PJZ98" s="353"/>
      <c r="PKA98" s="353"/>
      <c r="PKB98" s="353"/>
      <c r="PKC98" s="353"/>
      <c r="PKD98" s="353"/>
      <c r="PKE98" s="353"/>
      <c r="PKF98" s="353"/>
      <c r="PKG98" s="353"/>
      <c r="PKH98" s="353"/>
      <c r="PKI98" s="353"/>
      <c r="PKJ98" s="353"/>
      <c r="PKK98" s="353"/>
      <c r="PKL98" s="353"/>
      <c r="PKM98" s="353"/>
      <c r="PKN98" s="353"/>
      <c r="PKO98" s="353"/>
      <c r="PKP98" s="353"/>
      <c r="PKQ98" s="353"/>
      <c r="PKR98" s="353"/>
      <c r="PKS98" s="353"/>
      <c r="PKT98" s="353"/>
      <c r="PKU98" s="353"/>
      <c r="PKV98" s="353"/>
      <c r="PKW98" s="353"/>
      <c r="PKX98" s="353"/>
      <c r="PKY98" s="353"/>
      <c r="PKZ98" s="353"/>
      <c r="PLA98" s="353"/>
      <c r="PLB98" s="353"/>
      <c r="PLC98" s="353"/>
      <c r="PLD98" s="353"/>
      <c r="PLE98" s="353"/>
      <c r="PLF98" s="353"/>
      <c r="PLG98" s="353"/>
      <c r="PLH98" s="353"/>
      <c r="PLI98" s="353"/>
      <c r="PLJ98" s="353"/>
      <c r="PLK98" s="353"/>
      <c r="PLL98" s="353"/>
      <c r="PLM98" s="353"/>
      <c r="PLN98" s="353"/>
      <c r="PLO98" s="353"/>
      <c r="PLP98" s="353"/>
      <c r="PLQ98" s="353"/>
      <c r="PLR98" s="353"/>
      <c r="PLS98" s="353"/>
      <c r="PLT98" s="353"/>
      <c r="PLU98" s="353"/>
      <c r="PLV98" s="353"/>
      <c r="PLW98" s="353"/>
      <c r="PLX98" s="353"/>
      <c r="PLY98" s="353"/>
      <c r="PLZ98" s="353"/>
      <c r="PMA98" s="353"/>
      <c r="PMB98" s="353"/>
      <c r="PMC98" s="353"/>
      <c r="PMD98" s="353"/>
      <c r="PME98" s="353"/>
      <c r="PMF98" s="353"/>
      <c r="PMG98" s="353"/>
      <c r="PMH98" s="353"/>
      <c r="PMI98" s="353"/>
      <c r="PMJ98" s="353"/>
      <c r="PMK98" s="353"/>
      <c r="PML98" s="353"/>
      <c r="PMM98" s="353"/>
      <c r="PMN98" s="353"/>
      <c r="PMO98" s="353"/>
      <c r="PMP98" s="353"/>
      <c r="PMQ98" s="353"/>
      <c r="PMR98" s="353"/>
      <c r="PMS98" s="353"/>
      <c r="PMT98" s="353"/>
      <c r="PMU98" s="353"/>
      <c r="PMV98" s="353"/>
      <c r="PMW98" s="353"/>
      <c r="PMX98" s="353"/>
      <c r="PMY98" s="353"/>
      <c r="PMZ98" s="353"/>
      <c r="PNA98" s="353"/>
      <c r="PNB98" s="353"/>
      <c r="PNC98" s="353"/>
      <c r="PND98" s="353"/>
      <c r="PNE98" s="353"/>
      <c r="PNF98" s="353"/>
      <c r="PNG98" s="353"/>
      <c r="PNH98" s="353"/>
      <c r="PNI98" s="353"/>
      <c r="PNJ98" s="353"/>
      <c r="PNK98" s="353"/>
      <c r="PNL98" s="353"/>
      <c r="PNM98" s="353"/>
      <c r="PNN98" s="353"/>
      <c r="PNO98" s="353"/>
      <c r="PNP98" s="353"/>
      <c r="PNQ98" s="353"/>
      <c r="PNR98" s="353"/>
      <c r="PNS98" s="353"/>
      <c r="PNT98" s="353"/>
      <c r="PNU98" s="353"/>
      <c r="PNV98" s="353"/>
      <c r="PNW98" s="353"/>
      <c r="PNX98" s="353"/>
      <c r="PNY98" s="353"/>
      <c r="PNZ98" s="353"/>
      <c r="POA98" s="353"/>
      <c r="POB98" s="353"/>
      <c r="POC98" s="353"/>
      <c r="POD98" s="353"/>
      <c r="POE98" s="353"/>
      <c r="POF98" s="353"/>
      <c r="POG98" s="353"/>
      <c r="POH98" s="353"/>
      <c r="POI98" s="353"/>
      <c r="POJ98" s="353"/>
      <c r="POK98" s="353"/>
      <c r="POL98" s="353"/>
      <c r="POM98" s="353"/>
      <c r="PON98" s="353"/>
      <c r="POO98" s="353"/>
      <c r="POP98" s="353"/>
      <c r="POQ98" s="353"/>
      <c r="POR98" s="353"/>
      <c r="POS98" s="353"/>
      <c r="POT98" s="353"/>
      <c r="POU98" s="353"/>
      <c r="POV98" s="353"/>
      <c r="POW98" s="353"/>
      <c r="POX98" s="353"/>
      <c r="POY98" s="353"/>
      <c r="POZ98" s="353"/>
      <c r="PPA98" s="353"/>
      <c r="PPB98" s="353"/>
      <c r="PPC98" s="353"/>
      <c r="PPD98" s="353"/>
      <c r="PPE98" s="353"/>
      <c r="PPF98" s="353"/>
      <c r="PPG98" s="353"/>
      <c r="PPH98" s="353"/>
      <c r="PPI98" s="353"/>
      <c r="PPJ98" s="353"/>
      <c r="PPK98" s="353"/>
      <c r="PPL98" s="353"/>
      <c r="PPM98" s="353"/>
      <c r="PPN98" s="353"/>
      <c r="PPO98" s="353"/>
      <c r="PPP98" s="353"/>
      <c r="PPQ98" s="353"/>
      <c r="PPR98" s="353"/>
      <c r="PPS98" s="353"/>
      <c r="PPT98" s="353"/>
      <c r="PPU98" s="353"/>
      <c r="PPV98" s="353"/>
      <c r="PPW98" s="353"/>
      <c r="PPX98" s="353"/>
      <c r="PPY98" s="353"/>
      <c r="PPZ98" s="353"/>
      <c r="PQA98" s="353"/>
      <c r="PQB98" s="353"/>
      <c r="PQC98" s="353"/>
      <c r="PQD98" s="353"/>
      <c r="PQE98" s="353"/>
      <c r="PQF98" s="353"/>
      <c r="PQG98" s="353"/>
      <c r="PQH98" s="353"/>
      <c r="PQI98" s="353"/>
      <c r="PQJ98" s="353"/>
      <c r="PQK98" s="353"/>
      <c r="PQL98" s="353"/>
      <c r="PQM98" s="353"/>
      <c r="PQN98" s="353"/>
      <c r="PQO98" s="353"/>
      <c r="PQP98" s="353"/>
      <c r="PQQ98" s="353"/>
      <c r="PQR98" s="353"/>
      <c r="PQS98" s="353"/>
      <c r="PQT98" s="353"/>
      <c r="PQU98" s="353"/>
      <c r="PQV98" s="353"/>
      <c r="PQW98" s="353"/>
      <c r="PQX98" s="353"/>
      <c r="PQY98" s="353"/>
      <c r="PQZ98" s="353"/>
      <c r="PRA98" s="353"/>
      <c r="PRB98" s="353"/>
      <c r="PRC98" s="353"/>
      <c r="PRD98" s="353"/>
      <c r="PRE98" s="353"/>
      <c r="PRF98" s="353"/>
      <c r="PRG98" s="353"/>
      <c r="PRH98" s="353"/>
      <c r="PRI98" s="353"/>
      <c r="PRJ98" s="353"/>
      <c r="PRK98" s="353"/>
      <c r="PRL98" s="353"/>
      <c r="PRM98" s="353"/>
      <c r="PRN98" s="353"/>
      <c r="PRO98" s="353"/>
      <c r="PRP98" s="353"/>
      <c r="PRQ98" s="353"/>
      <c r="PRR98" s="353"/>
      <c r="PRS98" s="353"/>
      <c r="PRT98" s="353"/>
      <c r="PRU98" s="353"/>
      <c r="PRV98" s="353"/>
      <c r="PRW98" s="353"/>
      <c r="PRX98" s="353"/>
      <c r="PRY98" s="353"/>
      <c r="PRZ98" s="353"/>
      <c r="PSA98" s="353"/>
      <c r="PSB98" s="353"/>
      <c r="PSC98" s="353"/>
      <c r="PSD98" s="353"/>
      <c r="PSE98" s="353"/>
      <c r="PSF98" s="353"/>
      <c r="PSG98" s="353"/>
      <c r="PSH98" s="353"/>
      <c r="PSI98" s="353"/>
      <c r="PSJ98" s="353"/>
      <c r="PSK98" s="353"/>
      <c r="PSL98" s="353"/>
      <c r="PSM98" s="353"/>
      <c r="PSN98" s="353"/>
      <c r="PSO98" s="353"/>
      <c r="PSP98" s="353"/>
      <c r="PSQ98" s="353"/>
      <c r="PSR98" s="353"/>
      <c r="PSS98" s="353"/>
      <c r="PST98" s="353"/>
      <c r="PSU98" s="353"/>
      <c r="PSV98" s="353"/>
      <c r="PSW98" s="353"/>
      <c r="PSX98" s="353"/>
      <c r="PSY98" s="353"/>
      <c r="PSZ98" s="353"/>
      <c r="PTA98" s="353"/>
      <c r="PTB98" s="353"/>
      <c r="PTC98" s="353"/>
      <c r="PTD98" s="353"/>
      <c r="PTE98" s="353"/>
      <c r="PTF98" s="353"/>
      <c r="PTG98" s="353"/>
      <c r="PTH98" s="353"/>
      <c r="PTI98" s="353"/>
      <c r="PTJ98" s="353"/>
      <c r="PTK98" s="353"/>
      <c r="PTL98" s="353"/>
      <c r="PTM98" s="353"/>
      <c r="PTN98" s="353"/>
      <c r="PTO98" s="353"/>
      <c r="PTP98" s="353"/>
      <c r="PTQ98" s="353"/>
      <c r="PTR98" s="353"/>
      <c r="PTS98" s="353"/>
      <c r="PTT98" s="353"/>
      <c r="PTU98" s="353"/>
      <c r="PTV98" s="353"/>
      <c r="PTW98" s="353"/>
      <c r="PTX98" s="353"/>
      <c r="PTY98" s="353"/>
      <c r="PTZ98" s="353"/>
      <c r="PUA98" s="353"/>
      <c r="PUB98" s="353"/>
      <c r="PUC98" s="353"/>
      <c r="PUD98" s="353"/>
      <c r="PUE98" s="353"/>
      <c r="PUF98" s="353"/>
      <c r="PUG98" s="353"/>
      <c r="PUH98" s="353"/>
      <c r="PUI98" s="353"/>
      <c r="PUJ98" s="353"/>
      <c r="PUK98" s="353"/>
      <c r="PUL98" s="353"/>
      <c r="PUM98" s="353"/>
      <c r="PUN98" s="353"/>
      <c r="PUO98" s="353"/>
      <c r="PUP98" s="353"/>
      <c r="PUQ98" s="353"/>
      <c r="PUR98" s="353"/>
      <c r="PUS98" s="353"/>
      <c r="PUT98" s="353"/>
      <c r="PUU98" s="353"/>
      <c r="PUV98" s="353"/>
      <c r="PUW98" s="353"/>
      <c r="PUX98" s="353"/>
      <c r="PUY98" s="353"/>
      <c r="PUZ98" s="353"/>
      <c r="PVA98" s="353"/>
      <c r="PVB98" s="353"/>
      <c r="PVC98" s="353"/>
      <c r="PVD98" s="353"/>
      <c r="PVE98" s="353"/>
      <c r="PVF98" s="353"/>
      <c r="PVG98" s="353"/>
      <c r="PVH98" s="353"/>
      <c r="PVI98" s="353"/>
      <c r="PVJ98" s="353"/>
      <c r="PVK98" s="353"/>
      <c r="PVL98" s="353"/>
      <c r="PVM98" s="353"/>
      <c r="PVN98" s="353"/>
      <c r="PVO98" s="353"/>
      <c r="PVP98" s="353"/>
      <c r="PVQ98" s="353"/>
      <c r="PVR98" s="353"/>
      <c r="PVS98" s="353"/>
      <c r="PVT98" s="353"/>
      <c r="PVU98" s="353"/>
      <c r="PVV98" s="353"/>
      <c r="PVW98" s="353"/>
      <c r="PVX98" s="353"/>
      <c r="PVY98" s="353"/>
      <c r="PVZ98" s="353"/>
      <c r="PWA98" s="353"/>
      <c r="PWB98" s="353"/>
      <c r="PWC98" s="353"/>
      <c r="PWD98" s="353"/>
      <c r="PWE98" s="353"/>
      <c r="PWF98" s="353"/>
      <c r="PWG98" s="353"/>
      <c r="PWH98" s="353"/>
      <c r="PWI98" s="353"/>
      <c r="PWJ98" s="353"/>
      <c r="PWK98" s="353"/>
      <c r="PWL98" s="353"/>
      <c r="PWM98" s="353"/>
      <c r="PWN98" s="353"/>
      <c r="PWO98" s="353"/>
      <c r="PWP98" s="353"/>
      <c r="PWQ98" s="353"/>
      <c r="PWR98" s="353"/>
      <c r="PWS98" s="353"/>
      <c r="PWT98" s="353"/>
      <c r="PWU98" s="353"/>
      <c r="PWV98" s="353"/>
      <c r="PWW98" s="353"/>
      <c r="PWX98" s="353"/>
      <c r="PWY98" s="353"/>
      <c r="PWZ98" s="353"/>
      <c r="PXA98" s="353"/>
      <c r="PXB98" s="353"/>
      <c r="PXC98" s="353"/>
      <c r="PXD98" s="353"/>
      <c r="PXE98" s="353"/>
      <c r="PXF98" s="353"/>
      <c r="PXG98" s="353"/>
      <c r="PXH98" s="353"/>
      <c r="PXI98" s="353"/>
      <c r="PXJ98" s="353"/>
      <c r="PXK98" s="353"/>
      <c r="PXL98" s="353"/>
      <c r="PXM98" s="353"/>
      <c r="PXN98" s="353"/>
      <c r="PXO98" s="353"/>
      <c r="PXP98" s="353"/>
      <c r="PXQ98" s="353"/>
      <c r="PXR98" s="353"/>
      <c r="PXS98" s="353"/>
      <c r="PXT98" s="353"/>
      <c r="PXU98" s="353"/>
      <c r="PXV98" s="353"/>
      <c r="PXW98" s="353"/>
      <c r="PXX98" s="353"/>
      <c r="PXY98" s="353"/>
      <c r="PXZ98" s="353"/>
      <c r="PYA98" s="353"/>
      <c r="PYB98" s="353"/>
      <c r="PYC98" s="353"/>
      <c r="PYD98" s="353"/>
      <c r="PYE98" s="353"/>
      <c r="PYF98" s="353"/>
      <c r="PYG98" s="353"/>
      <c r="PYH98" s="353"/>
      <c r="PYI98" s="353"/>
      <c r="PYJ98" s="353"/>
      <c r="PYK98" s="353"/>
      <c r="PYL98" s="353"/>
      <c r="PYM98" s="353"/>
      <c r="PYN98" s="353"/>
      <c r="PYO98" s="353"/>
      <c r="PYP98" s="353"/>
      <c r="PYQ98" s="353"/>
      <c r="PYR98" s="353"/>
      <c r="PYS98" s="353"/>
      <c r="PYT98" s="353"/>
      <c r="PYU98" s="353"/>
      <c r="PYV98" s="353"/>
      <c r="PYW98" s="353"/>
      <c r="PYX98" s="353"/>
      <c r="PYY98" s="353"/>
      <c r="PYZ98" s="353"/>
      <c r="PZA98" s="353"/>
      <c r="PZB98" s="353"/>
      <c r="PZC98" s="353"/>
      <c r="PZD98" s="353"/>
      <c r="PZE98" s="353"/>
      <c r="PZF98" s="353"/>
      <c r="PZG98" s="353"/>
      <c r="PZH98" s="353"/>
      <c r="PZI98" s="353"/>
      <c r="PZJ98" s="353"/>
      <c r="PZK98" s="353"/>
      <c r="PZL98" s="353"/>
      <c r="PZM98" s="353"/>
      <c r="PZN98" s="353"/>
      <c r="PZO98" s="353"/>
      <c r="PZP98" s="353"/>
      <c r="PZQ98" s="353"/>
      <c r="PZR98" s="353"/>
      <c r="PZS98" s="353"/>
      <c r="PZT98" s="353"/>
      <c r="PZU98" s="353"/>
      <c r="PZV98" s="353"/>
      <c r="PZW98" s="353"/>
      <c r="PZX98" s="353"/>
      <c r="PZY98" s="353"/>
      <c r="PZZ98" s="353"/>
      <c r="QAA98" s="353"/>
      <c r="QAB98" s="353"/>
      <c r="QAC98" s="353"/>
      <c r="QAD98" s="353"/>
      <c r="QAE98" s="353"/>
      <c r="QAF98" s="353"/>
      <c r="QAG98" s="353"/>
      <c r="QAH98" s="353"/>
      <c r="QAI98" s="353"/>
      <c r="QAJ98" s="353"/>
      <c r="QAK98" s="353"/>
      <c r="QAL98" s="353"/>
      <c r="QAM98" s="353"/>
      <c r="QAN98" s="353"/>
      <c r="QAO98" s="353"/>
      <c r="QAP98" s="353"/>
      <c r="QAQ98" s="353"/>
      <c r="QAR98" s="353"/>
      <c r="QAS98" s="353"/>
      <c r="QAT98" s="353"/>
      <c r="QAU98" s="353"/>
      <c r="QAV98" s="353"/>
      <c r="QAW98" s="353"/>
      <c r="QAX98" s="353"/>
      <c r="QAY98" s="353"/>
      <c r="QAZ98" s="353"/>
      <c r="QBA98" s="353"/>
      <c r="QBB98" s="353"/>
      <c r="QBC98" s="353"/>
      <c r="QBD98" s="353"/>
      <c r="QBE98" s="353"/>
      <c r="QBF98" s="353"/>
      <c r="QBG98" s="353"/>
      <c r="QBH98" s="353"/>
      <c r="QBI98" s="353"/>
      <c r="QBJ98" s="353"/>
      <c r="QBK98" s="353"/>
      <c r="QBL98" s="353"/>
      <c r="QBM98" s="353"/>
      <c r="QBN98" s="353"/>
      <c r="QBO98" s="353"/>
      <c r="QBP98" s="353"/>
      <c r="QBQ98" s="353"/>
      <c r="QBR98" s="353"/>
      <c r="QBS98" s="353"/>
      <c r="QBT98" s="353"/>
      <c r="QBU98" s="353"/>
      <c r="QBV98" s="353"/>
      <c r="QBW98" s="353"/>
      <c r="QBX98" s="353"/>
      <c r="QBY98" s="353"/>
      <c r="QBZ98" s="353"/>
      <c r="QCA98" s="353"/>
      <c r="QCB98" s="353"/>
      <c r="QCC98" s="353"/>
      <c r="QCD98" s="353"/>
      <c r="QCE98" s="353"/>
      <c r="QCF98" s="353"/>
      <c r="QCG98" s="353"/>
      <c r="QCH98" s="353"/>
      <c r="QCI98" s="353"/>
      <c r="QCJ98" s="353"/>
      <c r="QCK98" s="353"/>
      <c r="QCL98" s="353"/>
      <c r="QCM98" s="353"/>
      <c r="QCN98" s="353"/>
      <c r="QCO98" s="353"/>
      <c r="QCP98" s="353"/>
      <c r="QCQ98" s="353"/>
      <c r="QCR98" s="353"/>
      <c r="QCS98" s="353"/>
      <c r="QCT98" s="353"/>
      <c r="QCU98" s="353"/>
      <c r="QCV98" s="353"/>
      <c r="QCW98" s="353"/>
      <c r="QCX98" s="353"/>
      <c r="QCY98" s="353"/>
      <c r="QCZ98" s="353"/>
      <c r="QDA98" s="353"/>
      <c r="QDB98" s="353"/>
      <c r="QDC98" s="353"/>
      <c r="QDD98" s="353"/>
      <c r="QDE98" s="353"/>
      <c r="QDF98" s="353"/>
      <c r="QDG98" s="353"/>
      <c r="QDH98" s="353"/>
      <c r="QDI98" s="353"/>
      <c r="QDJ98" s="353"/>
      <c r="QDK98" s="353"/>
      <c r="QDL98" s="353"/>
      <c r="QDM98" s="353"/>
      <c r="QDN98" s="353"/>
      <c r="QDO98" s="353"/>
      <c r="QDP98" s="353"/>
      <c r="QDQ98" s="353"/>
      <c r="QDR98" s="353"/>
      <c r="QDS98" s="353"/>
      <c r="QDT98" s="353"/>
      <c r="QDU98" s="353"/>
      <c r="QDV98" s="353"/>
      <c r="QDW98" s="353"/>
      <c r="QDX98" s="353"/>
      <c r="QDY98" s="353"/>
      <c r="QDZ98" s="353"/>
      <c r="QEA98" s="353"/>
      <c r="QEB98" s="353"/>
      <c r="QEC98" s="353"/>
      <c r="QED98" s="353"/>
      <c r="QEE98" s="353"/>
      <c r="QEF98" s="353"/>
      <c r="QEG98" s="353"/>
      <c r="QEH98" s="353"/>
      <c r="QEI98" s="353"/>
      <c r="QEJ98" s="353"/>
      <c r="QEK98" s="353"/>
      <c r="QEL98" s="353"/>
      <c r="QEM98" s="353"/>
      <c r="QEN98" s="353"/>
      <c r="QEO98" s="353"/>
      <c r="QEP98" s="353"/>
      <c r="QEQ98" s="353"/>
      <c r="QER98" s="353"/>
      <c r="QES98" s="353"/>
      <c r="QET98" s="353"/>
      <c r="QEU98" s="353"/>
      <c r="QEV98" s="353"/>
      <c r="QEW98" s="353"/>
      <c r="QEX98" s="353"/>
      <c r="QEY98" s="353"/>
      <c r="QEZ98" s="353"/>
      <c r="QFA98" s="353"/>
      <c r="QFB98" s="353"/>
      <c r="QFC98" s="353"/>
      <c r="QFD98" s="353"/>
      <c r="QFE98" s="353"/>
      <c r="QFF98" s="353"/>
      <c r="QFG98" s="353"/>
      <c r="QFH98" s="353"/>
      <c r="QFI98" s="353"/>
      <c r="QFJ98" s="353"/>
      <c r="QFK98" s="353"/>
      <c r="QFL98" s="353"/>
      <c r="QFM98" s="353"/>
      <c r="QFN98" s="353"/>
      <c r="QFO98" s="353"/>
      <c r="QFP98" s="353"/>
      <c r="QFQ98" s="353"/>
      <c r="QFR98" s="353"/>
      <c r="QFS98" s="353"/>
      <c r="QFT98" s="353"/>
      <c r="QFU98" s="353"/>
      <c r="QFV98" s="353"/>
      <c r="QFW98" s="353"/>
      <c r="QFX98" s="353"/>
      <c r="QFY98" s="353"/>
      <c r="QFZ98" s="353"/>
      <c r="QGA98" s="353"/>
      <c r="QGB98" s="353"/>
      <c r="QGC98" s="353"/>
      <c r="QGD98" s="353"/>
      <c r="QGE98" s="353"/>
      <c r="QGF98" s="353"/>
      <c r="QGG98" s="353"/>
      <c r="QGH98" s="353"/>
      <c r="QGI98" s="353"/>
      <c r="QGJ98" s="353"/>
      <c r="QGK98" s="353"/>
      <c r="QGL98" s="353"/>
      <c r="QGM98" s="353"/>
      <c r="QGN98" s="353"/>
      <c r="QGO98" s="353"/>
      <c r="QGP98" s="353"/>
      <c r="QGQ98" s="353"/>
      <c r="QGR98" s="353"/>
      <c r="QGS98" s="353"/>
      <c r="QGT98" s="353"/>
      <c r="QGU98" s="353"/>
      <c r="QGV98" s="353"/>
      <c r="QGW98" s="353"/>
      <c r="QGX98" s="353"/>
      <c r="QGY98" s="353"/>
      <c r="QGZ98" s="353"/>
      <c r="QHA98" s="353"/>
      <c r="QHB98" s="353"/>
      <c r="QHC98" s="353"/>
      <c r="QHD98" s="353"/>
      <c r="QHE98" s="353"/>
      <c r="QHF98" s="353"/>
      <c r="QHG98" s="353"/>
      <c r="QHH98" s="353"/>
      <c r="QHI98" s="353"/>
      <c r="QHJ98" s="353"/>
      <c r="QHK98" s="353"/>
      <c r="QHL98" s="353"/>
      <c r="QHM98" s="353"/>
      <c r="QHN98" s="353"/>
      <c r="QHO98" s="353"/>
      <c r="QHP98" s="353"/>
      <c r="QHQ98" s="353"/>
      <c r="QHR98" s="353"/>
      <c r="QHS98" s="353"/>
      <c r="QHT98" s="353"/>
      <c r="QHU98" s="353"/>
      <c r="QHV98" s="353"/>
      <c r="QHW98" s="353"/>
      <c r="QHX98" s="353"/>
      <c r="QHY98" s="353"/>
      <c r="QHZ98" s="353"/>
      <c r="QIA98" s="353"/>
      <c r="QIB98" s="353"/>
      <c r="QIC98" s="353"/>
      <c r="QID98" s="353"/>
      <c r="QIE98" s="353"/>
      <c r="QIF98" s="353"/>
      <c r="QIG98" s="353"/>
      <c r="QIH98" s="353"/>
      <c r="QII98" s="353"/>
      <c r="QIJ98" s="353"/>
      <c r="QIK98" s="353"/>
      <c r="QIL98" s="353"/>
      <c r="QIM98" s="353"/>
      <c r="QIN98" s="353"/>
      <c r="QIO98" s="353"/>
      <c r="QIP98" s="353"/>
      <c r="QIQ98" s="353"/>
      <c r="QIR98" s="353"/>
      <c r="QIS98" s="353"/>
      <c r="QIT98" s="353"/>
      <c r="QIU98" s="353"/>
      <c r="QIV98" s="353"/>
      <c r="QIW98" s="353"/>
      <c r="QIX98" s="353"/>
      <c r="QIY98" s="353"/>
      <c r="QIZ98" s="353"/>
      <c r="QJA98" s="353"/>
      <c r="QJB98" s="353"/>
      <c r="QJC98" s="353"/>
      <c r="QJD98" s="353"/>
      <c r="QJE98" s="353"/>
      <c r="QJF98" s="353"/>
      <c r="QJG98" s="353"/>
      <c r="QJH98" s="353"/>
      <c r="QJI98" s="353"/>
      <c r="QJJ98" s="353"/>
      <c r="QJK98" s="353"/>
      <c r="QJL98" s="353"/>
      <c r="QJM98" s="353"/>
      <c r="QJN98" s="353"/>
      <c r="QJO98" s="353"/>
      <c r="QJP98" s="353"/>
      <c r="QJQ98" s="353"/>
      <c r="QJR98" s="353"/>
      <c r="QJS98" s="353"/>
      <c r="QJT98" s="353"/>
      <c r="QJU98" s="353"/>
      <c r="QJV98" s="353"/>
      <c r="QJW98" s="353"/>
      <c r="QJX98" s="353"/>
      <c r="QJY98" s="353"/>
      <c r="QJZ98" s="353"/>
      <c r="QKA98" s="353"/>
      <c r="QKB98" s="353"/>
      <c r="QKC98" s="353"/>
      <c r="QKD98" s="353"/>
      <c r="QKE98" s="353"/>
      <c r="QKF98" s="353"/>
      <c r="QKG98" s="353"/>
      <c r="QKH98" s="353"/>
      <c r="QKI98" s="353"/>
      <c r="QKJ98" s="353"/>
      <c r="QKK98" s="353"/>
      <c r="QKL98" s="353"/>
      <c r="QKM98" s="353"/>
      <c r="QKN98" s="353"/>
      <c r="QKO98" s="353"/>
      <c r="QKP98" s="353"/>
      <c r="QKQ98" s="353"/>
      <c r="QKR98" s="353"/>
      <c r="QKS98" s="353"/>
      <c r="QKT98" s="353"/>
      <c r="QKU98" s="353"/>
      <c r="QKV98" s="353"/>
      <c r="QKW98" s="353"/>
      <c r="QKX98" s="353"/>
      <c r="QKY98" s="353"/>
      <c r="QKZ98" s="353"/>
      <c r="QLA98" s="353"/>
      <c r="QLB98" s="353"/>
      <c r="QLC98" s="353"/>
      <c r="QLD98" s="353"/>
      <c r="QLE98" s="353"/>
      <c r="QLF98" s="353"/>
      <c r="QLG98" s="353"/>
      <c r="QLH98" s="353"/>
      <c r="QLI98" s="353"/>
      <c r="QLJ98" s="353"/>
      <c r="QLK98" s="353"/>
      <c r="QLL98" s="353"/>
      <c r="QLM98" s="353"/>
      <c r="QLN98" s="353"/>
      <c r="QLO98" s="353"/>
      <c r="QLP98" s="353"/>
      <c r="QLQ98" s="353"/>
      <c r="QLR98" s="353"/>
      <c r="QLS98" s="353"/>
      <c r="QLT98" s="353"/>
      <c r="QLU98" s="353"/>
      <c r="QLV98" s="353"/>
      <c r="QLW98" s="353"/>
      <c r="QLX98" s="353"/>
      <c r="QLY98" s="353"/>
      <c r="QLZ98" s="353"/>
      <c r="QMA98" s="353"/>
      <c r="QMB98" s="353"/>
      <c r="QMC98" s="353"/>
      <c r="QMD98" s="353"/>
      <c r="QME98" s="353"/>
      <c r="QMF98" s="353"/>
      <c r="QMG98" s="353"/>
      <c r="QMH98" s="353"/>
      <c r="QMI98" s="353"/>
      <c r="QMJ98" s="353"/>
      <c r="QMK98" s="353"/>
      <c r="QML98" s="353"/>
      <c r="QMM98" s="353"/>
      <c r="QMN98" s="353"/>
      <c r="QMO98" s="353"/>
      <c r="QMP98" s="353"/>
      <c r="QMQ98" s="353"/>
      <c r="QMR98" s="353"/>
      <c r="QMS98" s="353"/>
      <c r="QMT98" s="353"/>
      <c r="QMU98" s="353"/>
      <c r="QMV98" s="353"/>
      <c r="QMW98" s="353"/>
      <c r="QMX98" s="353"/>
      <c r="QMY98" s="353"/>
      <c r="QMZ98" s="353"/>
      <c r="QNA98" s="353"/>
      <c r="QNB98" s="353"/>
      <c r="QNC98" s="353"/>
      <c r="QND98" s="353"/>
      <c r="QNE98" s="353"/>
      <c r="QNF98" s="353"/>
      <c r="QNG98" s="353"/>
      <c r="QNH98" s="353"/>
      <c r="QNI98" s="353"/>
      <c r="QNJ98" s="353"/>
      <c r="QNK98" s="353"/>
      <c r="QNL98" s="353"/>
      <c r="QNM98" s="353"/>
      <c r="QNN98" s="353"/>
      <c r="QNO98" s="353"/>
      <c r="QNP98" s="353"/>
      <c r="QNQ98" s="353"/>
      <c r="QNR98" s="353"/>
      <c r="QNS98" s="353"/>
      <c r="QNT98" s="353"/>
      <c r="QNU98" s="353"/>
      <c r="QNV98" s="353"/>
      <c r="QNW98" s="353"/>
      <c r="QNX98" s="353"/>
      <c r="QNY98" s="353"/>
      <c r="QNZ98" s="353"/>
      <c r="QOA98" s="353"/>
      <c r="QOB98" s="353"/>
      <c r="QOC98" s="353"/>
      <c r="QOD98" s="353"/>
      <c r="QOE98" s="353"/>
      <c r="QOF98" s="353"/>
      <c r="QOG98" s="353"/>
      <c r="QOH98" s="353"/>
      <c r="QOI98" s="353"/>
      <c r="QOJ98" s="353"/>
      <c r="QOK98" s="353"/>
      <c r="QOL98" s="353"/>
      <c r="QOM98" s="353"/>
      <c r="QON98" s="353"/>
      <c r="QOO98" s="353"/>
      <c r="QOP98" s="353"/>
      <c r="QOQ98" s="353"/>
      <c r="QOR98" s="353"/>
      <c r="QOS98" s="353"/>
      <c r="QOT98" s="353"/>
      <c r="QOU98" s="353"/>
      <c r="QOV98" s="353"/>
      <c r="QOW98" s="353"/>
      <c r="QOX98" s="353"/>
      <c r="QOY98" s="353"/>
      <c r="QOZ98" s="353"/>
      <c r="QPA98" s="353"/>
      <c r="QPB98" s="353"/>
      <c r="QPC98" s="353"/>
      <c r="QPD98" s="353"/>
      <c r="QPE98" s="353"/>
      <c r="QPF98" s="353"/>
      <c r="QPG98" s="353"/>
      <c r="QPH98" s="353"/>
      <c r="QPI98" s="353"/>
      <c r="QPJ98" s="353"/>
      <c r="QPK98" s="353"/>
      <c r="QPL98" s="353"/>
      <c r="QPM98" s="353"/>
      <c r="QPN98" s="353"/>
      <c r="QPO98" s="353"/>
      <c r="QPP98" s="353"/>
      <c r="QPQ98" s="353"/>
      <c r="QPR98" s="353"/>
      <c r="QPS98" s="353"/>
      <c r="QPT98" s="353"/>
      <c r="QPU98" s="353"/>
      <c r="QPV98" s="353"/>
      <c r="QPW98" s="353"/>
      <c r="QPX98" s="353"/>
      <c r="QPY98" s="353"/>
      <c r="QPZ98" s="353"/>
      <c r="QQA98" s="353"/>
      <c r="QQB98" s="353"/>
      <c r="QQC98" s="353"/>
      <c r="QQD98" s="353"/>
      <c r="QQE98" s="353"/>
      <c r="QQF98" s="353"/>
      <c r="QQG98" s="353"/>
      <c r="QQH98" s="353"/>
      <c r="QQI98" s="353"/>
      <c r="QQJ98" s="353"/>
      <c r="QQK98" s="353"/>
      <c r="QQL98" s="353"/>
      <c r="QQM98" s="353"/>
      <c r="QQN98" s="353"/>
      <c r="QQO98" s="353"/>
      <c r="QQP98" s="353"/>
      <c r="QQQ98" s="353"/>
      <c r="QQR98" s="353"/>
      <c r="QQS98" s="353"/>
      <c r="QQT98" s="353"/>
      <c r="QQU98" s="353"/>
      <c r="QQV98" s="353"/>
      <c r="QQW98" s="353"/>
      <c r="QQX98" s="353"/>
      <c r="QQY98" s="353"/>
      <c r="QQZ98" s="353"/>
      <c r="QRA98" s="353"/>
      <c r="QRB98" s="353"/>
      <c r="QRC98" s="353"/>
      <c r="QRD98" s="353"/>
      <c r="QRE98" s="353"/>
      <c r="QRF98" s="353"/>
      <c r="QRG98" s="353"/>
      <c r="QRH98" s="353"/>
      <c r="QRI98" s="353"/>
      <c r="QRJ98" s="353"/>
      <c r="QRK98" s="353"/>
      <c r="QRL98" s="353"/>
      <c r="QRM98" s="353"/>
      <c r="QRN98" s="353"/>
      <c r="QRO98" s="353"/>
      <c r="QRP98" s="353"/>
      <c r="QRQ98" s="353"/>
      <c r="QRR98" s="353"/>
      <c r="QRS98" s="353"/>
      <c r="QRT98" s="353"/>
      <c r="QRU98" s="353"/>
      <c r="QRV98" s="353"/>
      <c r="QRW98" s="353"/>
      <c r="QRX98" s="353"/>
      <c r="QRY98" s="353"/>
      <c r="QRZ98" s="353"/>
      <c r="QSA98" s="353"/>
      <c r="QSB98" s="353"/>
      <c r="QSC98" s="353"/>
      <c r="QSD98" s="353"/>
      <c r="QSE98" s="353"/>
      <c r="QSF98" s="353"/>
      <c r="QSG98" s="353"/>
      <c r="QSH98" s="353"/>
      <c r="QSI98" s="353"/>
      <c r="QSJ98" s="353"/>
      <c r="QSK98" s="353"/>
      <c r="QSL98" s="353"/>
      <c r="QSM98" s="353"/>
      <c r="QSN98" s="353"/>
      <c r="QSO98" s="353"/>
      <c r="QSP98" s="353"/>
      <c r="QSQ98" s="353"/>
      <c r="QSR98" s="353"/>
      <c r="QSS98" s="353"/>
      <c r="QST98" s="353"/>
      <c r="QSU98" s="353"/>
      <c r="QSV98" s="353"/>
      <c r="QSW98" s="353"/>
      <c r="QSX98" s="353"/>
      <c r="QSY98" s="353"/>
      <c r="QSZ98" s="353"/>
      <c r="QTA98" s="353"/>
      <c r="QTB98" s="353"/>
      <c r="QTC98" s="353"/>
      <c r="QTD98" s="353"/>
      <c r="QTE98" s="353"/>
      <c r="QTF98" s="353"/>
      <c r="QTG98" s="353"/>
      <c r="QTH98" s="353"/>
      <c r="QTI98" s="353"/>
      <c r="QTJ98" s="353"/>
      <c r="QTK98" s="353"/>
      <c r="QTL98" s="353"/>
      <c r="QTM98" s="353"/>
      <c r="QTN98" s="353"/>
      <c r="QTO98" s="353"/>
      <c r="QTP98" s="353"/>
      <c r="QTQ98" s="353"/>
      <c r="QTR98" s="353"/>
      <c r="QTS98" s="353"/>
      <c r="QTT98" s="353"/>
      <c r="QTU98" s="353"/>
      <c r="QTV98" s="353"/>
      <c r="QTW98" s="353"/>
      <c r="QTX98" s="353"/>
      <c r="QTY98" s="353"/>
      <c r="QTZ98" s="353"/>
      <c r="QUA98" s="353"/>
      <c r="QUB98" s="353"/>
      <c r="QUC98" s="353"/>
      <c r="QUD98" s="353"/>
      <c r="QUE98" s="353"/>
      <c r="QUF98" s="353"/>
      <c r="QUG98" s="353"/>
      <c r="QUH98" s="353"/>
      <c r="QUI98" s="353"/>
      <c r="QUJ98" s="353"/>
      <c r="QUK98" s="353"/>
      <c r="QUL98" s="353"/>
      <c r="QUM98" s="353"/>
      <c r="QUN98" s="353"/>
      <c r="QUO98" s="353"/>
      <c r="QUP98" s="353"/>
      <c r="QUQ98" s="353"/>
      <c r="QUR98" s="353"/>
      <c r="QUS98" s="353"/>
      <c r="QUT98" s="353"/>
      <c r="QUU98" s="353"/>
      <c r="QUV98" s="353"/>
      <c r="QUW98" s="353"/>
      <c r="QUX98" s="353"/>
      <c r="QUY98" s="353"/>
      <c r="QUZ98" s="353"/>
      <c r="QVA98" s="353"/>
      <c r="QVB98" s="353"/>
      <c r="QVC98" s="353"/>
      <c r="QVD98" s="353"/>
      <c r="QVE98" s="353"/>
      <c r="QVF98" s="353"/>
      <c r="QVG98" s="353"/>
      <c r="QVH98" s="353"/>
      <c r="QVI98" s="353"/>
      <c r="QVJ98" s="353"/>
      <c r="QVK98" s="353"/>
      <c r="QVL98" s="353"/>
      <c r="QVM98" s="353"/>
      <c r="QVN98" s="353"/>
      <c r="QVO98" s="353"/>
      <c r="QVP98" s="353"/>
      <c r="QVQ98" s="353"/>
      <c r="QVR98" s="353"/>
      <c r="QVS98" s="353"/>
      <c r="QVT98" s="353"/>
      <c r="QVU98" s="353"/>
      <c r="QVV98" s="353"/>
      <c r="QVW98" s="353"/>
      <c r="QVX98" s="353"/>
      <c r="QVY98" s="353"/>
      <c r="QVZ98" s="353"/>
      <c r="QWA98" s="353"/>
      <c r="QWB98" s="353"/>
      <c r="QWC98" s="353"/>
      <c r="QWD98" s="353"/>
      <c r="QWE98" s="353"/>
      <c r="QWF98" s="353"/>
      <c r="QWG98" s="353"/>
      <c r="QWH98" s="353"/>
      <c r="QWI98" s="353"/>
      <c r="QWJ98" s="353"/>
      <c r="QWK98" s="353"/>
      <c r="QWL98" s="353"/>
      <c r="QWM98" s="353"/>
      <c r="QWN98" s="353"/>
      <c r="QWO98" s="353"/>
      <c r="QWP98" s="353"/>
      <c r="QWQ98" s="353"/>
      <c r="QWR98" s="353"/>
      <c r="QWS98" s="353"/>
      <c r="QWT98" s="353"/>
      <c r="QWU98" s="353"/>
      <c r="QWV98" s="353"/>
      <c r="QWW98" s="353"/>
      <c r="QWX98" s="353"/>
      <c r="QWY98" s="353"/>
      <c r="QWZ98" s="353"/>
      <c r="QXA98" s="353"/>
      <c r="QXB98" s="353"/>
      <c r="QXC98" s="353"/>
      <c r="QXD98" s="353"/>
      <c r="QXE98" s="353"/>
      <c r="QXF98" s="353"/>
      <c r="QXG98" s="353"/>
      <c r="QXH98" s="353"/>
      <c r="QXI98" s="353"/>
      <c r="QXJ98" s="353"/>
      <c r="QXK98" s="353"/>
      <c r="QXL98" s="353"/>
      <c r="QXM98" s="353"/>
      <c r="QXN98" s="353"/>
      <c r="QXO98" s="353"/>
      <c r="QXP98" s="353"/>
      <c r="QXQ98" s="353"/>
      <c r="QXR98" s="353"/>
      <c r="QXS98" s="353"/>
      <c r="QXT98" s="353"/>
      <c r="QXU98" s="353"/>
      <c r="QXV98" s="353"/>
      <c r="QXW98" s="353"/>
      <c r="QXX98" s="353"/>
      <c r="QXY98" s="353"/>
      <c r="QXZ98" s="353"/>
      <c r="QYA98" s="353"/>
      <c r="QYB98" s="353"/>
      <c r="QYC98" s="353"/>
      <c r="QYD98" s="353"/>
      <c r="QYE98" s="353"/>
      <c r="QYF98" s="353"/>
      <c r="QYG98" s="353"/>
      <c r="QYH98" s="353"/>
      <c r="QYI98" s="353"/>
      <c r="QYJ98" s="353"/>
      <c r="QYK98" s="353"/>
      <c r="QYL98" s="353"/>
      <c r="QYM98" s="353"/>
      <c r="QYN98" s="353"/>
      <c r="QYO98" s="353"/>
      <c r="QYP98" s="353"/>
      <c r="QYQ98" s="353"/>
      <c r="QYR98" s="353"/>
      <c r="QYS98" s="353"/>
      <c r="QYT98" s="353"/>
      <c r="QYU98" s="353"/>
      <c r="QYV98" s="353"/>
      <c r="QYW98" s="353"/>
      <c r="QYX98" s="353"/>
      <c r="QYY98" s="353"/>
      <c r="QYZ98" s="353"/>
      <c r="QZA98" s="353"/>
      <c r="QZB98" s="353"/>
      <c r="QZC98" s="353"/>
      <c r="QZD98" s="353"/>
      <c r="QZE98" s="353"/>
      <c r="QZF98" s="353"/>
      <c r="QZG98" s="353"/>
      <c r="QZH98" s="353"/>
      <c r="QZI98" s="353"/>
      <c r="QZJ98" s="353"/>
      <c r="QZK98" s="353"/>
      <c r="QZL98" s="353"/>
      <c r="QZM98" s="353"/>
      <c r="QZN98" s="353"/>
      <c r="QZO98" s="353"/>
      <c r="QZP98" s="353"/>
      <c r="QZQ98" s="353"/>
      <c r="QZR98" s="353"/>
      <c r="QZS98" s="353"/>
      <c r="QZT98" s="353"/>
      <c r="QZU98" s="353"/>
      <c r="QZV98" s="353"/>
      <c r="QZW98" s="353"/>
      <c r="QZX98" s="353"/>
      <c r="QZY98" s="353"/>
      <c r="QZZ98" s="353"/>
      <c r="RAA98" s="353"/>
      <c r="RAB98" s="353"/>
      <c r="RAC98" s="353"/>
      <c r="RAD98" s="353"/>
      <c r="RAE98" s="353"/>
      <c r="RAF98" s="353"/>
      <c r="RAG98" s="353"/>
      <c r="RAH98" s="353"/>
      <c r="RAI98" s="353"/>
      <c r="RAJ98" s="353"/>
      <c r="RAK98" s="353"/>
      <c r="RAL98" s="353"/>
      <c r="RAM98" s="353"/>
      <c r="RAN98" s="353"/>
      <c r="RAO98" s="353"/>
      <c r="RAP98" s="353"/>
      <c r="RAQ98" s="353"/>
      <c r="RAR98" s="353"/>
      <c r="RAS98" s="353"/>
      <c r="RAT98" s="353"/>
      <c r="RAU98" s="353"/>
      <c r="RAV98" s="353"/>
      <c r="RAW98" s="353"/>
      <c r="RAX98" s="353"/>
      <c r="RAY98" s="353"/>
      <c r="RAZ98" s="353"/>
      <c r="RBA98" s="353"/>
      <c r="RBB98" s="353"/>
      <c r="RBC98" s="353"/>
      <c r="RBD98" s="353"/>
      <c r="RBE98" s="353"/>
      <c r="RBF98" s="353"/>
      <c r="RBG98" s="353"/>
      <c r="RBH98" s="353"/>
      <c r="RBI98" s="353"/>
      <c r="RBJ98" s="353"/>
      <c r="RBK98" s="353"/>
      <c r="RBL98" s="353"/>
      <c r="RBM98" s="353"/>
      <c r="RBN98" s="353"/>
      <c r="RBO98" s="353"/>
      <c r="RBP98" s="353"/>
      <c r="RBQ98" s="353"/>
      <c r="RBR98" s="353"/>
      <c r="RBS98" s="353"/>
      <c r="RBT98" s="353"/>
      <c r="RBU98" s="353"/>
      <c r="RBV98" s="353"/>
      <c r="RBW98" s="353"/>
      <c r="RBX98" s="353"/>
      <c r="RBY98" s="353"/>
      <c r="RBZ98" s="353"/>
      <c r="RCA98" s="353"/>
      <c r="RCB98" s="353"/>
      <c r="RCC98" s="353"/>
      <c r="RCD98" s="353"/>
      <c r="RCE98" s="353"/>
      <c r="RCF98" s="353"/>
      <c r="RCG98" s="353"/>
      <c r="RCH98" s="353"/>
      <c r="RCI98" s="353"/>
      <c r="RCJ98" s="353"/>
      <c r="RCK98" s="353"/>
      <c r="RCL98" s="353"/>
      <c r="RCM98" s="353"/>
      <c r="RCN98" s="353"/>
      <c r="RCO98" s="353"/>
      <c r="RCP98" s="353"/>
      <c r="RCQ98" s="353"/>
      <c r="RCR98" s="353"/>
      <c r="RCS98" s="353"/>
      <c r="RCT98" s="353"/>
      <c r="RCU98" s="353"/>
      <c r="RCV98" s="353"/>
      <c r="RCW98" s="353"/>
      <c r="RCX98" s="353"/>
      <c r="RCY98" s="353"/>
      <c r="RCZ98" s="353"/>
      <c r="RDA98" s="353"/>
      <c r="RDB98" s="353"/>
      <c r="RDC98" s="353"/>
      <c r="RDD98" s="353"/>
      <c r="RDE98" s="353"/>
      <c r="RDF98" s="353"/>
      <c r="RDG98" s="353"/>
      <c r="RDH98" s="353"/>
      <c r="RDI98" s="353"/>
      <c r="RDJ98" s="353"/>
      <c r="RDK98" s="353"/>
      <c r="RDL98" s="353"/>
      <c r="RDM98" s="353"/>
      <c r="RDN98" s="353"/>
      <c r="RDO98" s="353"/>
      <c r="RDP98" s="353"/>
      <c r="RDQ98" s="353"/>
      <c r="RDR98" s="353"/>
      <c r="RDS98" s="353"/>
      <c r="RDT98" s="353"/>
      <c r="RDU98" s="353"/>
      <c r="RDV98" s="353"/>
      <c r="RDW98" s="353"/>
      <c r="RDX98" s="353"/>
      <c r="RDY98" s="353"/>
      <c r="RDZ98" s="353"/>
      <c r="REA98" s="353"/>
      <c r="REB98" s="353"/>
      <c r="REC98" s="353"/>
      <c r="RED98" s="353"/>
      <c r="REE98" s="353"/>
      <c r="REF98" s="353"/>
      <c r="REG98" s="353"/>
      <c r="REH98" s="353"/>
      <c r="REI98" s="353"/>
      <c r="REJ98" s="353"/>
      <c r="REK98" s="353"/>
      <c r="REL98" s="353"/>
      <c r="REM98" s="353"/>
      <c r="REN98" s="353"/>
      <c r="REO98" s="353"/>
      <c r="REP98" s="353"/>
      <c r="REQ98" s="353"/>
      <c r="RER98" s="353"/>
      <c r="RES98" s="353"/>
      <c r="RET98" s="353"/>
      <c r="REU98" s="353"/>
      <c r="REV98" s="353"/>
      <c r="REW98" s="353"/>
      <c r="REX98" s="353"/>
      <c r="REY98" s="353"/>
      <c r="REZ98" s="353"/>
      <c r="RFA98" s="353"/>
      <c r="RFB98" s="353"/>
      <c r="RFC98" s="353"/>
      <c r="RFD98" s="353"/>
      <c r="RFE98" s="353"/>
      <c r="RFF98" s="353"/>
      <c r="RFG98" s="353"/>
      <c r="RFH98" s="353"/>
      <c r="RFI98" s="353"/>
      <c r="RFJ98" s="353"/>
      <c r="RFK98" s="353"/>
      <c r="RFL98" s="353"/>
      <c r="RFM98" s="353"/>
      <c r="RFN98" s="353"/>
      <c r="RFO98" s="353"/>
      <c r="RFP98" s="353"/>
      <c r="RFQ98" s="353"/>
      <c r="RFR98" s="353"/>
      <c r="RFS98" s="353"/>
      <c r="RFT98" s="353"/>
      <c r="RFU98" s="353"/>
      <c r="RFV98" s="353"/>
      <c r="RFW98" s="353"/>
      <c r="RFX98" s="353"/>
      <c r="RFY98" s="353"/>
      <c r="RFZ98" s="353"/>
      <c r="RGA98" s="353"/>
      <c r="RGB98" s="353"/>
      <c r="RGC98" s="353"/>
      <c r="RGD98" s="353"/>
      <c r="RGE98" s="353"/>
      <c r="RGF98" s="353"/>
      <c r="RGG98" s="353"/>
      <c r="RGH98" s="353"/>
      <c r="RGI98" s="353"/>
      <c r="RGJ98" s="353"/>
      <c r="RGK98" s="353"/>
      <c r="RGL98" s="353"/>
      <c r="RGM98" s="353"/>
      <c r="RGN98" s="353"/>
      <c r="RGO98" s="353"/>
      <c r="RGP98" s="353"/>
      <c r="RGQ98" s="353"/>
      <c r="RGR98" s="353"/>
      <c r="RGS98" s="353"/>
      <c r="RGT98" s="353"/>
      <c r="RGU98" s="353"/>
      <c r="RGV98" s="353"/>
      <c r="RGW98" s="353"/>
      <c r="RGX98" s="353"/>
      <c r="RGY98" s="353"/>
      <c r="RGZ98" s="353"/>
      <c r="RHA98" s="353"/>
      <c r="RHB98" s="353"/>
      <c r="RHC98" s="353"/>
      <c r="RHD98" s="353"/>
      <c r="RHE98" s="353"/>
      <c r="RHF98" s="353"/>
      <c r="RHG98" s="353"/>
      <c r="RHH98" s="353"/>
      <c r="RHI98" s="353"/>
      <c r="RHJ98" s="353"/>
      <c r="RHK98" s="353"/>
      <c r="RHL98" s="353"/>
      <c r="RHM98" s="353"/>
      <c r="RHN98" s="353"/>
      <c r="RHO98" s="353"/>
      <c r="RHP98" s="353"/>
      <c r="RHQ98" s="353"/>
      <c r="RHR98" s="353"/>
      <c r="RHS98" s="353"/>
      <c r="RHT98" s="353"/>
      <c r="RHU98" s="353"/>
      <c r="RHV98" s="353"/>
      <c r="RHW98" s="353"/>
      <c r="RHX98" s="353"/>
      <c r="RHY98" s="353"/>
      <c r="RHZ98" s="353"/>
      <c r="RIA98" s="353"/>
      <c r="RIB98" s="353"/>
      <c r="RIC98" s="353"/>
      <c r="RID98" s="353"/>
      <c r="RIE98" s="353"/>
      <c r="RIF98" s="353"/>
      <c r="RIG98" s="353"/>
      <c r="RIH98" s="353"/>
      <c r="RII98" s="353"/>
      <c r="RIJ98" s="353"/>
      <c r="RIK98" s="353"/>
      <c r="RIL98" s="353"/>
      <c r="RIM98" s="353"/>
      <c r="RIN98" s="353"/>
      <c r="RIO98" s="353"/>
      <c r="RIP98" s="353"/>
      <c r="RIQ98" s="353"/>
      <c r="RIR98" s="353"/>
      <c r="RIS98" s="353"/>
      <c r="RIT98" s="353"/>
      <c r="RIU98" s="353"/>
      <c r="RIV98" s="353"/>
      <c r="RIW98" s="353"/>
      <c r="RIX98" s="353"/>
      <c r="RIY98" s="353"/>
      <c r="RIZ98" s="353"/>
      <c r="RJA98" s="353"/>
      <c r="RJB98" s="353"/>
      <c r="RJC98" s="353"/>
      <c r="RJD98" s="353"/>
      <c r="RJE98" s="353"/>
      <c r="RJF98" s="353"/>
      <c r="RJG98" s="353"/>
      <c r="RJH98" s="353"/>
      <c r="RJI98" s="353"/>
      <c r="RJJ98" s="353"/>
      <c r="RJK98" s="353"/>
      <c r="RJL98" s="353"/>
      <c r="RJM98" s="353"/>
      <c r="RJN98" s="353"/>
      <c r="RJO98" s="353"/>
      <c r="RJP98" s="353"/>
      <c r="RJQ98" s="353"/>
      <c r="RJR98" s="353"/>
      <c r="RJS98" s="353"/>
      <c r="RJT98" s="353"/>
      <c r="RJU98" s="353"/>
      <c r="RJV98" s="353"/>
      <c r="RJW98" s="353"/>
      <c r="RJX98" s="353"/>
      <c r="RJY98" s="353"/>
      <c r="RJZ98" s="353"/>
      <c r="RKA98" s="353"/>
      <c r="RKB98" s="353"/>
      <c r="RKC98" s="353"/>
      <c r="RKD98" s="353"/>
      <c r="RKE98" s="353"/>
      <c r="RKF98" s="353"/>
      <c r="RKG98" s="353"/>
      <c r="RKH98" s="353"/>
      <c r="RKI98" s="353"/>
      <c r="RKJ98" s="353"/>
      <c r="RKK98" s="353"/>
      <c r="RKL98" s="353"/>
      <c r="RKM98" s="353"/>
      <c r="RKN98" s="353"/>
      <c r="RKO98" s="353"/>
      <c r="RKP98" s="353"/>
      <c r="RKQ98" s="353"/>
      <c r="RKR98" s="353"/>
      <c r="RKS98" s="353"/>
      <c r="RKT98" s="353"/>
      <c r="RKU98" s="353"/>
      <c r="RKV98" s="353"/>
      <c r="RKW98" s="353"/>
      <c r="RKX98" s="353"/>
      <c r="RKY98" s="353"/>
      <c r="RKZ98" s="353"/>
      <c r="RLA98" s="353"/>
      <c r="RLB98" s="353"/>
      <c r="RLC98" s="353"/>
      <c r="RLD98" s="353"/>
      <c r="RLE98" s="353"/>
      <c r="RLF98" s="353"/>
      <c r="RLG98" s="353"/>
      <c r="RLH98" s="353"/>
      <c r="RLI98" s="353"/>
      <c r="RLJ98" s="353"/>
      <c r="RLK98" s="353"/>
      <c r="RLL98" s="353"/>
      <c r="RLM98" s="353"/>
      <c r="RLN98" s="353"/>
      <c r="RLO98" s="353"/>
      <c r="RLP98" s="353"/>
      <c r="RLQ98" s="353"/>
      <c r="RLR98" s="353"/>
      <c r="RLS98" s="353"/>
      <c r="RLT98" s="353"/>
      <c r="RLU98" s="353"/>
      <c r="RLV98" s="353"/>
      <c r="RLW98" s="353"/>
      <c r="RLX98" s="353"/>
      <c r="RLY98" s="353"/>
      <c r="RLZ98" s="353"/>
      <c r="RMA98" s="353"/>
      <c r="RMB98" s="353"/>
      <c r="RMC98" s="353"/>
      <c r="RMD98" s="353"/>
      <c r="RME98" s="353"/>
      <c r="RMF98" s="353"/>
      <c r="RMG98" s="353"/>
      <c r="RMH98" s="353"/>
      <c r="RMI98" s="353"/>
      <c r="RMJ98" s="353"/>
      <c r="RMK98" s="353"/>
      <c r="RML98" s="353"/>
      <c r="RMM98" s="353"/>
      <c r="RMN98" s="353"/>
      <c r="RMO98" s="353"/>
      <c r="RMP98" s="353"/>
      <c r="RMQ98" s="353"/>
      <c r="RMR98" s="353"/>
      <c r="RMS98" s="353"/>
      <c r="RMT98" s="353"/>
      <c r="RMU98" s="353"/>
      <c r="RMV98" s="353"/>
      <c r="RMW98" s="353"/>
      <c r="RMX98" s="353"/>
      <c r="RMY98" s="353"/>
      <c r="RMZ98" s="353"/>
      <c r="RNA98" s="353"/>
      <c r="RNB98" s="353"/>
      <c r="RNC98" s="353"/>
      <c r="RND98" s="353"/>
      <c r="RNE98" s="353"/>
      <c r="RNF98" s="353"/>
      <c r="RNG98" s="353"/>
      <c r="RNH98" s="353"/>
      <c r="RNI98" s="353"/>
      <c r="RNJ98" s="353"/>
      <c r="RNK98" s="353"/>
      <c r="RNL98" s="353"/>
      <c r="RNM98" s="353"/>
      <c r="RNN98" s="353"/>
      <c r="RNO98" s="353"/>
      <c r="RNP98" s="353"/>
      <c r="RNQ98" s="353"/>
      <c r="RNR98" s="353"/>
      <c r="RNS98" s="353"/>
      <c r="RNT98" s="353"/>
      <c r="RNU98" s="353"/>
      <c r="RNV98" s="353"/>
      <c r="RNW98" s="353"/>
      <c r="RNX98" s="353"/>
      <c r="RNY98" s="353"/>
      <c r="RNZ98" s="353"/>
      <c r="ROA98" s="353"/>
      <c r="ROB98" s="353"/>
      <c r="ROC98" s="353"/>
      <c r="ROD98" s="353"/>
      <c r="ROE98" s="353"/>
      <c r="ROF98" s="353"/>
      <c r="ROG98" s="353"/>
      <c r="ROH98" s="353"/>
      <c r="ROI98" s="353"/>
      <c r="ROJ98" s="353"/>
      <c r="ROK98" s="353"/>
      <c r="ROL98" s="353"/>
      <c r="ROM98" s="353"/>
      <c r="RON98" s="353"/>
      <c r="ROO98" s="353"/>
      <c r="ROP98" s="353"/>
      <c r="ROQ98" s="353"/>
      <c r="ROR98" s="353"/>
      <c r="ROS98" s="353"/>
      <c r="ROT98" s="353"/>
      <c r="ROU98" s="353"/>
      <c r="ROV98" s="353"/>
      <c r="ROW98" s="353"/>
      <c r="ROX98" s="353"/>
      <c r="ROY98" s="353"/>
      <c r="ROZ98" s="353"/>
      <c r="RPA98" s="353"/>
      <c r="RPB98" s="353"/>
      <c r="RPC98" s="353"/>
      <c r="RPD98" s="353"/>
      <c r="RPE98" s="353"/>
      <c r="RPF98" s="353"/>
      <c r="RPG98" s="353"/>
      <c r="RPH98" s="353"/>
      <c r="RPI98" s="353"/>
      <c r="RPJ98" s="353"/>
      <c r="RPK98" s="353"/>
      <c r="RPL98" s="353"/>
      <c r="RPM98" s="353"/>
      <c r="RPN98" s="353"/>
      <c r="RPO98" s="353"/>
      <c r="RPP98" s="353"/>
      <c r="RPQ98" s="353"/>
      <c r="RPR98" s="353"/>
      <c r="RPS98" s="353"/>
      <c r="RPT98" s="353"/>
      <c r="RPU98" s="353"/>
      <c r="RPV98" s="353"/>
      <c r="RPW98" s="353"/>
      <c r="RPX98" s="353"/>
      <c r="RPY98" s="353"/>
      <c r="RPZ98" s="353"/>
      <c r="RQA98" s="353"/>
      <c r="RQB98" s="353"/>
      <c r="RQC98" s="353"/>
      <c r="RQD98" s="353"/>
      <c r="RQE98" s="353"/>
      <c r="RQF98" s="353"/>
      <c r="RQG98" s="353"/>
      <c r="RQH98" s="353"/>
      <c r="RQI98" s="353"/>
      <c r="RQJ98" s="353"/>
      <c r="RQK98" s="353"/>
      <c r="RQL98" s="353"/>
      <c r="RQM98" s="353"/>
      <c r="RQN98" s="353"/>
      <c r="RQO98" s="353"/>
      <c r="RQP98" s="353"/>
      <c r="RQQ98" s="353"/>
      <c r="RQR98" s="353"/>
      <c r="RQS98" s="353"/>
      <c r="RQT98" s="353"/>
      <c r="RQU98" s="353"/>
      <c r="RQV98" s="353"/>
      <c r="RQW98" s="353"/>
      <c r="RQX98" s="353"/>
      <c r="RQY98" s="353"/>
      <c r="RQZ98" s="353"/>
      <c r="RRA98" s="353"/>
      <c r="RRB98" s="353"/>
      <c r="RRC98" s="353"/>
      <c r="RRD98" s="353"/>
      <c r="RRE98" s="353"/>
      <c r="RRF98" s="353"/>
      <c r="RRG98" s="353"/>
      <c r="RRH98" s="353"/>
      <c r="RRI98" s="353"/>
      <c r="RRJ98" s="353"/>
      <c r="RRK98" s="353"/>
      <c r="RRL98" s="353"/>
      <c r="RRM98" s="353"/>
      <c r="RRN98" s="353"/>
      <c r="RRO98" s="353"/>
      <c r="RRP98" s="353"/>
      <c r="RRQ98" s="353"/>
      <c r="RRR98" s="353"/>
      <c r="RRS98" s="353"/>
      <c r="RRT98" s="353"/>
      <c r="RRU98" s="353"/>
      <c r="RRV98" s="353"/>
      <c r="RRW98" s="353"/>
      <c r="RRX98" s="353"/>
      <c r="RRY98" s="353"/>
      <c r="RRZ98" s="353"/>
      <c r="RSA98" s="353"/>
      <c r="RSB98" s="353"/>
      <c r="RSC98" s="353"/>
      <c r="RSD98" s="353"/>
      <c r="RSE98" s="353"/>
      <c r="RSF98" s="353"/>
      <c r="RSG98" s="353"/>
      <c r="RSH98" s="353"/>
      <c r="RSI98" s="353"/>
      <c r="RSJ98" s="353"/>
      <c r="RSK98" s="353"/>
      <c r="RSL98" s="353"/>
      <c r="RSM98" s="353"/>
      <c r="RSN98" s="353"/>
      <c r="RSO98" s="353"/>
      <c r="RSP98" s="353"/>
      <c r="RSQ98" s="353"/>
      <c r="RSR98" s="353"/>
      <c r="RSS98" s="353"/>
      <c r="RST98" s="353"/>
      <c r="RSU98" s="353"/>
      <c r="RSV98" s="353"/>
      <c r="RSW98" s="353"/>
      <c r="RSX98" s="353"/>
      <c r="RSY98" s="353"/>
      <c r="RSZ98" s="353"/>
      <c r="RTA98" s="353"/>
      <c r="RTB98" s="353"/>
      <c r="RTC98" s="353"/>
      <c r="RTD98" s="353"/>
      <c r="RTE98" s="353"/>
      <c r="RTF98" s="353"/>
      <c r="RTG98" s="353"/>
      <c r="RTH98" s="353"/>
      <c r="RTI98" s="353"/>
      <c r="RTJ98" s="353"/>
      <c r="RTK98" s="353"/>
      <c r="RTL98" s="353"/>
      <c r="RTM98" s="353"/>
      <c r="RTN98" s="353"/>
      <c r="RTO98" s="353"/>
      <c r="RTP98" s="353"/>
      <c r="RTQ98" s="353"/>
      <c r="RTR98" s="353"/>
      <c r="RTS98" s="353"/>
      <c r="RTT98" s="353"/>
      <c r="RTU98" s="353"/>
      <c r="RTV98" s="353"/>
      <c r="RTW98" s="353"/>
      <c r="RTX98" s="353"/>
      <c r="RTY98" s="353"/>
      <c r="RTZ98" s="353"/>
      <c r="RUA98" s="353"/>
      <c r="RUB98" s="353"/>
      <c r="RUC98" s="353"/>
      <c r="RUD98" s="353"/>
      <c r="RUE98" s="353"/>
      <c r="RUF98" s="353"/>
      <c r="RUG98" s="353"/>
      <c r="RUH98" s="353"/>
      <c r="RUI98" s="353"/>
      <c r="RUJ98" s="353"/>
      <c r="RUK98" s="353"/>
      <c r="RUL98" s="353"/>
      <c r="RUM98" s="353"/>
      <c r="RUN98" s="353"/>
      <c r="RUO98" s="353"/>
      <c r="RUP98" s="353"/>
      <c r="RUQ98" s="353"/>
      <c r="RUR98" s="353"/>
      <c r="RUS98" s="353"/>
      <c r="RUT98" s="353"/>
      <c r="RUU98" s="353"/>
      <c r="RUV98" s="353"/>
      <c r="RUW98" s="353"/>
      <c r="RUX98" s="353"/>
      <c r="RUY98" s="353"/>
      <c r="RUZ98" s="353"/>
      <c r="RVA98" s="353"/>
      <c r="RVB98" s="353"/>
      <c r="RVC98" s="353"/>
      <c r="RVD98" s="353"/>
      <c r="RVE98" s="353"/>
      <c r="RVF98" s="353"/>
      <c r="RVG98" s="353"/>
      <c r="RVH98" s="353"/>
      <c r="RVI98" s="353"/>
      <c r="RVJ98" s="353"/>
      <c r="RVK98" s="353"/>
      <c r="RVL98" s="353"/>
      <c r="RVM98" s="353"/>
      <c r="RVN98" s="353"/>
      <c r="RVO98" s="353"/>
      <c r="RVP98" s="353"/>
      <c r="RVQ98" s="353"/>
      <c r="RVR98" s="353"/>
      <c r="RVS98" s="353"/>
      <c r="RVT98" s="353"/>
      <c r="RVU98" s="353"/>
      <c r="RVV98" s="353"/>
      <c r="RVW98" s="353"/>
      <c r="RVX98" s="353"/>
      <c r="RVY98" s="353"/>
      <c r="RVZ98" s="353"/>
      <c r="RWA98" s="353"/>
      <c r="RWB98" s="353"/>
      <c r="RWC98" s="353"/>
      <c r="RWD98" s="353"/>
      <c r="RWE98" s="353"/>
      <c r="RWF98" s="353"/>
      <c r="RWG98" s="353"/>
      <c r="RWH98" s="353"/>
      <c r="RWI98" s="353"/>
      <c r="RWJ98" s="353"/>
      <c r="RWK98" s="353"/>
      <c r="RWL98" s="353"/>
      <c r="RWM98" s="353"/>
      <c r="RWN98" s="353"/>
      <c r="RWO98" s="353"/>
      <c r="RWP98" s="353"/>
      <c r="RWQ98" s="353"/>
      <c r="RWR98" s="353"/>
      <c r="RWS98" s="353"/>
      <c r="RWT98" s="353"/>
      <c r="RWU98" s="353"/>
      <c r="RWV98" s="353"/>
      <c r="RWW98" s="353"/>
      <c r="RWX98" s="353"/>
      <c r="RWY98" s="353"/>
      <c r="RWZ98" s="353"/>
      <c r="RXA98" s="353"/>
      <c r="RXB98" s="353"/>
      <c r="RXC98" s="353"/>
      <c r="RXD98" s="353"/>
      <c r="RXE98" s="353"/>
      <c r="RXF98" s="353"/>
      <c r="RXG98" s="353"/>
      <c r="RXH98" s="353"/>
      <c r="RXI98" s="353"/>
      <c r="RXJ98" s="353"/>
      <c r="RXK98" s="353"/>
      <c r="RXL98" s="353"/>
      <c r="RXM98" s="353"/>
      <c r="RXN98" s="353"/>
      <c r="RXO98" s="353"/>
      <c r="RXP98" s="353"/>
      <c r="RXQ98" s="353"/>
      <c r="RXR98" s="353"/>
      <c r="RXS98" s="353"/>
      <c r="RXT98" s="353"/>
      <c r="RXU98" s="353"/>
      <c r="RXV98" s="353"/>
      <c r="RXW98" s="353"/>
      <c r="RXX98" s="353"/>
      <c r="RXY98" s="353"/>
      <c r="RXZ98" s="353"/>
      <c r="RYA98" s="353"/>
      <c r="RYB98" s="353"/>
      <c r="RYC98" s="353"/>
      <c r="RYD98" s="353"/>
      <c r="RYE98" s="353"/>
      <c r="RYF98" s="353"/>
      <c r="RYG98" s="353"/>
      <c r="RYH98" s="353"/>
      <c r="RYI98" s="353"/>
      <c r="RYJ98" s="353"/>
      <c r="RYK98" s="353"/>
      <c r="RYL98" s="353"/>
      <c r="RYM98" s="353"/>
      <c r="RYN98" s="353"/>
      <c r="RYO98" s="353"/>
      <c r="RYP98" s="353"/>
      <c r="RYQ98" s="353"/>
      <c r="RYR98" s="353"/>
      <c r="RYS98" s="353"/>
      <c r="RYT98" s="353"/>
      <c r="RYU98" s="353"/>
      <c r="RYV98" s="353"/>
      <c r="RYW98" s="353"/>
      <c r="RYX98" s="353"/>
      <c r="RYY98" s="353"/>
      <c r="RYZ98" s="353"/>
      <c r="RZA98" s="353"/>
      <c r="RZB98" s="353"/>
      <c r="RZC98" s="353"/>
      <c r="RZD98" s="353"/>
      <c r="RZE98" s="353"/>
      <c r="RZF98" s="353"/>
      <c r="RZG98" s="353"/>
      <c r="RZH98" s="353"/>
      <c r="RZI98" s="353"/>
      <c r="RZJ98" s="353"/>
      <c r="RZK98" s="353"/>
      <c r="RZL98" s="353"/>
      <c r="RZM98" s="353"/>
      <c r="RZN98" s="353"/>
      <c r="RZO98" s="353"/>
      <c r="RZP98" s="353"/>
      <c r="RZQ98" s="353"/>
      <c r="RZR98" s="353"/>
      <c r="RZS98" s="353"/>
      <c r="RZT98" s="353"/>
      <c r="RZU98" s="353"/>
      <c r="RZV98" s="353"/>
      <c r="RZW98" s="353"/>
      <c r="RZX98" s="353"/>
      <c r="RZY98" s="353"/>
      <c r="RZZ98" s="353"/>
      <c r="SAA98" s="353"/>
      <c r="SAB98" s="353"/>
      <c r="SAC98" s="353"/>
      <c r="SAD98" s="353"/>
      <c r="SAE98" s="353"/>
      <c r="SAF98" s="353"/>
      <c r="SAG98" s="353"/>
      <c r="SAH98" s="353"/>
      <c r="SAI98" s="353"/>
      <c r="SAJ98" s="353"/>
      <c r="SAK98" s="353"/>
      <c r="SAL98" s="353"/>
      <c r="SAM98" s="353"/>
      <c r="SAN98" s="353"/>
      <c r="SAO98" s="353"/>
      <c r="SAP98" s="353"/>
      <c r="SAQ98" s="353"/>
      <c r="SAR98" s="353"/>
      <c r="SAS98" s="353"/>
      <c r="SAT98" s="353"/>
      <c r="SAU98" s="353"/>
      <c r="SAV98" s="353"/>
      <c r="SAW98" s="353"/>
      <c r="SAX98" s="353"/>
      <c r="SAY98" s="353"/>
      <c r="SAZ98" s="353"/>
      <c r="SBA98" s="353"/>
      <c r="SBB98" s="353"/>
      <c r="SBC98" s="353"/>
      <c r="SBD98" s="353"/>
      <c r="SBE98" s="353"/>
      <c r="SBF98" s="353"/>
      <c r="SBG98" s="353"/>
      <c r="SBH98" s="353"/>
      <c r="SBI98" s="353"/>
      <c r="SBJ98" s="353"/>
      <c r="SBK98" s="353"/>
      <c r="SBL98" s="353"/>
      <c r="SBM98" s="353"/>
      <c r="SBN98" s="353"/>
      <c r="SBO98" s="353"/>
      <c r="SBP98" s="353"/>
      <c r="SBQ98" s="353"/>
      <c r="SBR98" s="353"/>
      <c r="SBS98" s="353"/>
      <c r="SBT98" s="353"/>
      <c r="SBU98" s="353"/>
      <c r="SBV98" s="353"/>
      <c r="SBW98" s="353"/>
      <c r="SBX98" s="353"/>
      <c r="SBY98" s="353"/>
      <c r="SBZ98" s="353"/>
      <c r="SCA98" s="353"/>
      <c r="SCB98" s="353"/>
      <c r="SCC98" s="353"/>
      <c r="SCD98" s="353"/>
      <c r="SCE98" s="353"/>
      <c r="SCF98" s="353"/>
      <c r="SCG98" s="353"/>
      <c r="SCH98" s="353"/>
      <c r="SCI98" s="353"/>
      <c r="SCJ98" s="353"/>
      <c r="SCK98" s="353"/>
      <c r="SCL98" s="353"/>
      <c r="SCM98" s="353"/>
      <c r="SCN98" s="353"/>
      <c r="SCO98" s="353"/>
      <c r="SCP98" s="353"/>
      <c r="SCQ98" s="353"/>
      <c r="SCR98" s="353"/>
      <c r="SCS98" s="353"/>
      <c r="SCT98" s="353"/>
      <c r="SCU98" s="353"/>
      <c r="SCV98" s="353"/>
      <c r="SCW98" s="353"/>
      <c r="SCX98" s="353"/>
      <c r="SCY98" s="353"/>
      <c r="SCZ98" s="353"/>
      <c r="SDA98" s="353"/>
      <c r="SDB98" s="353"/>
      <c r="SDC98" s="353"/>
      <c r="SDD98" s="353"/>
      <c r="SDE98" s="353"/>
      <c r="SDF98" s="353"/>
      <c r="SDG98" s="353"/>
      <c r="SDH98" s="353"/>
      <c r="SDI98" s="353"/>
      <c r="SDJ98" s="353"/>
      <c r="SDK98" s="353"/>
      <c r="SDL98" s="353"/>
      <c r="SDM98" s="353"/>
      <c r="SDN98" s="353"/>
      <c r="SDO98" s="353"/>
      <c r="SDP98" s="353"/>
      <c r="SDQ98" s="353"/>
      <c r="SDR98" s="353"/>
      <c r="SDS98" s="353"/>
      <c r="SDT98" s="353"/>
      <c r="SDU98" s="353"/>
      <c r="SDV98" s="353"/>
      <c r="SDW98" s="353"/>
      <c r="SDX98" s="353"/>
      <c r="SDY98" s="353"/>
      <c r="SDZ98" s="353"/>
      <c r="SEA98" s="353"/>
      <c r="SEB98" s="353"/>
      <c r="SEC98" s="353"/>
      <c r="SED98" s="353"/>
      <c r="SEE98" s="353"/>
      <c r="SEF98" s="353"/>
      <c r="SEG98" s="353"/>
      <c r="SEH98" s="353"/>
      <c r="SEI98" s="353"/>
      <c r="SEJ98" s="353"/>
      <c r="SEK98" s="353"/>
      <c r="SEL98" s="353"/>
      <c r="SEM98" s="353"/>
      <c r="SEN98" s="353"/>
      <c r="SEO98" s="353"/>
      <c r="SEP98" s="353"/>
      <c r="SEQ98" s="353"/>
      <c r="SER98" s="353"/>
      <c r="SES98" s="353"/>
      <c r="SET98" s="353"/>
      <c r="SEU98" s="353"/>
      <c r="SEV98" s="353"/>
      <c r="SEW98" s="353"/>
      <c r="SEX98" s="353"/>
      <c r="SEY98" s="353"/>
      <c r="SEZ98" s="353"/>
      <c r="SFA98" s="353"/>
      <c r="SFB98" s="353"/>
      <c r="SFC98" s="353"/>
      <c r="SFD98" s="353"/>
      <c r="SFE98" s="353"/>
      <c r="SFF98" s="353"/>
      <c r="SFG98" s="353"/>
      <c r="SFH98" s="353"/>
      <c r="SFI98" s="353"/>
      <c r="SFJ98" s="353"/>
      <c r="SFK98" s="353"/>
      <c r="SFL98" s="353"/>
      <c r="SFM98" s="353"/>
      <c r="SFN98" s="353"/>
      <c r="SFO98" s="353"/>
      <c r="SFP98" s="353"/>
      <c r="SFQ98" s="353"/>
      <c r="SFR98" s="353"/>
      <c r="SFS98" s="353"/>
      <c r="SFT98" s="353"/>
      <c r="SFU98" s="353"/>
      <c r="SFV98" s="353"/>
      <c r="SFW98" s="353"/>
      <c r="SFX98" s="353"/>
      <c r="SFY98" s="353"/>
      <c r="SFZ98" s="353"/>
      <c r="SGA98" s="353"/>
      <c r="SGB98" s="353"/>
      <c r="SGC98" s="353"/>
      <c r="SGD98" s="353"/>
      <c r="SGE98" s="353"/>
      <c r="SGF98" s="353"/>
      <c r="SGG98" s="353"/>
      <c r="SGH98" s="353"/>
      <c r="SGI98" s="353"/>
      <c r="SGJ98" s="353"/>
      <c r="SGK98" s="353"/>
      <c r="SGL98" s="353"/>
      <c r="SGM98" s="353"/>
      <c r="SGN98" s="353"/>
      <c r="SGO98" s="353"/>
      <c r="SGP98" s="353"/>
      <c r="SGQ98" s="353"/>
      <c r="SGR98" s="353"/>
      <c r="SGS98" s="353"/>
      <c r="SGT98" s="353"/>
      <c r="SGU98" s="353"/>
      <c r="SGV98" s="353"/>
      <c r="SGW98" s="353"/>
      <c r="SGX98" s="353"/>
      <c r="SGY98" s="353"/>
      <c r="SGZ98" s="353"/>
      <c r="SHA98" s="353"/>
      <c r="SHB98" s="353"/>
      <c r="SHC98" s="353"/>
      <c r="SHD98" s="353"/>
      <c r="SHE98" s="353"/>
      <c r="SHF98" s="353"/>
      <c r="SHG98" s="353"/>
      <c r="SHH98" s="353"/>
      <c r="SHI98" s="353"/>
      <c r="SHJ98" s="353"/>
      <c r="SHK98" s="353"/>
      <c r="SHL98" s="353"/>
      <c r="SHM98" s="353"/>
      <c r="SHN98" s="353"/>
      <c r="SHO98" s="353"/>
      <c r="SHP98" s="353"/>
      <c r="SHQ98" s="353"/>
      <c r="SHR98" s="353"/>
      <c r="SHS98" s="353"/>
      <c r="SHT98" s="353"/>
      <c r="SHU98" s="353"/>
      <c r="SHV98" s="353"/>
      <c r="SHW98" s="353"/>
      <c r="SHX98" s="353"/>
      <c r="SHY98" s="353"/>
      <c r="SHZ98" s="353"/>
      <c r="SIA98" s="353"/>
      <c r="SIB98" s="353"/>
      <c r="SIC98" s="353"/>
      <c r="SID98" s="353"/>
      <c r="SIE98" s="353"/>
      <c r="SIF98" s="353"/>
      <c r="SIG98" s="353"/>
      <c r="SIH98" s="353"/>
      <c r="SII98" s="353"/>
      <c r="SIJ98" s="353"/>
      <c r="SIK98" s="353"/>
      <c r="SIL98" s="353"/>
      <c r="SIM98" s="353"/>
      <c r="SIN98" s="353"/>
      <c r="SIO98" s="353"/>
      <c r="SIP98" s="353"/>
      <c r="SIQ98" s="353"/>
      <c r="SIR98" s="353"/>
      <c r="SIS98" s="353"/>
      <c r="SIT98" s="353"/>
      <c r="SIU98" s="353"/>
      <c r="SIV98" s="353"/>
      <c r="SIW98" s="353"/>
      <c r="SIX98" s="353"/>
      <c r="SIY98" s="353"/>
      <c r="SIZ98" s="353"/>
      <c r="SJA98" s="353"/>
      <c r="SJB98" s="353"/>
      <c r="SJC98" s="353"/>
      <c r="SJD98" s="353"/>
      <c r="SJE98" s="353"/>
      <c r="SJF98" s="353"/>
      <c r="SJG98" s="353"/>
      <c r="SJH98" s="353"/>
      <c r="SJI98" s="353"/>
      <c r="SJJ98" s="353"/>
      <c r="SJK98" s="353"/>
      <c r="SJL98" s="353"/>
      <c r="SJM98" s="353"/>
      <c r="SJN98" s="353"/>
      <c r="SJO98" s="353"/>
      <c r="SJP98" s="353"/>
      <c r="SJQ98" s="353"/>
      <c r="SJR98" s="353"/>
      <c r="SJS98" s="353"/>
      <c r="SJT98" s="353"/>
      <c r="SJU98" s="353"/>
      <c r="SJV98" s="353"/>
      <c r="SJW98" s="353"/>
      <c r="SJX98" s="353"/>
      <c r="SJY98" s="353"/>
      <c r="SJZ98" s="353"/>
      <c r="SKA98" s="353"/>
      <c r="SKB98" s="353"/>
      <c r="SKC98" s="353"/>
      <c r="SKD98" s="353"/>
      <c r="SKE98" s="353"/>
      <c r="SKF98" s="353"/>
      <c r="SKG98" s="353"/>
      <c r="SKH98" s="353"/>
      <c r="SKI98" s="353"/>
      <c r="SKJ98" s="353"/>
      <c r="SKK98" s="353"/>
      <c r="SKL98" s="353"/>
      <c r="SKM98" s="353"/>
      <c r="SKN98" s="353"/>
      <c r="SKO98" s="353"/>
      <c r="SKP98" s="353"/>
      <c r="SKQ98" s="353"/>
      <c r="SKR98" s="353"/>
      <c r="SKS98" s="353"/>
      <c r="SKT98" s="353"/>
      <c r="SKU98" s="353"/>
      <c r="SKV98" s="353"/>
      <c r="SKW98" s="353"/>
      <c r="SKX98" s="353"/>
      <c r="SKY98" s="353"/>
      <c r="SKZ98" s="353"/>
      <c r="SLA98" s="353"/>
      <c r="SLB98" s="353"/>
      <c r="SLC98" s="353"/>
      <c r="SLD98" s="353"/>
      <c r="SLE98" s="353"/>
      <c r="SLF98" s="353"/>
      <c r="SLG98" s="353"/>
      <c r="SLH98" s="353"/>
      <c r="SLI98" s="353"/>
      <c r="SLJ98" s="353"/>
      <c r="SLK98" s="353"/>
      <c r="SLL98" s="353"/>
      <c r="SLM98" s="353"/>
      <c r="SLN98" s="353"/>
      <c r="SLO98" s="353"/>
      <c r="SLP98" s="353"/>
      <c r="SLQ98" s="353"/>
      <c r="SLR98" s="353"/>
      <c r="SLS98" s="353"/>
      <c r="SLT98" s="353"/>
      <c r="SLU98" s="353"/>
      <c r="SLV98" s="353"/>
      <c r="SLW98" s="353"/>
      <c r="SLX98" s="353"/>
      <c r="SLY98" s="353"/>
      <c r="SLZ98" s="353"/>
      <c r="SMA98" s="353"/>
      <c r="SMB98" s="353"/>
      <c r="SMC98" s="353"/>
      <c r="SMD98" s="353"/>
      <c r="SME98" s="353"/>
      <c r="SMF98" s="353"/>
      <c r="SMG98" s="353"/>
      <c r="SMH98" s="353"/>
      <c r="SMI98" s="353"/>
      <c r="SMJ98" s="353"/>
      <c r="SMK98" s="353"/>
      <c r="SML98" s="353"/>
      <c r="SMM98" s="353"/>
      <c r="SMN98" s="353"/>
      <c r="SMO98" s="353"/>
      <c r="SMP98" s="353"/>
      <c r="SMQ98" s="353"/>
      <c r="SMR98" s="353"/>
      <c r="SMS98" s="353"/>
      <c r="SMT98" s="353"/>
      <c r="SMU98" s="353"/>
      <c r="SMV98" s="353"/>
      <c r="SMW98" s="353"/>
      <c r="SMX98" s="353"/>
      <c r="SMY98" s="353"/>
      <c r="SMZ98" s="353"/>
      <c r="SNA98" s="353"/>
      <c r="SNB98" s="353"/>
      <c r="SNC98" s="353"/>
      <c r="SND98" s="353"/>
      <c r="SNE98" s="353"/>
      <c r="SNF98" s="353"/>
      <c r="SNG98" s="353"/>
      <c r="SNH98" s="353"/>
      <c r="SNI98" s="353"/>
      <c r="SNJ98" s="353"/>
      <c r="SNK98" s="353"/>
      <c r="SNL98" s="353"/>
      <c r="SNM98" s="353"/>
      <c r="SNN98" s="353"/>
      <c r="SNO98" s="353"/>
      <c r="SNP98" s="353"/>
      <c r="SNQ98" s="353"/>
      <c r="SNR98" s="353"/>
      <c r="SNS98" s="353"/>
      <c r="SNT98" s="353"/>
      <c r="SNU98" s="353"/>
      <c r="SNV98" s="353"/>
      <c r="SNW98" s="353"/>
      <c r="SNX98" s="353"/>
      <c r="SNY98" s="353"/>
      <c r="SNZ98" s="353"/>
      <c r="SOA98" s="353"/>
      <c r="SOB98" s="353"/>
      <c r="SOC98" s="353"/>
      <c r="SOD98" s="353"/>
      <c r="SOE98" s="353"/>
      <c r="SOF98" s="353"/>
      <c r="SOG98" s="353"/>
      <c r="SOH98" s="353"/>
      <c r="SOI98" s="353"/>
      <c r="SOJ98" s="353"/>
      <c r="SOK98" s="353"/>
      <c r="SOL98" s="353"/>
      <c r="SOM98" s="353"/>
      <c r="SON98" s="353"/>
      <c r="SOO98" s="353"/>
      <c r="SOP98" s="353"/>
      <c r="SOQ98" s="353"/>
      <c r="SOR98" s="353"/>
      <c r="SOS98" s="353"/>
      <c r="SOT98" s="353"/>
      <c r="SOU98" s="353"/>
      <c r="SOV98" s="353"/>
      <c r="SOW98" s="353"/>
      <c r="SOX98" s="353"/>
      <c r="SOY98" s="353"/>
      <c r="SOZ98" s="353"/>
      <c r="SPA98" s="353"/>
      <c r="SPB98" s="353"/>
      <c r="SPC98" s="353"/>
      <c r="SPD98" s="353"/>
      <c r="SPE98" s="353"/>
      <c r="SPF98" s="353"/>
      <c r="SPG98" s="353"/>
      <c r="SPH98" s="353"/>
      <c r="SPI98" s="353"/>
      <c r="SPJ98" s="353"/>
      <c r="SPK98" s="353"/>
      <c r="SPL98" s="353"/>
      <c r="SPM98" s="353"/>
      <c r="SPN98" s="353"/>
      <c r="SPO98" s="353"/>
      <c r="SPP98" s="353"/>
      <c r="SPQ98" s="353"/>
      <c r="SPR98" s="353"/>
      <c r="SPS98" s="353"/>
      <c r="SPT98" s="353"/>
      <c r="SPU98" s="353"/>
      <c r="SPV98" s="353"/>
      <c r="SPW98" s="353"/>
      <c r="SPX98" s="353"/>
      <c r="SPY98" s="353"/>
      <c r="SPZ98" s="353"/>
      <c r="SQA98" s="353"/>
      <c r="SQB98" s="353"/>
      <c r="SQC98" s="353"/>
      <c r="SQD98" s="353"/>
      <c r="SQE98" s="353"/>
      <c r="SQF98" s="353"/>
      <c r="SQG98" s="353"/>
      <c r="SQH98" s="353"/>
      <c r="SQI98" s="353"/>
      <c r="SQJ98" s="353"/>
      <c r="SQK98" s="353"/>
      <c r="SQL98" s="353"/>
      <c r="SQM98" s="353"/>
      <c r="SQN98" s="353"/>
      <c r="SQO98" s="353"/>
      <c r="SQP98" s="353"/>
      <c r="SQQ98" s="353"/>
      <c r="SQR98" s="353"/>
      <c r="SQS98" s="353"/>
      <c r="SQT98" s="353"/>
      <c r="SQU98" s="353"/>
      <c r="SQV98" s="353"/>
      <c r="SQW98" s="353"/>
      <c r="SQX98" s="353"/>
      <c r="SQY98" s="353"/>
      <c r="SQZ98" s="353"/>
      <c r="SRA98" s="353"/>
      <c r="SRB98" s="353"/>
      <c r="SRC98" s="353"/>
      <c r="SRD98" s="353"/>
      <c r="SRE98" s="353"/>
      <c r="SRF98" s="353"/>
      <c r="SRG98" s="353"/>
      <c r="SRH98" s="353"/>
      <c r="SRI98" s="353"/>
      <c r="SRJ98" s="353"/>
      <c r="SRK98" s="353"/>
      <c r="SRL98" s="353"/>
      <c r="SRM98" s="353"/>
      <c r="SRN98" s="353"/>
      <c r="SRO98" s="353"/>
      <c r="SRP98" s="353"/>
      <c r="SRQ98" s="353"/>
      <c r="SRR98" s="353"/>
      <c r="SRS98" s="353"/>
      <c r="SRT98" s="353"/>
      <c r="SRU98" s="353"/>
      <c r="SRV98" s="353"/>
      <c r="SRW98" s="353"/>
      <c r="SRX98" s="353"/>
      <c r="SRY98" s="353"/>
      <c r="SRZ98" s="353"/>
      <c r="SSA98" s="353"/>
      <c r="SSB98" s="353"/>
      <c r="SSC98" s="353"/>
      <c r="SSD98" s="353"/>
      <c r="SSE98" s="353"/>
      <c r="SSF98" s="353"/>
      <c r="SSG98" s="353"/>
      <c r="SSH98" s="353"/>
      <c r="SSI98" s="353"/>
      <c r="SSJ98" s="353"/>
      <c r="SSK98" s="353"/>
      <c r="SSL98" s="353"/>
      <c r="SSM98" s="353"/>
      <c r="SSN98" s="353"/>
      <c r="SSO98" s="353"/>
      <c r="SSP98" s="353"/>
      <c r="SSQ98" s="353"/>
      <c r="SSR98" s="353"/>
      <c r="SSS98" s="353"/>
      <c r="SST98" s="353"/>
      <c r="SSU98" s="353"/>
      <c r="SSV98" s="353"/>
      <c r="SSW98" s="353"/>
      <c r="SSX98" s="353"/>
      <c r="SSY98" s="353"/>
      <c r="SSZ98" s="353"/>
      <c r="STA98" s="353"/>
      <c r="STB98" s="353"/>
      <c r="STC98" s="353"/>
      <c r="STD98" s="353"/>
      <c r="STE98" s="353"/>
      <c r="STF98" s="353"/>
      <c r="STG98" s="353"/>
      <c r="STH98" s="353"/>
      <c r="STI98" s="353"/>
      <c r="STJ98" s="353"/>
      <c r="STK98" s="353"/>
      <c r="STL98" s="353"/>
      <c r="STM98" s="353"/>
      <c r="STN98" s="353"/>
      <c r="STO98" s="353"/>
      <c r="STP98" s="353"/>
      <c r="STQ98" s="353"/>
      <c r="STR98" s="353"/>
      <c r="STS98" s="353"/>
      <c r="STT98" s="353"/>
      <c r="STU98" s="353"/>
      <c r="STV98" s="353"/>
      <c r="STW98" s="353"/>
      <c r="STX98" s="353"/>
      <c r="STY98" s="353"/>
      <c r="STZ98" s="353"/>
      <c r="SUA98" s="353"/>
      <c r="SUB98" s="353"/>
      <c r="SUC98" s="353"/>
      <c r="SUD98" s="353"/>
      <c r="SUE98" s="353"/>
      <c r="SUF98" s="353"/>
      <c r="SUG98" s="353"/>
      <c r="SUH98" s="353"/>
      <c r="SUI98" s="353"/>
      <c r="SUJ98" s="353"/>
      <c r="SUK98" s="353"/>
      <c r="SUL98" s="353"/>
      <c r="SUM98" s="353"/>
      <c r="SUN98" s="353"/>
      <c r="SUO98" s="353"/>
      <c r="SUP98" s="353"/>
      <c r="SUQ98" s="353"/>
      <c r="SUR98" s="353"/>
      <c r="SUS98" s="353"/>
      <c r="SUT98" s="353"/>
      <c r="SUU98" s="353"/>
      <c r="SUV98" s="353"/>
      <c r="SUW98" s="353"/>
      <c r="SUX98" s="353"/>
      <c r="SUY98" s="353"/>
      <c r="SUZ98" s="353"/>
      <c r="SVA98" s="353"/>
      <c r="SVB98" s="353"/>
      <c r="SVC98" s="353"/>
      <c r="SVD98" s="353"/>
      <c r="SVE98" s="353"/>
      <c r="SVF98" s="353"/>
      <c r="SVG98" s="353"/>
      <c r="SVH98" s="353"/>
      <c r="SVI98" s="353"/>
      <c r="SVJ98" s="353"/>
      <c r="SVK98" s="353"/>
      <c r="SVL98" s="353"/>
      <c r="SVM98" s="353"/>
      <c r="SVN98" s="353"/>
      <c r="SVO98" s="353"/>
      <c r="SVP98" s="353"/>
      <c r="SVQ98" s="353"/>
      <c r="SVR98" s="353"/>
      <c r="SVS98" s="353"/>
      <c r="SVT98" s="353"/>
      <c r="SVU98" s="353"/>
      <c r="SVV98" s="353"/>
      <c r="SVW98" s="353"/>
      <c r="SVX98" s="353"/>
      <c r="SVY98" s="353"/>
      <c r="SVZ98" s="353"/>
      <c r="SWA98" s="353"/>
      <c r="SWB98" s="353"/>
      <c r="SWC98" s="353"/>
      <c r="SWD98" s="353"/>
      <c r="SWE98" s="353"/>
      <c r="SWF98" s="353"/>
      <c r="SWG98" s="353"/>
      <c r="SWH98" s="353"/>
      <c r="SWI98" s="353"/>
      <c r="SWJ98" s="353"/>
      <c r="SWK98" s="353"/>
      <c r="SWL98" s="353"/>
      <c r="SWM98" s="353"/>
      <c r="SWN98" s="353"/>
      <c r="SWO98" s="353"/>
      <c r="SWP98" s="353"/>
      <c r="SWQ98" s="353"/>
      <c r="SWR98" s="353"/>
      <c r="SWS98" s="353"/>
      <c r="SWT98" s="353"/>
      <c r="SWU98" s="353"/>
      <c r="SWV98" s="353"/>
      <c r="SWW98" s="353"/>
      <c r="SWX98" s="353"/>
      <c r="SWY98" s="353"/>
      <c r="SWZ98" s="353"/>
      <c r="SXA98" s="353"/>
      <c r="SXB98" s="353"/>
      <c r="SXC98" s="353"/>
      <c r="SXD98" s="353"/>
      <c r="SXE98" s="353"/>
      <c r="SXF98" s="353"/>
      <c r="SXG98" s="353"/>
      <c r="SXH98" s="353"/>
      <c r="SXI98" s="353"/>
      <c r="SXJ98" s="353"/>
      <c r="SXK98" s="353"/>
      <c r="SXL98" s="353"/>
      <c r="SXM98" s="353"/>
      <c r="SXN98" s="353"/>
      <c r="SXO98" s="353"/>
      <c r="SXP98" s="353"/>
      <c r="SXQ98" s="353"/>
      <c r="SXR98" s="353"/>
      <c r="SXS98" s="353"/>
      <c r="SXT98" s="353"/>
      <c r="SXU98" s="353"/>
      <c r="SXV98" s="353"/>
      <c r="SXW98" s="353"/>
      <c r="SXX98" s="353"/>
      <c r="SXY98" s="353"/>
      <c r="SXZ98" s="353"/>
      <c r="SYA98" s="353"/>
      <c r="SYB98" s="353"/>
      <c r="SYC98" s="353"/>
      <c r="SYD98" s="353"/>
      <c r="SYE98" s="353"/>
      <c r="SYF98" s="353"/>
      <c r="SYG98" s="353"/>
      <c r="SYH98" s="353"/>
      <c r="SYI98" s="353"/>
      <c r="SYJ98" s="353"/>
      <c r="SYK98" s="353"/>
      <c r="SYL98" s="353"/>
      <c r="SYM98" s="353"/>
      <c r="SYN98" s="353"/>
      <c r="SYO98" s="353"/>
      <c r="SYP98" s="353"/>
      <c r="SYQ98" s="353"/>
      <c r="SYR98" s="353"/>
      <c r="SYS98" s="353"/>
      <c r="SYT98" s="353"/>
      <c r="SYU98" s="353"/>
      <c r="SYV98" s="353"/>
      <c r="SYW98" s="353"/>
      <c r="SYX98" s="353"/>
      <c r="SYY98" s="353"/>
      <c r="SYZ98" s="353"/>
      <c r="SZA98" s="353"/>
      <c r="SZB98" s="353"/>
      <c r="SZC98" s="353"/>
      <c r="SZD98" s="353"/>
      <c r="SZE98" s="353"/>
      <c r="SZF98" s="353"/>
      <c r="SZG98" s="353"/>
      <c r="SZH98" s="353"/>
      <c r="SZI98" s="353"/>
      <c r="SZJ98" s="353"/>
      <c r="SZK98" s="353"/>
      <c r="SZL98" s="353"/>
      <c r="SZM98" s="353"/>
      <c r="SZN98" s="353"/>
      <c r="SZO98" s="353"/>
      <c r="SZP98" s="353"/>
      <c r="SZQ98" s="353"/>
      <c r="SZR98" s="353"/>
      <c r="SZS98" s="353"/>
      <c r="SZT98" s="353"/>
      <c r="SZU98" s="353"/>
      <c r="SZV98" s="353"/>
      <c r="SZW98" s="353"/>
      <c r="SZX98" s="353"/>
      <c r="SZY98" s="353"/>
      <c r="SZZ98" s="353"/>
      <c r="TAA98" s="353"/>
      <c r="TAB98" s="353"/>
      <c r="TAC98" s="353"/>
      <c r="TAD98" s="353"/>
      <c r="TAE98" s="353"/>
      <c r="TAF98" s="353"/>
      <c r="TAG98" s="353"/>
      <c r="TAH98" s="353"/>
      <c r="TAI98" s="353"/>
      <c r="TAJ98" s="353"/>
      <c r="TAK98" s="353"/>
      <c r="TAL98" s="353"/>
      <c r="TAM98" s="353"/>
      <c r="TAN98" s="353"/>
      <c r="TAO98" s="353"/>
      <c r="TAP98" s="353"/>
      <c r="TAQ98" s="353"/>
      <c r="TAR98" s="353"/>
      <c r="TAS98" s="353"/>
      <c r="TAT98" s="353"/>
      <c r="TAU98" s="353"/>
      <c r="TAV98" s="353"/>
      <c r="TAW98" s="353"/>
      <c r="TAX98" s="353"/>
      <c r="TAY98" s="353"/>
      <c r="TAZ98" s="353"/>
      <c r="TBA98" s="353"/>
      <c r="TBB98" s="353"/>
      <c r="TBC98" s="353"/>
      <c r="TBD98" s="353"/>
      <c r="TBE98" s="353"/>
      <c r="TBF98" s="353"/>
      <c r="TBG98" s="353"/>
      <c r="TBH98" s="353"/>
      <c r="TBI98" s="353"/>
      <c r="TBJ98" s="353"/>
      <c r="TBK98" s="353"/>
      <c r="TBL98" s="353"/>
      <c r="TBM98" s="353"/>
      <c r="TBN98" s="353"/>
      <c r="TBO98" s="353"/>
      <c r="TBP98" s="353"/>
      <c r="TBQ98" s="353"/>
      <c r="TBR98" s="353"/>
      <c r="TBS98" s="353"/>
      <c r="TBT98" s="353"/>
      <c r="TBU98" s="353"/>
      <c r="TBV98" s="353"/>
      <c r="TBW98" s="353"/>
      <c r="TBX98" s="353"/>
      <c r="TBY98" s="353"/>
      <c r="TBZ98" s="353"/>
      <c r="TCA98" s="353"/>
      <c r="TCB98" s="353"/>
      <c r="TCC98" s="353"/>
      <c r="TCD98" s="353"/>
      <c r="TCE98" s="353"/>
      <c r="TCF98" s="353"/>
      <c r="TCG98" s="353"/>
      <c r="TCH98" s="353"/>
      <c r="TCI98" s="353"/>
      <c r="TCJ98" s="353"/>
      <c r="TCK98" s="353"/>
      <c r="TCL98" s="353"/>
      <c r="TCM98" s="353"/>
      <c r="TCN98" s="353"/>
      <c r="TCO98" s="353"/>
      <c r="TCP98" s="353"/>
      <c r="TCQ98" s="353"/>
      <c r="TCR98" s="353"/>
      <c r="TCS98" s="353"/>
      <c r="TCT98" s="353"/>
      <c r="TCU98" s="353"/>
      <c r="TCV98" s="353"/>
      <c r="TCW98" s="353"/>
      <c r="TCX98" s="353"/>
      <c r="TCY98" s="353"/>
      <c r="TCZ98" s="353"/>
      <c r="TDA98" s="353"/>
      <c r="TDB98" s="353"/>
      <c r="TDC98" s="353"/>
      <c r="TDD98" s="353"/>
      <c r="TDE98" s="353"/>
      <c r="TDF98" s="353"/>
      <c r="TDG98" s="353"/>
      <c r="TDH98" s="353"/>
      <c r="TDI98" s="353"/>
      <c r="TDJ98" s="353"/>
      <c r="TDK98" s="353"/>
      <c r="TDL98" s="353"/>
      <c r="TDM98" s="353"/>
      <c r="TDN98" s="353"/>
      <c r="TDO98" s="353"/>
      <c r="TDP98" s="353"/>
      <c r="TDQ98" s="353"/>
      <c r="TDR98" s="353"/>
      <c r="TDS98" s="353"/>
      <c r="TDT98" s="353"/>
      <c r="TDU98" s="353"/>
      <c r="TDV98" s="353"/>
      <c r="TDW98" s="353"/>
      <c r="TDX98" s="353"/>
      <c r="TDY98" s="353"/>
      <c r="TDZ98" s="353"/>
      <c r="TEA98" s="353"/>
      <c r="TEB98" s="353"/>
      <c r="TEC98" s="353"/>
      <c r="TED98" s="353"/>
      <c r="TEE98" s="353"/>
      <c r="TEF98" s="353"/>
      <c r="TEG98" s="353"/>
      <c r="TEH98" s="353"/>
      <c r="TEI98" s="353"/>
      <c r="TEJ98" s="353"/>
      <c r="TEK98" s="353"/>
      <c r="TEL98" s="353"/>
      <c r="TEM98" s="353"/>
      <c r="TEN98" s="353"/>
      <c r="TEO98" s="353"/>
      <c r="TEP98" s="353"/>
      <c r="TEQ98" s="353"/>
      <c r="TER98" s="353"/>
      <c r="TES98" s="353"/>
      <c r="TET98" s="353"/>
      <c r="TEU98" s="353"/>
      <c r="TEV98" s="353"/>
      <c r="TEW98" s="353"/>
      <c r="TEX98" s="353"/>
      <c r="TEY98" s="353"/>
      <c r="TEZ98" s="353"/>
      <c r="TFA98" s="353"/>
      <c r="TFB98" s="353"/>
      <c r="TFC98" s="353"/>
      <c r="TFD98" s="353"/>
      <c r="TFE98" s="353"/>
      <c r="TFF98" s="353"/>
      <c r="TFG98" s="353"/>
      <c r="TFH98" s="353"/>
      <c r="TFI98" s="353"/>
      <c r="TFJ98" s="353"/>
      <c r="TFK98" s="353"/>
      <c r="TFL98" s="353"/>
      <c r="TFM98" s="353"/>
      <c r="TFN98" s="353"/>
      <c r="TFO98" s="353"/>
      <c r="TFP98" s="353"/>
      <c r="TFQ98" s="353"/>
      <c r="TFR98" s="353"/>
      <c r="TFS98" s="353"/>
      <c r="TFT98" s="353"/>
      <c r="TFU98" s="353"/>
      <c r="TFV98" s="353"/>
      <c r="TFW98" s="353"/>
      <c r="TFX98" s="353"/>
      <c r="TFY98" s="353"/>
      <c r="TFZ98" s="353"/>
      <c r="TGA98" s="353"/>
      <c r="TGB98" s="353"/>
      <c r="TGC98" s="353"/>
      <c r="TGD98" s="353"/>
      <c r="TGE98" s="353"/>
      <c r="TGF98" s="353"/>
      <c r="TGG98" s="353"/>
      <c r="TGH98" s="353"/>
      <c r="TGI98" s="353"/>
      <c r="TGJ98" s="353"/>
      <c r="TGK98" s="353"/>
      <c r="TGL98" s="353"/>
      <c r="TGM98" s="353"/>
      <c r="TGN98" s="353"/>
      <c r="TGO98" s="353"/>
      <c r="TGP98" s="353"/>
      <c r="TGQ98" s="353"/>
      <c r="TGR98" s="353"/>
      <c r="TGS98" s="353"/>
      <c r="TGT98" s="353"/>
      <c r="TGU98" s="353"/>
      <c r="TGV98" s="353"/>
      <c r="TGW98" s="353"/>
      <c r="TGX98" s="353"/>
      <c r="TGY98" s="353"/>
      <c r="TGZ98" s="353"/>
      <c r="THA98" s="353"/>
      <c r="THB98" s="353"/>
      <c r="THC98" s="353"/>
      <c r="THD98" s="353"/>
      <c r="THE98" s="353"/>
      <c r="THF98" s="353"/>
      <c r="THG98" s="353"/>
      <c r="THH98" s="353"/>
      <c r="THI98" s="353"/>
      <c r="THJ98" s="353"/>
      <c r="THK98" s="353"/>
      <c r="THL98" s="353"/>
      <c r="THM98" s="353"/>
      <c r="THN98" s="353"/>
      <c r="THO98" s="353"/>
      <c r="THP98" s="353"/>
      <c r="THQ98" s="353"/>
      <c r="THR98" s="353"/>
      <c r="THS98" s="353"/>
      <c r="THT98" s="353"/>
      <c r="THU98" s="353"/>
      <c r="THV98" s="353"/>
      <c r="THW98" s="353"/>
      <c r="THX98" s="353"/>
      <c r="THY98" s="353"/>
      <c r="THZ98" s="353"/>
      <c r="TIA98" s="353"/>
      <c r="TIB98" s="353"/>
      <c r="TIC98" s="353"/>
      <c r="TID98" s="353"/>
      <c r="TIE98" s="353"/>
      <c r="TIF98" s="353"/>
      <c r="TIG98" s="353"/>
      <c r="TIH98" s="353"/>
      <c r="TII98" s="353"/>
      <c r="TIJ98" s="353"/>
      <c r="TIK98" s="353"/>
      <c r="TIL98" s="353"/>
      <c r="TIM98" s="353"/>
      <c r="TIN98" s="353"/>
      <c r="TIO98" s="353"/>
      <c r="TIP98" s="353"/>
      <c r="TIQ98" s="353"/>
      <c r="TIR98" s="353"/>
      <c r="TIS98" s="353"/>
      <c r="TIT98" s="353"/>
      <c r="TIU98" s="353"/>
      <c r="TIV98" s="353"/>
      <c r="TIW98" s="353"/>
      <c r="TIX98" s="353"/>
      <c r="TIY98" s="353"/>
      <c r="TIZ98" s="353"/>
      <c r="TJA98" s="353"/>
      <c r="TJB98" s="353"/>
      <c r="TJC98" s="353"/>
      <c r="TJD98" s="353"/>
      <c r="TJE98" s="353"/>
      <c r="TJF98" s="353"/>
      <c r="TJG98" s="353"/>
      <c r="TJH98" s="353"/>
      <c r="TJI98" s="353"/>
      <c r="TJJ98" s="353"/>
      <c r="TJK98" s="353"/>
      <c r="TJL98" s="353"/>
      <c r="TJM98" s="353"/>
      <c r="TJN98" s="353"/>
      <c r="TJO98" s="353"/>
      <c r="TJP98" s="353"/>
      <c r="TJQ98" s="353"/>
      <c r="TJR98" s="353"/>
      <c r="TJS98" s="353"/>
      <c r="TJT98" s="353"/>
      <c r="TJU98" s="353"/>
      <c r="TJV98" s="353"/>
      <c r="TJW98" s="353"/>
      <c r="TJX98" s="353"/>
      <c r="TJY98" s="353"/>
      <c r="TJZ98" s="353"/>
      <c r="TKA98" s="353"/>
      <c r="TKB98" s="353"/>
      <c r="TKC98" s="353"/>
      <c r="TKD98" s="353"/>
      <c r="TKE98" s="353"/>
      <c r="TKF98" s="353"/>
      <c r="TKG98" s="353"/>
      <c r="TKH98" s="353"/>
      <c r="TKI98" s="353"/>
      <c r="TKJ98" s="353"/>
      <c r="TKK98" s="353"/>
      <c r="TKL98" s="353"/>
      <c r="TKM98" s="353"/>
      <c r="TKN98" s="353"/>
      <c r="TKO98" s="353"/>
      <c r="TKP98" s="353"/>
      <c r="TKQ98" s="353"/>
      <c r="TKR98" s="353"/>
      <c r="TKS98" s="353"/>
      <c r="TKT98" s="353"/>
      <c r="TKU98" s="353"/>
      <c r="TKV98" s="353"/>
      <c r="TKW98" s="353"/>
      <c r="TKX98" s="353"/>
      <c r="TKY98" s="353"/>
      <c r="TKZ98" s="353"/>
      <c r="TLA98" s="353"/>
      <c r="TLB98" s="353"/>
      <c r="TLC98" s="353"/>
      <c r="TLD98" s="353"/>
      <c r="TLE98" s="353"/>
      <c r="TLF98" s="353"/>
      <c r="TLG98" s="353"/>
      <c r="TLH98" s="353"/>
      <c r="TLI98" s="353"/>
      <c r="TLJ98" s="353"/>
      <c r="TLK98" s="353"/>
      <c r="TLL98" s="353"/>
      <c r="TLM98" s="353"/>
      <c r="TLN98" s="353"/>
      <c r="TLO98" s="353"/>
      <c r="TLP98" s="353"/>
      <c r="TLQ98" s="353"/>
      <c r="TLR98" s="353"/>
      <c r="TLS98" s="353"/>
      <c r="TLT98" s="353"/>
      <c r="TLU98" s="353"/>
      <c r="TLV98" s="353"/>
      <c r="TLW98" s="353"/>
      <c r="TLX98" s="353"/>
      <c r="TLY98" s="353"/>
      <c r="TLZ98" s="353"/>
      <c r="TMA98" s="353"/>
      <c r="TMB98" s="353"/>
      <c r="TMC98" s="353"/>
      <c r="TMD98" s="353"/>
      <c r="TME98" s="353"/>
      <c r="TMF98" s="353"/>
      <c r="TMG98" s="353"/>
      <c r="TMH98" s="353"/>
      <c r="TMI98" s="353"/>
      <c r="TMJ98" s="353"/>
      <c r="TMK98" s="353"/>
      <c r="TML98" s="353"/>
      <c r="TMM98" s="353"/>
      <c r="TMN98" s="353"/>
      <c r="TMO98" s="353"/>
      <c r="TMP98" s="353"/>
      <c r="TMQ98" s="353"/>
      <c r="TMR98" s="353"/>
      <c r="TMS98" s="353"/>
      <c r="TMT98" s="353"/>
      <c r="TMU98" s="353"/>
      <c r="TMV98" s="353"/>
      <c r="TMW98" s="353"/>
      <c r="TMX98" s="353"/>
      <c r="TMY98" s="353"/>
      <c r="TMZ98" s="353"/>
      <c r="TNA98" s="353"/>
      <c r="TNB98" s="353"/>
      <c r="TNC98" s="353"/>
      <c r="TND98" s="353"/>
      <c r="TNE98" s="353"/>
      <c r="TNF98" s="353"/>
      <c r="TNG98" s="353"/>
      <c r="TNH98" s="353"/>
      <c r="TNI98" s="353"/>
      <c r="TNJ98" s="353"/>
      <c r="TNK98" s="353"/>
      <c r="TNL98" s="353"/>
      <c r="TNM98" s="353"/>
      <c r="TNN98" s="353"/>
      <c r="TNO98" s="353"/>
      <c r="TNP98" s="353"/>
      <c r="TNQ98" s="353"/>
      <c r="TNR98" s="353"/>
      <c r="TNS98" s="353"/>
      <c r="TNT98" s="353"/>
      <c r="TNU98" s="353"/>
      <c r="TNV98" s="353"/>
      <c r="TNW98" s="353"/>
      <c r="TNX98" s="353"/>
      <c r="TNY98" s="353"/>
      <c r="TNZ98" s="353"/>
      <c r="TOA98" s="353"/>
      <c r="TOB98" s="353"/>
      <c r="TOC98" s="353"/>
      <c r="TOD98" s="353"/>
      <c r="TOE98" s="353"/>
      <c r="TOF98" s="353"/>
      <c r="TOG98" s="353"/>
      <c r="TOH98" s="353"/>
      <c r="TOI98" s="353"/>
      <c r="TOJ98" s="353"/>
      <c r="TOK98" s="353"/>
      <c r="TOL98" s="353"/>
      <c r="TOM98" s="353"/>
      <c r="TON98" s="353"/>
      <c r="TOO98" s="353"/>
      <c r="TOP98" s="353"/>
      <c r="TOQ98" s="353"/>
      <c r="TOR98" s="353"/>
      <c r="TOS98" s="353"/>
      <c r="TOT98" s="353"/>
      <c r="TOU98" s="353"/>
      <c r="TOV98" s="353"/>
      <c r="TOW98" s="353"/>
      <c r="TOX98" s="353"/>
      <c r="TOY98" s="353"/>
      <c r="TOZ98" s="353"/>
      <c r="TPA98" s="353"/>
      <c r="TPB98" s="353"/>
      <c r="TPC98" s="353"/>
      <c r="TPD98" s="353"/>
      <c r="TPE98" s="353"/>
      <c r="TPF98" s="353"/>
      <c r="TPG98" s="353"/>
      <c r="TPH98" s="353"/>
      <c r="TPI98" s="353"/>
      <c r="TPJ98" s="353"/>
      <c r="TPK98" s="353"/>
      <c r="TPL98" s="353"/>
      <c r="TPM98" s="353"/>
      <c r="TPN98" s="353"/>
      <c r="TPO98" s="353"/>
      <c r="TPP98" s="353"/>
      <c r="TPQ98" s="353"/>
      <c r="TPR98" s="353"/>
      <c r="TPS98" s="353"/>
      <c r="TPT98" s="353"/>
      <c r="TPU98" s="353"/>
      <c r="TPV98" s="353"/>
      <c r="TPW98" s="353"/>
      <c r="TPX98" s="353"/>
      <c r="TPY98" s="353"/>
      <c r="TPZ98" s="353"/>
      <c r="TQA98" s="353"/>
      <c r="TQB98" s="353"/>
      <c r="TQC98" s="353"/>
      <c r="TQD98" s="353"/>
      <c r="TQE98" s="353"/>
      <c r="TQF98" s="353"/>
      <c r="TQG98" s="353"/>
      <c r="TQH98" s="353"/>
      <c r="TQI98" s="353"/>
      <c r="TQJ98" s="353"/>
      <c r="TQK98" s="353"/>
      <c r="TQL98" s="353"/>
      <c r="TQM98" s="353"/>
      <c r="TQN98" s="353"/>
      <c r="TQO98" s="353"/>
      <c r="TQP98" s="353"/>
      <c r="TQQ98" s="353"/>
      <c r="TQR98" s="353"/>
      <c r="TQS98" s="353"/>
      <c r="TQT98" s="353"/>
      <c r="TQU98" s="353"/>
      <c r="TQV98" s="353"/>
      <c r="TQW98" s="353"/>
      <c r="TQX98" s="353"/>
      <c r="TQY98" s="353"/>
      <c r="TQZ98" s="353"/>
      <c r="TRA98" s="353"/>
      <c r="TRB98" s="353"/>
      <c r="TRC98" s="353"/>
      <c r="TRD98" s="353"/>
      <c r="TRE98" s="353"/>
      <c r="TRF98" s="353"/>
      <c r="TRG98" s="353"/>
      <c r="TRH98" s="353"/>
      <c r="TRI98" s="353"/>
      <c r="TRJ98" s="353"/>
      <c r="TRK98" s="353"/>
      <c r="TRL98" s="353"/>
      <c r="TRM98" s="353"/>
      <c r="TRN98" s="353"/>
      <c r="TRO98" s="353"/>
      <c r="TRP98" s="353"/>
      <c r="TRQ98" s="353"/>
      <c r="TRR98" s="353"/>
      <c r="TRS98" s="353"/>
      <c r="TRT98" s="353"/>
      <c r="TRU98" s="353"/>
      <c r="TRV98" s="353"/>
      <c r="TRW98" s="353"/>
      <c r="TRX98" s="353"/>
      <c r="TRY98" s="353"/>
      <c r="TRZ98" s="353"/>
      <c r="TSA98" s="353"/>
      <c r="TSB98" s="353"/>
      <c r="TSC98" s="353"/>
      <c r="TSD98" s="353"/>
      <c r="TSE98" s="353"/>
      <c r="TSF98" s="353"/>
      <c r="TSG98" s="353"/>
      <c r="TSH98" s="353"/>
      <c r="TSI98" s="353"/>
      <c r="TSJ98" s="353"/>
      <c r="TSK98" s="353"/>
      <c r="TSL98" s="353"/>
      <c r="TSM98" s="353"/>
      <c r="TSN98" s="353"/>
      <c r="TSO98" s="353"/>
      <c r="TSP98" s="353"/>
      <c r="TSQ98" s="353"/>
      <c r="TSR98" s="353"/>
      <c r="TSS98" s="353"/>
      <c r="TST98" s="353"/>
      <c r="TSU98" s="353"/>
      <c r="TSV98" s="353"/>
      <c r="TSW98" s="353"/>
      <c r="TSX98" s="353"/>
      <c r="TSY98" s="353"/>
      <c r="TSZ98" s="353"/>
      <c r="TTA98" s="353"/>
      <c r="TTB98" s="353"/>
      <c r="TTC98" s="353"/>
      <c r="TTD98" s="353"/>
      <c r="TTE98" s="353"/>
      <c r="TTF98" s="353"/>
      <c r="TTG98" s="353"/>
      <c r="TTH98" s="353"/>
      <c r="TTI98" s="353"/>
      <c r="TTJ98" s="353"/>
      <c r="TTK98" s="353"/>
      <c r="TTL98" s="353"/>
      <c r="TTM98" s="353"/>
      <c r="TTN98" s="353"/>
      <c r="TTO98" s="353"/>
      <c r="TTP98" s="353"/>
      <c r="TTQ98" s="353"/>
      <c r="TTR98" s="353"/>
      <c r="TTS98" s="353"/>
      <c r="TTT98" s="353"/>
      <c r="TTU98" s="353"/>
      <c r="TTV98" s="353"/>
      <c r="TTW98" s="353"/>
      <c r="TTX98" s="353"/>
      <c r="TTY98" s="353"/>
      <c r="TTZ98" s="353"/>
      <c r="TUA98" s="353"/>
      <c r="TUB98" s="353"/>
      <c r="TUC98" s="353"/>
      <c r="TUD98" s="353"/>
      <c r="TUE98" s="353"/>
      <c r="TUF98" s="353"/>
      <c r="TUG98" s="353"/>
      <c r="TUH98" s="353"/>
      <c r="TUI98" s="353"/>
      <c r="TUJ98" s="353"/>
      <c r="TUK98" s="353"/>
      <c r="TUL98" s="353"/>
      <c r="TUM98" s="353"/>
      <c r="TUN98" s="353"/>
      <c r="TUO98" s="353"/>
      <c r="TUP98" s="353"/>
      <c r="TUQ98" s="353"/>
      <c r="TUR98" s="353"/>
      <c r="TUS98" s="353"/>
      <c r="TUT98" s="353"/>
      <c r="TUU98" s="353"/>
      <c r="TUV98" s="353"/>
      <c r="TUW98" s="353"/>
      <c r="TUX98" s="353"/>
      <c r="TUY98" s="353"/>
      <c r="TUZ98" s="353"/>
      <c r="TVA98" s="353"/>
      <c r="TVB98" s="353"/>
      <c r="TVC98" s="353"/>
      <c r="TVD98" s="353"/>
      <c r="TVE98" s="353"/>
      <c r="TVF98" s="353"/>
      <c r="TVG98" s="353"/>
      <c r="TVH98" s="353"/>
      <c r="TVI98" s="353"/>
      <c r="TVJ98" s="353"/>
      <c r="TVK98" s="353"/>
      <c r="TVL98" s="353"/>
      <c r="TVM98" s="353"/>
      <c r="TVN98" s="353"/>
      <c r="TVO98" s="353"/>
      <c r="TVP98" s="353"/>
      <c r="TVQ98" s="353"/>
      <c r="TVR98" s="353"/>
      <c r="TVS98" s="353"/>
      <c r="TVT98" s="353"/>
      <c r="TVU98" s="353"/>
      <c r="TVV98" s="353"/>
      <c r="TVW98" s="353"/>
      <c r="TVX98" s="353"/>
      <c r="TVY98" s="353"/>
      <c r="TVZ98" s="353"/>
      <c r="TWA98" s="353"/>
      <c r="TWB98" s="353"/>
      <c r="TWC98" s="353"/>
      <c r="TWD98" s="353"/>
      <c r="TWE98" s="353"/>
      <c r="TWF98" s="353"/>
      <c r="TWG98" s="353"/>
      <c r="TWH98" s="353"/>
      <c r="TWI98" s="353"/>
      <c r="TWJ98" s="353"/>
      <c r="TWK98" s="353"/>
      <c r="TWL98" s="353"/>
      <c r="TWM98" s="353"/>
      <c r="TWN98" s="353"/>
      <c r="TWO98" s="353"/>
      <c r="TWP98" s="353"/>
      <c r="TWQ98" s="353"/>
      <c r="TWR98" s="353"/>
      <c r="TWS98" s="353"/>
      <c r="TWT98" s="353"/>
      <c r="TWU98" s="353"/>
      <c r="TWV98" s="353"/>
      <c r="TWW98" s="353"/>
      <c r="TWX98" s="353"/>
      <c r="TWY98" s="353"/>
      <c r="TWZ98" s="353"/>
      <c r="TXA98" s="353"/>
      <c r="TXB98" s="353"/>
      <c r="TXC98" s="353"/>
      <c r="TXD98" s="353"/>
      <c r="TXE98" s="353"/>
      <c r="TXF98" s="353"/>
      <c r="TXG98" s="353"/>
      <c r="TXH98" s="353"/>
      <c r="TXI98" s="353"/>
      <c r="TXJ98" s="353"/>
      <c r="TXK98" s="353"/>
      <c r="TXL98" s="353"/>
      <c r="TXM98" s="353"/>
      <c r="TXN98" s="353"/>
      <c r="TXO98" s="353"/>
      <c r="TXP98" s="353"/>
      <c r="TXQ98" s="353"/>
      <c r="TXR98" s="353"/>
      <c r="TXS98" s="353"/>
      <c r="TXT98" s="353"/>
      <c r="TXU98" s="353"/>
      <c r="TXV98" s="353"/>
      <c r="TXW98" s="353"/>
      <c r="TXX98" s="353"/>
      <c r="TXY98" s="353"/>
      <c r="TXZ98" s="353"/>
      <c r="TYA98" s="353"/>
      <c r="TYB98" s="353"/>
      <c r="TYC98" s="353"/>
      <c r="TYD98" s="353"/>
      <c r="TYE98" s="353"/>
      <c r="TYF98" s="353"/>
      <c r="TYG98" s="353"/>
      <c r="TYH98" s="353"/>
      <c r="TYI98" s="353"/>
      <c r="TYJ98" s="353"/>
      <c r="TYK98" s="353"/>
      <c r="TYL98" s="353"/>
      <c r="TYM98" s="353"/>
      <c r="TYN98" s="353"/>
      <c r="TYO98" s="353"/>
      <c r="TYP98" s="353"/>
      <c r="TYQ98" s="353"/>
      <c r="TYR98" s="353"/>
      <c r="TYS98" s="353"/>
      <c r="TYT98" s="353"/>
      <c r="TYU98" s="353"/>
      <c r="TYV98" s="353"/>
      <c r="TYW98" s="353"/>
      <c r="TYX98" s="353"/>
      <c r="TYY98" s="353"/>
      <c r="TYZ98" s="353"/>
      <c r="TZA98" s="353"/>
      <c r="TZB98" s="353"/>
      <c r="TZC98" s="353"/>
      <c r="TZD98" s="353"/>
      <c r="TZE98" s="353"/>
      <c r="TZF98" s="353"/>
      <c r="TZG98" s="353"/>
      <c r="TZH98" s="353"/>
      <c r="TZI98" s="353"/>
      <c r="TZJ98" s="353"/>
      <c r="TZK98" s="353"/>
      <c r="TZL98" s="353"/>
      <c r="TZM98" s="353"/>
      <c r="TZN98" s="353"/>
      <c r="TZO98" s="353"/>
      <c r="TZP98" s="353"/>
      <c r="TZQ98" s="353"/>
      <c r="TZR98" s="353"/>
      <c r="TZS98" s="353"/>
      <c r="TZT98" s="353"/>
      <c r="TZU98" s="353"/>
      <c r="TZV98" s="353"/>
      <c r="TZW98" s="353"/>
      <c r="TZX98" s="353"/>
      <c r="TZY98" s="353"/>
      <c r="TZZ98" s="353"/>
      <c r="UAA98" s="353"/>
      <c r="UAB98" s="353"/>
      <c r="UAC98" s="353"/>
      <c r="UAD98" s="353"/>
      <c r="UAE98" s="353"/>
      <c r="UAF98" s="353"/>
      <c r="UAG98" s="353"/>
      <c r="UAH98" s="353"/>
      <c r="UAI98" s="353"/>
      <c r="UAJ98" s="353"/>
      <c r="UAK98" s="353"/>
      <c r="UAL98" s="353"/>
      <c r="UAM98" s="353"/>
      <c r="UAN98" s="353"/>
      <c r="UAO98" s="353"/>
      <c r="UAP98" s="353"/>
      <c r="UAQ98" s="353"/>
      <c r="UAR98" s="353"/>
      <c r="UAS98" s="353"/>
      <c r="UAT98" s="353"/>
      <c r="UAU98" s="353"/>
      <c r="UAV98" s="353"/>
      <c r="UAW98" s="353"/>
      <c r="UAX98" s="353"/>
      <c r="UAY98" s="353"/>
      <c r="UAZ98" s="353"/>
      <c r="UBA98" s="353"/>
      <c r="UBB98" s="353"/>
      <c r="UBC98" s="353"/>
      <c r="UBD98" s="353"/>
      <c r="UBE98" s="353"/>
      <c r="UBF98" s="353"/>
      <c r="UBG98" s="353"/>
      <c r="UBH98" s="353"/>
      <c r="UBI98" s="353"/>
      <c r="UBJ98" s="353"/>
      <c r="UBK98" s="353"/>
      <c r="UBL98" s="353"/>
      <c r="UBM98" s="353"/>
      <c r="UBN98" s="353"/>
      <c r="UBO98" s="353"/>
      <c r="UBP98" s="353"/>
      <c r="UBQ98" s="353"/>
      <c r="UBR98" s="353"/>
      <c r="UBS98" s="353"/>
      <c r="UBT98" s="353"/>
      <c r="UBU98" s="353"/>
      <c r="UBV98" s="353"/>
      <c r="UBW98" s="353"/>
      <c r="UBX98" s="353"/>
      <c r="UBY98" s="353"/>
      <c r="UBZ98" s="353"/>
      <c r="UCA98" s="353"/>
      <c r="UCB98" s="353"/>
      <c r="UCC98" s="353"/>
      <c r="UCD98" s="353"/>
      <c r="UCE98" s="353"/>
      <c r="UCF98" s="353"/>
      <c r="UCG98" s="353"/>
      <c r="UCH98" s="353"/>
      <c r="UCI98" s="353"/>
      <c r="UCJ98" s="353"/>
      <c r="UCK98" s="353"/>
      <c r="UCL98" s="353"/>
      <c r="UCM98" s="353"/>
      <c r="UCN98" s="353"/>
      <c r="UCO98" s="353"/>
      <c r="UCP98" s="353"/>
      <c r="UCQ98" s="353"/>
      <c r="UCR98" s="353"/>
      <c r="UCS98" s="353"/>
      <c r="UCT98" s="353"/>
      <c r="UCU98" s="353"/>
      <c r="UCV98" s="353"/>
      <c r="UCW98" s="353"/>
      <c r="UCX98" s="353"/>
      <c r="UCY98" s="353"/>
      <c r="UCZ98" s="353"/>
      <c r="UDA98" s="353"/>
      <c r="UDB98" s="353"/>
      <c r="UDC98" s="353"/>
      <c r="UDD98" s="353"/>
      <c r="UDE98" s="353"/>
      <c r="UDF98" s="353"/>
      <c r="UDG98" s="353"/>
      <c r="UDH98" s="353"/>
      <c r="UDI98" s="353"/>
      <c r="UDJ98" s="353"/>
      <c r="UDK98" s="353"/>
      <c r="UDL98" s="353"/>
      <c r="UDM98" s="353"/>
      <c r="UDN98" s="353"/>
      <c r="UDO98" s="353"/>
      <c r="UDP98" s="353"/>
      <c r="UDQ98" s="353"/>
      <c r="UDR98" s="353"/>
      <c r="UDS98" s="353"/>
      <c r="UDT98" s="353"/>
      <c r="UDU98" s="353"/>
      <c r="UDV98" s="353"/>
      <c r="UDW98" s="353"/>
      <c r="UDX98" s="353"/>
      <c r="UDY98" s="353"/>
      <c r="UDZ98" s="353"/>
      <c r="UEA98" s="353"/>
      <c r="UEB98" s="353"/>
      <c r="UEC98" s="353"/>
      <c r="UED98" s="353"/>
      <c r="UEE98" s="353"/>
      <c r="UEF98" s="353"/>
      <c r="UEG98" s="353"/>
      <c r="UEH98" s="353"/>
      <c r="UEI98" s="353"/>
      <c r="UEJ98" s="353"/>
      <c r="UEK98" s="353"/>
      <c r="UEL98" s="353"/>
      <c r="UEM98" s="353"/>
      <c r="UEN98" s="353"/>
      <c r="UEO98" s="353"/>
      <c r="UEP98" s="353"/>
      <c r="UEQ98" s="353"/>
      <c r="UER98" s="353"/>
      <c r="UES98" s="353"/>
      <c r="UET98" s="353"/>
      <c r="UEU98" s="353"/>
      <c r="UEV98" s="353"/>
      <c r="UEW98" s="353"/>
      <c r="UEX98" s="353"/>
      <c r="UEY98" s="353"/>
      <c r="UEZ98" s="353"/>
      <c r="UFA98" s="353"/>
      <c r="UFB98" s="353"/>
      <c r="UFC98" s="353"/>
      <c r="UFD98" s="353"/>
      <c r="UFE98" s="353"/>
      <c r="UFF98" s="353"/>
      <c r="UFG98" s="353"/>
      <c r="UFH98" s="353"/>
      <c r="UFI98" s="353"/>
      <c r="UFJ98" s="353"/>
      <c r="UFK98" s="353"/>
      <c r="UFL98" s="353"/>
      <c r="UFM98" s="353"/>
      <c r="UFN98" s="353"/>
      <c r="UFO98" s="353"/>
      <c r="UFP98" s="353"/>
      <c r="UFQ98" s="353"/>
      <c r="UFR98" s="353"/>
      <c r="UFS98" s="353"/>
      <c r="UFT98" s="353"/>
      <c r="UFU98" s="353"/>
      <c r="UFV98" s="353"/>
      <c r="UFW98" s="353"/>
      <c r="UFX98" s="353"/>
      <c r="UFY98" s="353"/>
      <c r="UFZ98" s="353"/>
      <c r="UGA98" s="353"/>
      <c r="UGB98" s="353"/>
      <c r="UGC98" s="353"/>
      <c r="UGD98" s="353"/>
      <c r="UGE98" s="353"/>
      <c r="UGF98" s="353"/>
      <c r="UGG98" s="353"/>
      <c r="UGH98" s="353"/>
      <c r="UGI98" s="353"/>
      <c r="UGJ98" s="353"/>
      <c r="UGK98" s="353"/>
      <c r="UGL98" s="353"/>
      <c r="UGM98" s="353"/>
      <c r="UGN98" s="353"/>
      <c r="UGO98" s="353"/>
      <c r="UGP98" s="353"/>
      <c r="UGQ98" s="353"/>
      <c r="UGR98" s="353"/>
      <c r="UGS98" s="353"/>
      <c r="UGT98" s="353"/>
      <c r="UGU98" s="353"/>
      <c r="UGV98" s="353"/>
      <c r="UGW98" s="353"/>
      <c r="UGX98" s="353"/>
      <c r="UGY98" s="353"/>
      <c r="UGZ98" s="353"/>
      <c r="UHA98" s="353"/>
      <c r="UHB98" s="353"/>
      <c r="UHC98" s="353"/>
      <c r="UHD98" s="353"/>
      <c r="UHE98" s="353"/>
      <c r="UHF98" s="353"/>
      <c r="UHG98" s="353"/>
      <c r="UHH98" s="353"/>
      <c r="UHI98" s="353"/>
      <c r="UHJ98" s="353"/>
      <c r="UHK98" s="353"/>
      <c r="UHL98" s="353"/>
      <c r="UHM98" s="353"/>
      <c r="UHN98" s="353"/>
      <c r="UHO98" s="353"/>
      <c r="UHP98" s="353"/>
      <c r="UHQ98" s="353"/>
      <c r="UHR98" s="353"/>
      <c r="UHS98" s="353"/>
      <c r="UHT98" s="353"/>
      <c r="UHU98" s="353"/>
      <c r="UHV98" s="353"/>
      <c r="UHW98" s="353"/>
      <c r="UHX98" s="353"/>
      <c r="UHY98" s="353"/>
      <c r="UHZ98" s="353"/>
      <c r="UIA98" s="353"/>
      <c r="UIB98" s="353"/>
      <c r="UIC98" s="353"/>
      <c r="UID98" s="353"/>
      <c r="UIE98" s="353"/>
      <c r="UIF98" s="353"/>
      <c r="UIG98" s="353"/>
      <c r="UIH98" s="353"/>
      <c r="UII98" s="353"/>
      <c r="UIJ98" s="353"/>
      <c r="UIK98" s="353"/>
      <c r="UIL98" s="353"/>
      <c r="UIM98" s="353"/>
      <c r="UIN98" s="353"/>
      <c r="UIO98" s="353"/>
      <c r="UIP98" s="353"/>
      <c r="UIQ98" s="353"/>
      <c r="UIR98" s="353"/>
      <c r="UIS98" s="353"/>
      <c r="UIT98" s="353"/>
      <c r="UIU98" s="353"/>
      <c r="UIV98" s="353"/>
      <c r="UIW98" s="353"/>
      <c r="UIX98" s="353"/>
      <c r="UIY98" s="353"/>
      <c r="UIZ98" s="353"/>
      <c r="UJA98" s="353"/>
      <c r="UJB98" s="353"/>
      <c r="UJC98" s="353"/>
      <c r="UJD98" s="353"/>
      <c r="UJE98" s="353"/>
      <c r="UJF98" s="353"/>
      <c r="UJG98" s="353"/>
      <c r="UJH98" s="353"/>
      <c r="UJI98" s="353"/>
      <c r="UJJ98" s="353"/>
      <c r="UJK98" s="353"/>
      <c r="UJL98" s="353"/>
      <c r="UJM98" s="353"/>
      <c r="UJN98" s="353"/>
      <c r="UJO98" s="353"/>
      <c r="UJP98" s="353"/>
      <c r="UJQ98" s="353"/>
      <c r="UJR98" s="353"/>
      <c r="UJS98" s="353"/>
      <c r="UJT98" s="353"/>
      <c r="UJU98" s="353"/>
      <c r="UJV98" s="353"/>
      <c r="UJW98" s="353"/>
      <c r="UJX98" s="353"/>
      <c r="UJY98" s="353"/>
      <c r="UJZ98" s="353"/>
      <c r="UKA98" s="353"/>
      <c r="UKB98" s="353"/>
      <c r="UKC98" s="353"/>
      <c r="UKD98" s="353"/>
      <c r="UKE98" s="353"/>
      <c r="UKF98" s="353"/>
      <c r="UKG98" s="353"/>
      <c r="UKH98" s="353"/>
      <c r="UKI98" s="353"/>
      <c r="UKJ98" s="353"/>
      <c r="UKK98" s="353"/>
      <c r="UKL98" s="353"/>
      <c r="UKM98" s="353"/>
      <c r="UKN98" s="353"/>
      <c r="UKO98" s="353"/>
      <c r="UKP98" s="353"/>
      <c r="UKQ98" s="353"/>
      <c r="UKR98" s="353"/>
      <c r="UKS98" s="353"/>
      <c r="UKT98" s="353"/>
      <c r="UKU98" s="353"/>
      <c r="UKV98" s="353"/>
      <c r="UKW98" s="353"/>
      <c r="UKX98" s="353"/>
      <c r="UKY98" s="353"/>
      <c r="UKZ98" s="353"/>
      <c r="ULA98" s="353"/>
      <c r="ULB98" s="353"/>
      <c r="ULC98" s="353"/>
      <c r="ULD98" s="353"/>
      <c r="ULE98" s="353"/>
      <c r="ULF98" s="353"/>
      <c r="ULG98" s="353"/>
      <c r="ULH98" s="353"/>
      <c r="ULI98" s="353"/>
      <c r="ULJ98" s="353"/>
      <c r="ULK98" s="353"/>
      <c r="ULL98" s="353"/>
      <c r="ULM98" s="353"/>
      <c r="ULN98" s="353"/>
      <c r="ULO98" s="353"/>
      <c r="ULP98" s="353"/>
      <c r="ULQ98" s="353"/>
      <c r="ULR98" s="353"/>
      <c r="ULS98" s="353"/>
      <c r="ULT98" s="353"/>
      <c r="ULU98" s="353"/>
      <c r="ULV98" s="353"/>
      <c r="ULW98" s="353"/>
      <c r="ULX98" s="353"/>
      <c r="ULY98" s="353"/>
      <c r="ULZ98" s="353"/>
      <c r="UMA98" s="353"/>
      <c r="UMB98" s="353"/>
      <c r="UMC98" s="353"/>
      <c r="UMD98" s="353"/>
      <c r="UME98" s="353"/>
      <c r="UMF98" s="353"/>
      <c r="UMG98" s="353"/>
      <c r="UMH98" s="353"/>
      <c r="UMI98" s="353"/>
      <c r="UMJ98" s="353"/>
      <c r="UMK98" s="353"/>
      <c r="UML98" s="353"/>
      <c r="UMM98" s="353"/>
      <c r="UMN98" s="353"/>
      <c r="UMO98" s="353"/>
      <c r="UMP98" s="353"/>
      <c r="UMQ98" s="353"/>
      <c r="UMR98" s="353"/>
      <c r="UMS98" s="353"/>
      <c r="UMT98" s="353"/>
      <c r="UMU98" s="353"/>
      <c r="UMV98" s="353"/>
      <c r="UMW98" s="353"/>
      <c r="UMX98" s="353"/>
      <c r="UMY98" s="353"/>
      <c r="UMZ98" s="353"/>
      <c r="UNA98" s="353"/>
      <c r="UNB98" s="353"/>
      <c r="UNC98" s="353"/>
      <c r="UND98" s="353"/>
      <c r="UNE98" s="353"/>
      <c r="UNF98" s="353"/>
      <c r="UNG98" s="353"/>
      <c r="UNH98" s="353"/>
      <c r="UNI98" s="353"/>
      <c r="UNJ98" s="353"/>
      <c r="UNK98" s="353"/>
      <c r="UNL98" s="353"/>
      <c r="UNM98" s="353"/>
      <c r="UNN98" s="353"/>
      <c r="UNO98" s="353"/>
      <c r="UNP98" s="353"/>
      <c r="UNQ98" s="353"/>
      <c r="UNR98" s="353"/>
      <c r="UNS98" s="353"/>
      <c r="UNT98" s="353"/>
      <c r="UNU98" s="353"/>
      <c r="UNV98" s="353"/>
      <c r="UNW98" s="353"/>
      <c r="UNX98" s="353"/>
      <c r="UNY98" s="353"/>
      <c r="UNZ98" s="353"/>
      <c r="UOA98" s="353"/>
      <c r="UOB98" s="353"/>
      <c r="UOC98" s="353"/>
      <c r="UOD98" s="353"/>
      <c r="UOE98" s="353"/>
      <c r="UOF98" s="353"/>
      <c r="UOG98" s="353"/>
      <c r="UOH98" s="353"/>
      <c r="UOI98" s="353"/>
      <c r="UOJ98" s="353"/>
      <c r="UOK98" s="353"/>
      <c r="UOL98" s="353"/>
      <c r="UOM98" s="353"/>
      <c r="UON98" s="353"/>
      <c r="UOO98" s="353"/>
      <c r="UOP98" s="353"/>
      <c r="UOQ98" s="353"/>
      <c r="UOR98" s="353"/>
      <c r="UOS98" s="353"/>
      <c r="UOT98" s="353"/>
      <c r="UOU98" s="353"/>
      <c r="UOV98" s="353"/>
      <c r="UOW98" s="353"/>
      <c r="UOX98" s="353"/>
      <c r="UOY98" s="353"/>
      <c r="UOZ98" s="353"/>
      <c r="UPA98" s="353"/>
      <c r="UPB98" s="353"/>
      <c r="UPC98" s="353"/>
      <c r="UPD98" s="353"/>
      <c r="UPE98" s="353"/>
      <c r="UPF98" s="353"/>
      <c r="UPG98" s="353"/>
      <c r="UPH98" s="353"/>
      <c r="UPI98" s="353"/>
      <c r="UPJ98" s="353"/>
      <c r="UPK98" s="353"/>
      <c r="UPL98" s="353"/>
      <c r="UPM98" s="353"/>
      <c r="UPN98" s="353"/>
      <c r="UPO98" s="353"/>
      <c r="UPP98" s="353"/>
      <c r="UPQ98" s="353"/>
      <c r="UPR98" s="353"/>
      <c r="UPS98" s="353"/>
      <c r="UPT98" s="353"/>
      <c r="UPU98" s="353"/>
      <c r="UPV98" s="353"/>
      <c r="UPW98" s="353"/>
      <c r="UPX98" s="353"/>
      <c r="UPY98" s="353"/>
      <c r="UPZ98" s="353"/>
      <c r="UQA98" s="353"/>
      <c r="UQB98" s="353"/>
      <c r="UQC98" s="353"/>
      <c r="UQD98" s="353"/>
      <c r="UQE98" s="353"/>
      <c r="UQF98" s="353"/>
      <c r="UQG98" s="353"/>
      <c r="UQH98" s="353"/>
      <c r="UQI98" s="353"/>
      <c r="UQJ98" s="353"/>
      <c r="UQK98" s="353"/>
      <c r="UQL98" s="353"/>
      <c r="UQM98" s="353"/>
      <c r="UQN98" s="353"/>
      <c r="UQO98" s="353"/>
      <c r="UQP98" s="353"/>
      <c r="UQQ98" s="353"/>
      <c r="UQR98" s="353"/>
      <c r="UQS98" s="353"/>
      <c r="UQT98" s="353"/>
      <c r="UQU98" s="353"/>
      <c r="UQV98" s="353"/>
      <c r="UQW98" s="353"/>
      <c r="UQX98" s="353"/>
      <c r="UQY98" s="353"/>
      <c r="UQZ98" s="353"/>
      <c r="URA98" s="353"/>
      <c r="URB98" s="353"/>
      <c r="URC98" s="353"/>
      <c r="URD98" s="353"/>
      <c r="URE98" s="353"/>
      <c r="URF98" s="353"/>
      <c r="URG98" s="353"/>
      <c r="URH98" s="353"/>
      <c r="URI98" s="353"/>
      <c r="URJ98" s="353"/>
      <c r="URK98" s="353"/>
      <c r="URL98" s="353"/>
      <c r="URM98" s="353"/>
      <c r="URN98" s="353"/>
      <c r="URO98" s="353"/>
      <c r="URP98" s="353"/>
      <c r="URQ98" s="353"/>
      <c r="URR98" s="353"/>
      <c r="URS98" s="353"/>
      <c r="URT98" s="353"/>
      <c r="URU98" s="353"/>
      <c r="URV98" s="353"/>
      <c r="URW98" s="353"/>
      <c r="URX98" s="353"/>
      <c r="URY98" s="353"/>
      <c r="URZ98" s="353"/>
      <c r="USA98" s="353"/>
      <c r="USB98" s="353"/>
      <c r="USC98" s="353"/>
      <c r="USD98" s="353"/>
      <c r="USE98" s="353"/>
      <c r="USF98" s="353"/>
      <c r="USG98" s="353"/>
      <c r="USH98" s="353"/>
      <c r="USI98" s="353"/>
      <c r="USJ98" s="353"/>
      <c r="USK98" s="353"/>
      <c r="USL98" s="353"/>
      <c r="USM98" s="353"/>
      <c r="USN98" s="353"/>
      <c r="USO98" s="353"/>
      <c r="USP98" s="353"/>
      <c r="USQ98" s="353"/>
      <c r="USR98" s="353"/>
      <c r="USS98" s="353"/>
      <c r="UST98" s="353"/>
      <c r="USU98" s="353"/>
      <c r="USV98" s="353"/>
      <c r="USW98" s="353"/>
      <c r="USX98" s="353"/>
      <c r="USY98" s="353"/>
      <c r="USZ98" s="353"/>
      <c r="UTA98" s="353"/>
      <c r="UTB98" s="353"/>
      <c r="UTC98" s="353"/>
      <c r="UTD98" s="353"/>
      <c r="UTE98" s="353"/>
      <c r="UTF98" s="353"/>
      <c r="UTG98" s="353"/>
      <c r="UTH98" s="353"/>
      <c r="UTI98" s="353"/>
      <c r="UTJ98" s="353"/>
      <c r="UTK98" s="353"/>
      <c r="UTL98" s="353"/>
      <c r="UTM98" s="353"/>
      <c r="UTN98" s="353"/>
      <c r="UTO98" s="353"/>
      <c r="UTP98" s="353"/>
      <c r="UTQ98" s="353"/>
      <c r="UTR98" s="353"/>
      <c r="UTS98" s="353"/>
      <c r="UTT98" s="353"/>
      <c r="UTU98" s="353"/>
      <c r="UTV98" s="353"/>
      <c r="UTW98" s="353"/>
      <c r="UTX98" s="353"/>
      <c r="UTY98" s="353"/>
      <c r="UTZ98" s="353"/>
      <c r="UUA98" s="353"/>
      <c r="UUB98" s="353"/>
      <c r="UUC98" s="353"/>
      <c r="UUD98" s="353"/>
      <c r="UUE98" s="353"/>
      <c r="UUF98" s="353"/>
      <c r="UUG98" s="353"/>
      <c r="UUH98" s="353"/>
      <c r="UUI98" s="353"/>
      <c r="UUJ98" s="353"/>
      <c r="UUK98" s="353"/>
      <c r="UUL98" s="353"/>
      <c r="UUM98" s="353"/>
      <c r="UUN98" s="353"/>
      <c r="UUO98" s="353"/>
      <c r="UUP98" s="353"/>
      <c r="UUQ98" s="353"/>
      <c r="UUR98" s="353"/>
      <c r="UUS98" s="353"/>
      <c r="UUT98" s="353"/>
      <c r="UUU98" s="353"/>
      <c r="UUV98" s="353"/>
      <c r="UUW98" s="353"/>
      <c r="UUX98" s="353"/>
      <c r="UUY98" s="353"/>
      <c r="UUZ98" s="353"/>
      <c r="UVA98" s="353"/>
      <c r="UVB98" s="353"/>
      <c r="UVC98" s="353"/>
      <c r="UVD98" s="353"/>
      <c r="UVE98" s="353"/>
      <c r="UVF98" s="353"/>
      <c r="UVG98" s="353"/>
      <c r="UVH98" s="353"/>
      <c r="UVI98" s="353"/>
      <c r="UVJ98" s="353"/>
      <c r="UVK98" s="353"/>
      <c r="UVL98" s="353"/>
      <c r="UVM98" s="353"/>
      <c r="UVN98" s="353"/>
      <c r="UVO98" s="353"/>
      <c r="UVP98" s="353"/>
      <c r="UVQ98" s="353"/>
      <c r="UVR98" s="353"/>
      <c r="UVS98" s="353"/>
      <c r="UVT98" s="353"/>
      <c r="UVU98" s="353"/>
      <c r="UVV98" s="353"/>
      <c r="UVW98" s="353"/>
      <c r="UVX98" s="353"/>
      <c r="UVY98" s="353"/>
      <c r="UVZ98" s="353"/>
      <c r="UWA98" s="353"/>
      <c r="UWB98" s="353"/>
      <c r="UWC98" s="353"/>
      <c r="UWD98" s="353"/>
      <c r="UWE98" s="353"/>
      <c r="UWF98" s="353"/>
      <c r="UWG98" s="353"/>
      <c r="UWH98" s="353"/>
      <c r="UWI98" s="353"/>
      <c r="UWJ98" s="353"/>
      <c r="UWK98" s="353"/>
      <c r="UWL98" s="353"/>
      <c r="UWM98" s="353"/>
      <c r="UWN98" s="353"/>
      <c r="UWO98" s="353"/>
      <c r="UWP98" s="353"/>
      <c r="UWQ98" s="353"/>
      <c r="UWR98" s="353"/>
      <c r="UWS98" s="353"/>
      <c r="UWT98" s="353"/>
      <c r="UWU98" s="353"/>
      <c r="UWV98" s="353"/>
      <c r="UWW98" s="353"/>
      <c r="UWX98" s="353"/>
      <c r="UWY98" s="353"/>
      <c r="UWZ98" s="353"/>
      <c r="UXA98" s="353"/>
      <c r="UXB98" s="353"/>
      <c r="UXC98" s="353"/>
      <c r="UXD98" s="353"/>
      <c r="UXE98" s="353"/>
      <c r="UXF98" s="353"/>
      <c r="UXG98" s="353"/>
      <c r="UXH98" s="353"/>
      <c r="UXI98" s="353"/>
      <c r="UXJ98" s="353"/>
      <c r="UXK98" s="353"/>
      <c r="UXL98" s="353"/>
      <c r="UXM98" s="353"/>
      <c r="UXN98" s="353"/>
      <c r="UXO98" s="353"/>
      <c r="UXP98" s="353"/>
      <c r="UXQ98" s="353"/>
      <c r="UXR98" s="353"/>
      <c r="UXS98" s="353"/>
      <c r="UXT98" s="353"/>
      <c r="UXU98" s="353"/>
      <c r="UXV98" s="353"/>
      <c r="UXW98" s="353"/>
      <c r="UXX98" s="353"/>
      <c r="UXY98" s="353"/>
      <c r="UXZ98" s="353"/>
      <c r="UYA98" s="353"/>
      <c r="UYB98" s="353"/>
      <c r="UYC98" s="353"/>
      <c r="UYD98" s="353"/>
      <c r="UYE98" s="353"/>
      <c r="UYF98" s="353"/>
      <c r="UYG98" s="353"/>
      <c r="UYH98" s="353"/>
      <c r="UYI98" s="353"/>
      <c r="UYJ98" s="353"/>
      <c r="UYK98" s="353"/>
      <c r="UYL98" s="353"/>
      <c r="UYM98" s="353"/>
      <c r="UYN98" s="353"/>
      <c r="UYO98" s="353"/>
      <c r="UYP98" s="353"/>
      <c r="UYQ98" s="353"/>
      <c r="UYR98" s="353"/>
      <c r="UYS98" s="353"/>
      <c r="UYT98" s="353"/>
      <c r="UYU98" s="353"/>
      <c r="UYV98" s="353"/>
      <c r="UYW98" s="353"/>
      <c r="UYX98" s="353"/>
      <c r="UYY98" s="353"/>
      <c r="UYZ98" s="353"/>
      <c r="UZA98" s="353"/>
      <c r="UZB98" s="353"/>
      <c r="UZC98" s="353"/>
      <c r="UZD98" s="353"/>
      <c r="UZE98" s="353"/>
      <c r="UZF98" s="353"/>
      <c r="UZG98" s="353"/>
      <c r="UZH98" s="353"/>
      <c r="UZI98" s="353"/>
      <c r="UZJ98" s="353"/>
      <c r="UZK98" s="353"/>
      <c r="UZL98" s="353"/>
      <c r="UZM98" s="353"/>
      <c r="UZN98" s="353"/>
      <c r="UZO98" s="353"/>
      <c r="UZP98" s="353"/>
      <c r="UZQ98" s="353"/>
      <c r="UZR98" s="353"/>
      <c r="UZS98" s="353"/>
      <c r="UZT98" s="353"/>
      <c r="UZU98" s="353"/>
      <c r="UZV98" s="353"/>
      <c r="UZW98" s="353"/>
      <c r="UZX98" s="353"/>
      <c r="UZY98" s="353"/>
      <c r="UZZ98" s="353"/>
      <c r="VAA98" s="353"/>
      <c r="VAB98" s="353"/>
      <c r="VAC98" s="353"/>
      <c r="VAD98" s="353"/>
      <c r="VAE98" s="353"/>
      <c r="VAF98" s="353"/>
      <c r="VAG98" s="353"/>
      <c r="VAH98" s="353"/>
      <c r="VAI98" s="353"/>
      <c r="VAJ98" s="353"/>
      <c r="VAK98" s="353"/>
      <c r="VAL98" s="353"/>
      <c r="VAM98" s="353"/>
      <c r="VAN98" s="353"/>
      <c r="VAO98" s="353"/>
      <c r="VAP98" s="353"/>
      <c r="VAQ98" s="353"/>
      <c r="VAR98" s="353"/>
      <c r="VAS98" s="353"/>
      <c r="VAT98" s="353"/>
      <c r="VAU98" s="353"/>
      <c r="VAV98" s="353"/>
      <c r="VAW98" s="353"/>
      <c r="VAX98" s="353"/>
      <c r="VAY98" s="353"/>
      <c r="VAZ98" s="353"/>
      <c r="VBA98" s="353"/>
      <c r="VBB98" s="353"/>
      <c r="VBC98" s="353"/>
      <c r="VBD98" s="353"/>
      <c r="VBE98" s="353"/>
      <c r="VBF98" s="353"/>
      <c r="VBG98" s="353"/>
      <c r="VBH98" s="353"/>
      <c r="VBI98" s="353"/>
      <c r="VBJ98" s="353"/>
      <c r="VBK98" s="353"/>
      <c r="VBL98" s="353"/>
      <c r="VBM98" s="353"/>
      <c r="VBN98" s="353"/>
      <c r="VBO98" s="353"/>
      <c r="VBP98" s="353"/>
      <c r="VBQ98" s="353"/>
      <c r="VBR98" s="353"/>
      <c r="VBS98" s="353"/>
      <c r="VBT98" s="353"/>
      <c r="VBU98" s="353"/>
      <c r="VBV98" s="353"/>
      <c r="VBW98" s="353"/>
      <c r="VBX98" s="353"/>
      <c r="VBY98" s="353"/>
      <c r="VBZ98" s="353"/>
      <c r="VCA98" s="353"/>
      <c r="VCB98" s="353"/>
      <c r="VCC98" s="353"/>
      <c r="VCD98" s="353"/>
      <c r="VCE98" s="353"/>
      <c r="VCF98" s="353"/>
      <c r="VCG98" s="353"/>
      <c r="VCH98" s="353"/>
      <c r="VCI98" s="353"/>
      <c r="VCJ98" s="353"/>
      <c r="VCK98" s="353"/>
      <c r="VCL98" s="353"/>
      <c r="VCM98" s="353"/>
      <c r="VCN98" s="353"/>
      <c r="VCO98" s="353"/>
      <c r="VCP98" s="353"/>
      <c r="VCQ98" s="353"/>
      <c r="VCR98" s="353"/>
      <c r="VCS98" s="353"/>
      <c r="VCT98" s="353"/>
      <c r="VCU98" s="353"/>
      <c r="VCV98" s="353"/>
      <c r="VCW98" s="353"/>
      <c r="VCX98" s="353"/>
      <c r="VCY98" s="353"/>
      <c r="VCZ98" s="353"/>
      <c r="VDA98" s="353"/>
      <c r="VDB98" s="353"/>
      <c r="VDC98" s="353"/>
      <c r="VDD98" s="353"/>
      <c r="VDE98" s="353"/>
      <c r="VDF98" s="353"/>
      <c r="VDG98" s="353"/>
      <c r="VDH98" s="353"/>
      <c r="VDI98" s="353"/>
      <c r="VDJ98" s="353"/>
      <c r="VDK98" s="353"/>
      <c r="VDL98" s="353"/>
      <c r="VDM98" s="353"/>
      <c r="VDN98" s="353"/>
      <c r="VDO98" s="353"/>
      <c r="VDP98" s="353"/>
      <c r="VDQ98" s="353"/>
      <c r="VDR98" s="353"/>
      <c r="VDS98" s="353"/>
      <c r="VDT98" s="353"/>
      <c r="VDU98" s="353"/>
      <c r="VDV98" s="353"/>
      <c r="VDW98" s="353"/>
      <c r="VDX98" s="353"/>
      <c r="VDY98" s="353"/>
      <c r="VDZ98" s="353"/>
      <c r="VEA98" s="353"/>
      <c r="VEB98" s="353"/>
      <c r="VEC98" s="353"/>
      <c r="VED98" s="353"/>
      <c r="VEE98" s="353"/>
      <c r="VEF98" s="353"/>
      <c r="VEG98" s="353"/>
      <c r="VEH98" s="353"/>
      <c r="VEI98" s="353"/>
      <c r="VEJ98" s="353"/>
      <c r="VEK98" s="353"/>
      <c r="VEL98" s="353"/>
      <c r="VEM98" s="353"/>
      <c r="VEN98" s="353"/>
      <c r="VEO98" s="353"/>
      <c r="VEP98" s="353"/>
      <c r="VEQ98" s="353"/>
      <c r="VER98" s="353"/>
      <c r="VES98" s="353"/>
      <c r="VET98" s="353"/>
      <c r="VEU98" s="353"/>
      <c r="VEV98" s="353"/>
      <c r="VEW98" s="353"/>
      <c r="VEX98" s="353"/>
      <c r="VEY98" s="353"/>
      <c r="VEZ98" s="353"/>
      <c r="VFA98" s="353"/>
      <c r="VFB98" s="353"/>
      <c r="VFC98" s="353"/>
      <c r="VFD98" s="353"/>
      <c r="VFE98" s="353"/>
      <c r="VFF98" s="353"/>
      <c r="VFG98" s="353"/>
      <c r="VFH98" s="353"/>
      <c r="VFI98" s="353"/>
      <c r="VFJ98" s="353"/>
      <c r="VFK98" s="353"/>
      <c r="VFL98" s="353"/>
      <c r="VFM98" s="353"/>
      <c r="VFN98" s="353"/>
      <c r="VFO98" s="353"/>
      <c r="VFP98" s="353"/>
      <c r="VFQ98" s="353"/>
      <c r="VFR98" s="353"/>
      <c r="VFS98" s="353"/>
      <c r="VFT98" s="353"/>
      <c r="VFU98" s="353"/>
      <c r="VFV98" s="353"/>
      <c r="VFW98" s="353"/>
      <c r="VFX98" s="353"/>
      <c r="VFY98" s="353"/>
      <c r="VFZ98" s="353"/>
      <c r="VGA98" s="353"/>
      <c r="VGB98" s="353"/>
      <c r="VGC98" s="353"/>
      <c r="VGD98" s="353"/>
      <c r="VGE98" s="353"/>
      <c r="VGF98" s="353"/>
      <c r="VGG98" s="353"/>
      <c r="VGH98" s="353"/>
      <c r="VGI98" s="353"/>
      <c r="VGJ98" s="353"/>
      <c r="VGK98" s="353"/>
      <c r="VGL98" s="353"/>
      <c r="VGM98" s="353"/>
      <c r="VGN98" s="353"/>
      <c r="VGO98" s="353"/>
      <c r="VGP98" s="353"/>
      <c r="VGQ98" s="353"/>
      <c r="VGR98" s="353"/>
      <c r="VGS98" s="353"/>
      <c r="VGT98" s="353"/>
      <c r="VGU98" s="353"/>
      <c r="VGV98" s="353"/>
      <c r="VGW98" s="353"/>
      <c r="VGX98" s="353"/>
      <c r="VGY98" s="353"/>
      <c r="VGZ98" s="353"/>
      <c r="VHA98" s="353"/>
      <c r="VHB98" s="353"/>
      <c r="VHC98" s="353"/>
      <c r="VHD98" s="353"/>
      <c r="VHE98" s="353"/>
      <c r="VHF98" s="353"/>
      <c r="VHG98" s="353"/>
      <c r="VHH98" s="353"/>
      <c r="VHI98" s="353"/>
      <c r="VHJ98" s="353"/>
      <c r="VHK98" s="353"/>
      <c r="VHL98" s="353"/>
      <c r="VHM98" s="353"/>
      <c r="VHN98" s="353"/>
      <c r="VHO98" s="353"/>
      <c r="VHP98" s="353"/>
      <c r="VHQ98" s="353"/>
      <c r="VHR98" s="353"/>
      <c r="VHS98" s="353"/>
      <c r="VHT98" s="353"/>
      <c r="VHU98" s="353"/>
      <c r="VHV98" s="353"/>
      <c r="VHW98" s="353"/>
      <c r="VHX98" s="353"/>
      <c r="VHY98" s="353"/>
      <c r="VHZ98" s="353"/>
      <c r="VIA98" s="353"/>
      <c r="VIB98" s="353"/>
      <c r="VIC98" s="353"/>
      <c r="VID98" s="353"/>
      <c r="VIE98" s="353"/>
      <c r="VIF98" s="353"/>
      <c r="VIG98" s="353"/>
      <c r="VIH98" s="353"/>
      <c r="VII98" s="353"/>
      <c r="VIJ98" s="353"/>
      <c r="VIK98" s="353"/>
      <c r="VIL98" s="353"/>
      <c r="VIM98" s="353"/>
      <c r="VIN98" s="353"/>
      <c r="VIO98" s="353"/>
      <c r="VIP98" s="353"/>
      <c r="VIQ98" s="353"/>
      <c r="VIR98" s="353"/>
      <c r="VIS98" s="353"/>
      <c r="VIT98" s="353"/>
      <c r="VIU98" s="353"/>
      <c r="VIV98" s="353"/>
      <c r="VIW98" s="353"/>
      <c r="VIX98" s="353"/>
      <c r="VIY98" s="353"/>
      <c r="VIZ98" s="353"/>
      <c r="VJA98" s="353"/>
      <c r="VJB98" s="353"/>
      <c r="VJC98" s="353"/>
      <c r="VJD98" s="353"/>
      <c r="VJE98" s="353"/>
      <c r="VJF98" s="353"/>
      <c r="VJG98" s="353"/>
      <c r="VJH98" s="353"/>
      <c r="VJI98" s="353"/>
      <c r="VJJ98" s="353"/>
      <c r="VJK98" s="353"/>
      <c r="VJL98" s="353"/>
      <c r="VJM98" s="353"/>
      <c r="VJN98" s="353"/>
      <c r="VJO98" s="353"/>
      <c r="VJP98" s="353"/>
      <c r="VJQ98" s="353"/>
      <c r="VJR98" s="353"/>
      <c r="VJS98" s="353"/>
      <c r="VJT98" s="353"/>
      <c r="VJU98" s="353"/>
      <c r="VJV98" s="353"/>
      <c r="VJW98" s="353"/>
      <c r="VJX98" s="353"/>
      <c r="VJY98" s="353"/>
      <c r="VJZ98" s="353"/>
      <c r="VKA98" s="353"/>
      <c r="VKB98" s="353"/>
      <c r="VKC98" s="353"/>
      <c r="VKD98" s="353"/>
      <c r="VKE98" s="353"/>
      <c r="VKF98" s="353"/>
      <c r="VKG98" s="353"/>
      <c r="VKH98" s="353"/>
      <c r="VKI98" s="353"/>
      <c r="VKJ98" s="353"/>
      <c r="VKK98" s="353"/>
      <c r="VKL98" s="353"/>
      <c r="VKM98" s="353"/>
      <c r="VKN98" s="353"/>
      <c r="VKO98" s="353"/>
      <c r="VKP98" s="353"/>
      <c r="VKQ98" s="353"/>
      <c r="VKR98" s="353"/>
      <c r="VKS98" s="353"/>
      <c r="VKT98" s="353"/>
      <c r="VKU98" s="353"/>
      <c r="VKV98" s="353"/>
      <c r="VKW98" s="353"/>
      <c r="VKX98" s="353"/>
      <c r="VKY98" s="353"/>
      <c r="VKZ98" s="353"/>
      <c r="VLA98" s="353"/>
      <c r="VLB98" s="353"/>
      <c r="VLC98" s="353"/>
      <c r="VLD98" s="353"/>
      <c r="VLE98" s="353"/>
      <c r="VLF98" s="353"/>
      <c r="VLG98" s="353"/>
      <c r="VLH98" s="353"/>
      <c r="VLI98" s="353"/>
      <c r="VLJ98" s="353"/>
      <c r="VLK98" s="353"/>
      <c r="VLL98" s="353"/>
      <c r="VLM98" s="353"/>
      <c r="VLN98" s="353"/>
      <c r="VLO98" s="353"/>
      <c r="VLP98" s="353"/>
      <c r="VLQ98" s="353"/>
      <c r="VLR98" s="353"/>
      <c r="VLS98" s="353"/>
      <c r="VLT98" s="353"/>
      <c r="VLU98" s="353"/>
      <c r="VLV98" s="353"/>
      <c r="VLW98" s="353"/>
      <c r="VLX98" s="353"/>
      <c r="VLY98" s="353"/>
      <c r="VLZ98" s="353"/>
      <c r="VMA98" s="353"/>
      <c r="VMB98" s="353"/>
      <c r="VMC98" s="353"/>
      <c r="VMD98" s="353"/>
      <c r="VME98" s="353"/>
      <c r="VMF98" s="353"/>
      <c r="VMG98" s="353"/>
      <c r="VMH98" s="353"/>
      <c r="VMI98" s="353"/>
      <c r="VMJ98" s="353"/>
      <c r="VMK98" s="353"/>
      <c r="VML98" s="353"/>
      <c r="VMM98" s="353"/>
      <c r="VMN98" s="353"/>
      <c r="VMO98" s="353"/>
      <c r="VMP98" s="353"/>
      <c r="VMQ98" s="353"/>
      <c r="VMR98" s="353"/>
      <c r="VMS98" s="353"/>
      <c r="VMT98" s="353"/>
      <c r="VMU98" s="353"/>
      <c r="VMV98" s="353"/>
      <c r="VMW98" s="353"/>
      <c r="VMX98" s="353"/>
      <c r="VMY98" s="353"/>
      <c r="VMZ98" s="353"/>
      <c r="VNA98" s="353"/>
      <c r="VNB98" s="353"/>
      <c r="VNC98" s="353"/>
      <c r="VND98" s="353"/>
      <c r="VNE98" s="353"/>
      <c r="VNF98" s="353"/>
      <c r="VNG98" s="353"/>
      <c r="VNH98" s="353"/>
      <c r="VNI98" s="353"/>
      <c r="VNJ98" s="353"/>
      <c r="VNK98" s="353"/>
      <c r="VNL98" s="353"/>
      <c r="VNM98" s="353"/>
      <c r="VNN98" s="353"/>
      <c r="VNO98" s="353"/>
      <c r="VNP98" s="353"/>
      <c r="VNQ98" s="353"/>
      <c r="VNR98" s="353"/>
      <c r="VNS98" s="353"/>
      <c r="VNT98" s="353"/>
      <c r="VNU98" s="353"/>
      <c r="VNV98" s="353"/>
      <c r="VNW98" s="353"/>
      <c r="VNX98" s="353"/>
      <c r="VNY98" s="353"/>
      <c r="VNZ98" s="353"/>
      <c r="VOA98" s="353"/>
      <c r="VOB98" s="353"/>
      <c r="VOC98" s="353"/>
      <c r="VOD98" s="353"/>
      <c r="VOE98" s="353"/>
      <c r="VOF98" s="353"/>
      <c r="VOG98" s="353"/>
      <c r="VOH98" s="353"/>
      <c r="VOI98" s="353"/>
      <c r="VOJ98" s="353"/>
      <c r="VOK98" s="353"/>
      <c r="VOL98" s="353"/>
      <c r="VOM98" s="353"/>
      <c r="VON98" s="353"/>
      <c r="VOO98" s="353"/>
      <c r="VOP98" s="353"/>
      <c r="VOQ98" s="353"/>
      <c r="VOR98" s="353"/>
      <c r="VOS98" s="353"/>
      <c r="VOT98" s="353"/>
      <c r="VOU98" s="353"/>
      <c r="VOV98" s="353"/>
      <c r="VOW98" s="353"/>
      <c r="VOX98" s="353"/>
      <c r="VOY98" s="353"/>
      <c r="VOZ98" s="353"/>
      <c r="VPA98" s="353"/>
      <c r="VPB98" s="353"/>
      <c r="VPC98" s="353"/>
      <c r="VPD98" s="353"/>
      <c r="VPE98" s="353"/>
      <c r="VPF98" s="353"/>
      <c r="VPG98" s="353"/>
      <c r="VPH98" s="353"/>
      <c r="VPI98" s="353"/>
      <c r="VPJ98" s="353"/>
      <c r="VPK98" s="353"/>
      <c r="VPL98" s="353"/>
      <c r="VPM98" s="353"/>
      <c r="VPN98" s="353"/>
      <c r="VPO98" s="353"/>
      <c r="VPP98" s="353"/>
      <c r="VPQ98" s="353"/>
      <c r="VPR98" s="353"/>
      <c r="VPS98" s="353"/>
      <c r="VPT98" s="353"/>
      <c r="VPU98" s="353"/>
      <c r="VPV98" s="353"/>
      <c r="VPW98" s="353"/>
      <c r="VPX98" s="353"/>
      <c r="VPY98" s="353"/>
      <c r="VPZ98" s="353"/>
      <c r="VQA98" s="353"/>
      <c r="VQB98" s="353"/>
      <c r="VQC98" s="353"/>
      <c r="VQD98" s="353"/>
      <c r="VQE98" s="353"/>
      <c r="VQF98" s="353"/>
      <c r="VQG98" s="353"/>
      <c r="VQH98" s="353"/>
      <c r="VQI98" s="353"/>
      <c r="VQJ98" s="353"/>
      <c r="VQK98" s="353"/>
      <c r="VQL98" s="353"/>
      <c r="VQM98" s="353"/>
      <c r="VQN98" s="353"/>
      <c r="VQO98" s="353"/>
      <c r="VQP98" s="353"/>
      <c r="VQQ98" s="353"/>
      <c r="VQR98" s="353"/>
      <c r="VQS98" s="353"/>
      <c r="VQT98" s="353"/>
      <c r="VQU98" s="353"/>
      <c r="VQV98" s="353"/>
      <c r="VQW98" s="353"/>
      <c r="VQX98" s="353"/>
      <c r="VQY98" s="353"/>
      <c r="VQZ98" s="353"/>
      <c r="VRA98" s="353"/>
      <c r="VRB98" s="353"/>
      <c r="VRC98" s="353"/>
      <c r="VRD98" s="353"/>
      <c r="VRE98" s="353"/>
      <c r="VRF98" s="353"/>
      <c r="VRG98" s="353"/>
      <c r="VRH98" s="353"/>
      <c r="VRI98" s="353"/>
      <c r="VRJ98" s="353"/>
      <c r="VRK98" s="353"/>
      <c r="VRL98" s="353"/>
      <c r="VRM98" s="353"/>
      <c r="VRN98" s="353"/>
      <c r="VRO98" s="353"/>
      <c r="VRP98" s="353"/>
      <c r="VRQ98" s="353"/>
      <c r="VRR98" s="353"/>
      <c r="VRS98" s="353"/>
      <c r="VRT98" s="353"/>
      <c r="VRU98" s="353"/>
      <c r="VRV98" s="353"/>
      <c r="VRW98" s="353"/>
      <c r="VRX98" s="353"/>
      <c r="VRY98" s="353"/>
      <c r="VRZ98" s="353"/>
      <c r="VSA98" s="353"/>
      <c r="VSB98" s="353"/>
      <c r="VSC98" s="353"/>
      <c r="VSD98" s="353"/>
      <c r="VSE98" s="353"/>
      <c r="VSF98" s="353"/>
      <c r="VSG98" s="353"/>
      <c r="VSH98" s="353"/>
      <c r="VSI98" s="353"/>
      <c r="VSJ98" s="353"/>
      <c r="VSK98" s="353"/>
      <c r="VSL98" s="353"/>
      <c r="VSM98" s="353"/>
      <c r="VSN98" s="353"/>
      <c r="VSO98" s="353"/>
      <c r="VSP98" s="353"/>
      <c r="VSQ98" s="353"/>
      <c r="VSR98" s="353"/>
      <c r="VSS98" s="353"/>
      <c r="VST98" s="353"/>
      <c r="VSU98" s="353"/>
      <c r="VSV98" s="353"/>
      <c r="VSW98" s="353"/>
      <c r="VSX98" s="353"/>
      <c r="VSY98" s="353"/>
      <c r="VSZ98" s="353"/>
      <c r="VTA98" s="353"/>
      <c r="VTB98" s="353"/>
      <c r="VTC98" s="353"/>
      <c r="VTD98" s="353"/>
      <c r="VTE98" s="353"/>
      <c r="VTF98" s="353"/>
      <c r="VTG98" s="353"/>
      <c r="VTH98" s="353"/>
      <c r="VTI98" s="353"/>
      <c r="VTJ98" s="353"/>
      <c r="VTK98" s="353"/>
      <c r="VTL98" s="353"/>
      <c r="VTM98" s="353"/>
      <c r="VTN98" s="353"/>
      <c r="VTO98" s="353"/>
      <c r="VTP98" s="353"/>
      <c r="VTQ98" s="353"/>
      <c r="VTR98" s="353"/>
      <c r="VTS98" s="353"/>
      <c r="VTT98" s="353"/>
      <c r="VTU98" s="353"/>
      <c r="VTV98" s="353"/>
      <c r="VTW98" s="353"/>
      <c r="VTX98" s="353"/>
      <c r="VTY98" s="353"/>
      <c r="VTZ98" s="353"/>
      <c r="VUA98" s="353"/>
      <c r="VUB98" s="353"/>
      <c r="VUC98" s="353"/>
      <c r="VUD98" s="353"/>
      <c r="VUE98" s="353"/>
      <c r="VUF98" s="353"/>
      <c r="VUG98" s="353"/>
      <c r="VUH98" s="353"/>
      <c r="VUI98" s="353"/>
      <c r="VUJ98" s="353"/>
      <c r="VUK98" s="353"/>
      <c r="VUL98" s="353"/>
      <c r="VUM98" s="353"/>
      <c r="VUN98" s="353"/>
      <c r="VUO98" s="353"/>
      <c r="VUP98" s="353"/>
      <c r="VUQ98" s="353"/>
      <c r="VUR98" s="353"/>
      <c r="VUS98" s="353"/>
      <c r="VUT98" s="353"/>
      <c r="VUU98" s="353"/>
      <c r="VUV98" s="353"/>
      <c r="VUW98" s="353"/>
      <c r="VUX98" s="353"/>
      <c r="VUY98" s="353"/>
      <c r="VUZ98" s="353"/>
      <c r="VVA98" s="353"/>
      <c r="VVB98" s="353"/>
      <c r="VVC98" s="353"/>
      <c r="VVD98" s="353"/>
      <c r="VVE98" s="353"/>
      <c r="VVF98" s="353"/>
      <c r="VVG98" s="353"/>
      <c r="VVH98" s="353"/>
      <c r="VVI98" s="353"/>
      <c r="VVJ98" s="353"/>
      <c r="VVK98" s="353"/>
      <c r="VVL98" s="353"/>
      <c r="VVM98" s="353"/>
      <c r="VVN98" s="353"/>
      <c r="VVO98" s="353"/>
      <c r="VVP98" s="353"/>
      <c r="VVQ98" s="353"/>
      <c r="VVR98" s="353"/>
      <c r="VVS98" s="353"/>
      <c r="VVT98" s="353"/>
      <c r="VVU98" s="353"/>
      <c r="VVV98" s="353"/>
      <c r="VVW98" s="353"/>
      <c r="VVX98" s="353"/>
      <c r="VVY98" s="353"/>
      <c r="VVZ98" s="353"/>
      <c r="VWA98" s="353"/>
      <c r="VWB98" s="353"/>
      <c r="VWC98" s="353"/>
      <c r="VWD98" s="353"/>
      <c r="VWE98" s="353"/>
      <c r="VWF98" s="353"/>
      <c r="VWG98" s="353"/>
      <c r="VWH98" s="353"/>
      <c r="VWI98" s="353"/>
      <c r="VWJ98" s="353"/>
      <c r="VWK98" s="353"/>
      <c r="VWL98" s="353"/>
      <c r="VWM98" s="353"/>
      <c r="VWN98" s="353"/>
      <c r="VWO98" s="353"/>
      <c r="VWP98" s="353"/>
      <c r="VWQ98" s="353"/>
      <c r="VWR98" s="353"/>
      <c r="VWS98" s="353"/>
      <c r="VWT98" s="353"/>
      <c r="VWU98" s="353"/>
      <c r="VWV98" s="353"/>
      <c r="VWW98" s="353"/>
      <c r="VWX98" s="353"/>
      <c r="VWY98" s="353"/>
      <c r="VWZ98" s="353"/>
      <c r="VXA98" s="353"/>
      <c r="VXB98" s="353"/>
      <c r="VXC98" s="353"/>
      <c r="VXD98" s="353"/>
      <c r="VXE98" s="353"/>
      <c r="VXF98" s="353"/>
      <c r="VXG98" s="353"/>
      <c r="VXH98" s="353"/>
      <c r="VXI98" s="353"/>
      <c r="VXJ98" s="353"/>
      <c r="VXK98" s="353"/>
      <c r="VXL98" s="353"/>
      <c r="VXM98" s="353"/>
      <c r="VXN98" s="353"/>
      <c r="VXO98" s="353"/>
      <c r="VXP98" s="353"/>
      <c r="VXQ98" s="353"/>
      <c r="VXR98" s="353"/>
      <c r="VXS98" s="353"/>
      <c r="VXT98" s="353"/>
      <c r="VXU98" s="353"/>
      <c r="VXV98" s="353"/>
      <c r="VXW98" s="353"/>
      <c r="VXX98" s="353"/>
      <c r="VXY98" s="353"/>
      <c r="VXZ98" s="353"/>
      <c r="VYA98" s="353"/>
      <c r="VYB98" s="353"/>
      <c r="VYC98" s="353"/>
      <c r="VYD98" s="353"/>
      <c r="VYE98" s="353"/>
      <c r="VYF98" s="353"/>
      <c r="VYG98" s="353"/>
      <c r="VYH98" s="353"/>
      <c r="VYI98" s="353"/>
      <c r="VYJ98" s="353"/>
      <c r="VYK98" s="353"/>
      <c r="VYL98" s="353"/>
      <c r="VYM98" s="353"/>
      <c r="VYN98" s="353"/>
      <c r="VYO98" s="353"/>
      <c r="VYP98" s="353"/>
      <c r="VYQ98" s="353"/>
      <c r="VYR98" s="353"/>
      <c r="VYS98" s="353"/>
      <c r="VYT98" s="353"/>
      <c r="VYU98" s="353"/>
      <c r="VYV98" s="353"/>
      <c r="VYW98" s="353"/>
      <c r="VYX98" s="353"/>
      <c r="VYY98" s="353"/>
      <c r="VYZ98" s="353"/>
      <c r="VZA98" s="353"/>
      <c r="VZB98" s="353"/>
      <c r="VZC98" s="353"/>
      <c r="VZD98" s="353"/>
      <c r="VZE98" s="353"/>
      <c r="VZF98" s="353"/>
      <c r="VZG98" s="353"/>
      <c r="VZH98" s="353"/>
      <c r="VZI98" s="353"/>
      <c r="VZJ98" s="353"/>
      <c r="VZK98" s="353"/>
      <c r="VZL98" s="353"/>
      <c r="VZM98" s="353"/>
      <c r="VZN98" s="353"/>
      <c r="VZO98" s="353"/>
      <c r="VZP98" s="353"/>
      <c r="VZQ98" s="353"/>
      <c r="VZR98" s="353"/>
      <c r="VZS98" s="353"/>
      <c r="VZT98" s="353"/>
      <c r="VZU98" s="353"/>
      <c r="VZV98" s="353"/>
      <c r="VZW98" s="353"/>
      <c r="VZX98" s="353"/>
      <c r="VZY98" s="353"/>
      <c r="VZZ98" s="353"/>
      <c r="WAA98" s="353"/>
      <c r="WAB98" s="353"/>
      <c r="WAC98" s="353"/>
      <c r="WAD98" s="353"/>
      <c r="WAE98" s="353"/>
      <c r="WAF98" s="353"/>
      <c r="WAG98" s="353"/>
      <c r="WAH98" s="353"/>
      <c r="WAI98" s="353"/>
      <c r="WAJ98" s="353"/>
      <c r="WAK98" s="353"/>
      <c r="WAL98" s="353"/>
      <c r="WAM98" s="353"/>
      <c r="WAN98" s="353"/>
      <c r="WAO98" s="353"/>
      <c r="WAP98" s="353"/>
      <c r="WAQ98" s="353"/>
      <c r="WAR98" s="353"/>
      <c r="WAS98" s="353"/>
      <c r="WAT98" s="353"/>
      <c r="WAU98" s="353"/>
      <c r="WAV98" s="353"/>
      <c r="WAW98" s="353"/>
      <c r="WAX98" s="353"/>
      <c r="WAY98" s="353"/>
      <c r="WAZ98" s="353"/>
      <c r="WBA98" s="353"/>
      <c r="WBB98" s="353"/>
      <c r="WBC98" s="353"/>
      <c r="WBD98" s="353"/>
      <c r="WBE98" s="353"/>
      <c r="WBF98" s="353"/>
      <c r="WBG98" s="353"/>
      <c r="WBH98" s="353"/>
      <c r="WBI98" s="353"/>
      <c r="WBJ98" s="353"/>
      <c r="WBK98" s="353"/>
      <c r="WBL98" s="353"/>
      <c r="WBM98" s="353"/>
      <c r="WBN98" s="353"/>
      <c r="WBO98" s="353"/>
      <c r="WBP98" s="353"/>
      <c r="WBQ98" s="353"/>
      <c r="WBR98" s="353"/>
      <c r="WBS98" s="353"/>
      <c r="WBT98" s="353"/>
      <c r="WBU98" s="353"/>
      <c r="WBV98" s="353"/>
      <c r="WBW98" s="353"/>
      <c r="WBX98" s="353"/>
      <c r="WBY98" s="353"/>
      <c r="WBZ98" s="353"/>
      <c r="WCA98" s="353"/>
      <c r="WCB98" s="353"/>
      <c r="WCC98" s="353"/>
      <c r="WCD98" s="353"/>
      <c r="WCE98" s="353"/>
      <c r="WCF98" s="353"/>
      <c r="WCG98" s="353"/>
      <c r="WCH98" s="353"/>
      <c r="WCI98" s="353"/>
      <c r="WCJ98" s="353"/>
      <c r="WCK98" s="353"/>
      <c r="WCL98" s="353"/>
      <c r="WCM98" s="353"/>
      <c r="WCN98" s="353"/>
      <c r="WCO98" s="353"/>
      <c r="WCP98" s="353"/>
      <c r="WCQ98" s="353"/>
      <c r="WCR98" s="353"/>
      <c r="WCS98" s="353"/>
      <c r="WCT98" s="353"/>
      <c r="WCU98" s="353"/>
      <c r="WCV98" s="353"/>
      <c r="WCW98" s="353"/>
      <c r="WCX98" s="353"/>
      <c r="WCY98" s="353"/>
      <c r="WCZ98" s="353"/>
      <c r="WDA98" s="353"/>
      <c r="WDB98" s="353"/>
      <c r="WDC98" s="353"/>
      <c r="WDD98" s="353"/>
      <c r="WDE98" s="353"/>
      <c r="WDF98" s="353"/>
      <c r="WDG98" s="353"/>
      <c r="WDH98" s="353"/>
      <c r="WDI98" s="353"/>
      <c r="WDJ98" s="353"/>
      <c r="WDK98" s="353"/>
      <c r="WDL98" s="353"/>
      <c r="WDM98" s="353"/>
      <c r="WDN98" s="353"/>
      <c r="WDO98" s="353"/>
      <c r="WDP98" s="353"/>
      <c r="WDQ98" s="353"/>
      <c r="WDR98" s="353"/>
      <c r="WDS98" s="353"/>
      <c r="WDT98" s="353"/>
      <c r="WDU98" s="353"/>
      <c r="WDV98" s="353"/>
      <c r="WDW98" s="353"/>
      <c r="WDX98" s="353"/>
      <c r="WDY98" s="353"/>
      <c r="WDZ98" s="353"/>
      <c r="WEA98" s="353"/>
      <c r="WEB98" s="353"/>
      <c r="WEC98" s="353"/>
      <c r="WED98" s="353"/>
      <c r="WEE98" s="353"/>
      <c r="WEF98" s="353"/>
      <c r="WEG98" s="353"/>
      <c r="WEH98" s="353"/>
      <c r="WEI98" s="353"/>
      <c r="WEJ98" s="353"/>
      <c r="WEK98" s="353"/>
      <c r="WEL98" s="353"/>
      <c r="WEM98" s="353"/>
      <c r="WEN98" s="353"/>
      <c r="WEO98" s="353"/>
      <c r="WEP98" s="353"/>
      <c r="WEQ98" s="353"/>
      <c r="WER98" s="353"/>
      <c r="WES98" s="353"/>
      <c r="WET98" s="353"/>
      <c r="WEU98" s="353"/>
      <c r="WEV98" s="353"/>
      <c r="WEW98" s="353"/>
      <c r="WEX98" s="353"/>
      <c r="WEY98" s="353"/>
      <c r="WEZ98" s="353"/>
      <c r="WFA98" s="353"/>
      <c r="WFB98" s="353"/>
      <c r="WFC98" s="353"/>
      <c r="WFD98" s="353"/>
      <c r="WFE98" s="353"/>
      <c r="WFF98" s="353"/>
      <c r="WFG98" s="353"/>
      <c r="WFH98" s="353"/>
      <c r="WFI98" s="353"/>
      <c r="WFJ98" s="353"/>
      <c r="WFK98" s="353"/>
      <c r="WFL98" s="353"/>
      <c r="WFM98" s="353"/>
      <c r="WFN98" s="353"/>
      <c r="WFO98" s="353"/>
      <c r="WFP98" s="353"/>
      <c r="WFQ98" s="353"/>
      <c r="WFR98" s="353"/>
      <c r="WFS98" s="353"/>
      <c r="WFT98" s="353"/>
      <c r="WFU98" s="353"/>
      <c r="WFV98" s="353"/>
      <c r="WFW98" s="353"/>
      <c r="WFX98" s="353"/>
      <c r="WFY98" s="353"/>
      <c r="WFZ98" s="353"/>
      <c r="WGA98" s="353"/>
      <c r="WGB98" s="353"/>
      <c r="WGC98" s="353"/>
      <c r="WGD98" s="353"/>
      <c r="WGE98" s="353"/>
      <c r="WGF98" s="353"/>
      <c r="WGG98" s="353"/>
      <c r="WGH98" s="353"/>
      <c r="WGI98" s="353"/>
      <c r="WGJ98" s="353"/>
      <c r="WGK98" s="353"/>
      <c r="WGL98" s="353"/>
      <c r="WGM98" s="353"/>
      <c r="WGN98" s="353"/>
      <c r="WGO98" s="353"/>
      <c r="WGP98" s="353"/>
      <c r="WGQ98" s="353"/>
      <c r="WGR98" s="353"/>
      <c r="WGS98" s="353"/>
      <c r="WGT98" s="353"/>
      <c r="WGU98" s="353"/>
      <c r="WGV98" s="353"/>
      <c r="WGW98" s="353"/>
      <c r="WGX98" s="353"/>
      <c r="WGY98" s="353"/>
      <c r="WGZ98" s="353"/>
      <c r="WHA98" s="353"/>
      <c r="WHB98" s="353"/>
      <c r="WHC98" s="353"/>
      <c r="WHD98" s="353"/>
      <c r="WHE98" s="353"/>
      <c r="WHF98" s="353"/>
      <c r="WHG98" s="353"/>
      <c r="WHH98" s="353"/>
      <c r="WHI98" s="353"/>
      <c r="WHJ98" s="353"/>
      <c r="WHK98" s="353"/>
      <c r="WHL98" s="353"/>
      <c r="WHM98" s="353"/>
      <c r="WHN98" s="353"/>
      <c r="WHO98" s="353"/>
      <c r="WHP98" s="353"/>
      <c r="WHQ98" s="353"/>
      <c r="WHR98" s="353"/>
      <c r="WHS98" s="353"/>
      <c r="WHT98" s="353"/>
      <c r="WHU98" s="353"/>
      <c r="WHV98" s="353"/>
      <c r="WHW98" s="353"/>
      <c r="WHX98" s="353"/>
      <c r="WHY98" s="353"/>
      <c r="WHZ98" s="353"/>
      <c r="WIA98" s="353"/>
      <c r="WIB98" s="353"/>
      <c r="WIC98" s="353"/>
      <c r="WID98" s="353"/>
      <c r="WIE98" s="353"/>
      <c r="WIF98" s="353"/>
      <c r="WIG98" s="353"/>
      <c r="WIH98" s="353"/>
      <c r="WII98" s="353"/>
      <c r="WIJ98" s="353"/>
      <c r="WIK98" s="353"/>
      <c r="WIL98" s="353"/>
      <c r="WIM98" s="353"/>
      <c r="WIN98" s="353"/>
      <c r="WIO98" s="353"/>
      <c r="WIP98" s="353"/>
      <c r="WIQ98" s="353"/>
      <c r="WIR98" s="353"/>
      <c r="WIS98" s="353"/>
      <c r="WIT98" s="353"/>
      <c r="WIU98" s="353"/>
      <c r="WIV98" s="353"/>
      <c r="WIW98" s="353"/>
      <c r="WIX98" s="353"/>
      <c r="WIY98" s="353"/>
      <c r="WIZ98" s="353"/>
      <c r="WJA98" s="353"/>
      <c r="WJB98" s="353"/>
      <c r="WJC98" s="353"/>
      <c r="WJD98" s="353"/>
      <c r="WJE98" s="353"/>
      <c r="WJF98" s="353"/>
      <c r="WJG98" s="353"/>
      <c r="WJH98" s="353"/>
      <c r="WJI98" s="353"/>
      <c r="WJJ98" s="353"/>
      <c r="WJK98" s="353"/>
      <c r="WJL98" s="353"/>
      <c r="WJM98" s="353"/>
      <c r="WJN98" s="353"/>
      <c r="WJO98" s="353"/>
      <c r="WJP98" s="353"/>
      <c r="WJQ98" s="353"/>
      <c r="WJR98" s="353"/>
      <c r="WJS98" s="353"/>
      <c r="WJT98" s="353"/>
      <c r="WJU98" s="353"/>
      <c r="WJV98" s="353"/>
      <c r="WJW98" s="353"/>
      <c r="WJX98" s="353"/>
      <c r="WJY98" s="353"/>
      <c r="WJZ98" s="353"/>
      <c r="WKA98" s="353"/>
      <c r="WKB98" s="353"/>
      <c r="WKC98" s="353"/>
      <c r="WKD98" s="353"/>
      <c r="WKE98" s="353"/>
      <c r="WKF98" s="353"/>
      <c r="WKG98" s="353"/>
      <c r="WKH98" s="353"/>
      <c r="WKI98" s="353"/>
      <c r="WKJ98" s="353"/>
      <c r="WKK98" s="353"/>
      <c r="WKL98" s="353"/>
      <c r="WKM98" s="353"/>
      <c r="WKN98" s="353"/>
      <c r="WKO98" s="353"/>
      <c r="WKP98" s="353"/>
      <c r="WKQ98" s="353"/>
      <c r="WKR98" s="353"/>
      <c r="WKS98" s="353"/>
      <c r="WKT98" s="353"/>
      <c r="WKU98" s="353"/>
      <c r="WKV98" s="353"/>
      <c r="WKW98" s="353"/>
      <c r="WKX98" s="353"/>
      <c r="WKY98" s="353"/>
      <c r="WKZ98" s="353"/>
      <c r="WLA98" s="353"/>
      <c r="WLB98" s="353"/>
      <c r="WLC98" s="353"/>
      <c r="WLD98" s="353"/>
      <c r="WLE98" s="353"/>
      <c r="WLF98" s="353"/>
      <c r="WLG98" s="353"/>
      <c r="WLH98" s="353"/>
      <c r="WLI98" s="353"/>
      <c r="WLJ98" s="353"/>
      <c r="WLK98" s="353"/>
      <c r="WLL98" s="353"/>
      <c r="WLM98" s="353"/>
      <c r="WLN98" s="353"/>
      <c r="WLO98" s="353"/>
      <c r="WLP98" s="353"/>
      <c r="WLQ98" s="353"/>
      <c r="WLR98" s="353"/>
      <c r="WLS98" s="353"/>
      <c r="WLT98" s="353"/>
      <c r="WLU98" s="353"/>
      <c r="WLV98" s="353"/>
      <c r="WLW98" s="353"/>
      <c r="WLX98" s="353"/>
      <c r="WLY98" s="353"/>
      <c r="WLZ98" s="353"/>
      <c r="WMA98" s="353"/>
      <c r="WMB98" s="353"/>
      <c r="WMC98" s="353"/>
      <c r="WMD98" s="353"/>
      <c r="WME98" s="353"/>
      <c r="WMF98" s="353"/>
      <c r="WMG98" s="353"/>
      <c r="WMH98" s="353"/>
      <c r="WMI98" s="353"/>
      <c r="WMJ98" s="353"/>
      <c r="WMK98" s="353"/>
      <c r="WML98" s="353"/>
      <c r="WMM98" s="353"/>
      <c r="WMN98" s="353"/>
      <c r="WMO98" s="353"/>
      <c r="WMP98" s="353"/>
      <c r="WMQ98" s="353"/>
      <c r="WMR98" s="353"/>
      <c r="WMS98" s="353"/>
      <c r="WMT98" s="353"/>
      <c r="WMU98" s="353"/>
      <c r="WMV98" s="353"/>
      <c r="WMW98" s="353"/>
      <c r="WMX98" s="353"/>
      <c r="WMY98" s="353"/>
      <c r="WMZ98" s="353"/>
      <c r="WNA98" s="353"/>
      <c r="WNB98" s="353"/>
      <c r="WNC98" s="353"/>
      <c r="WND98" s="353"/>
      <c r="WNE98" s="353"/>
      <c r="WNF98" s="353"/>
      <c r="WNG98" s="353"/>
      <c r="WNH98" s="353"/>
      <c r="WNI98" s="353"/>
      <c r="WNJ98" s="353"/>
      <c r="WNK98" s="353"/>
      <c r="WNL98" s="353"/>
      <c r="WNM98" s="353"/>
      <c r="WNN98" s="353"/>
      <c r="WNO98" s="353"/>
      <c r="WNP98" s="353"/>
      <c r="WNQ98" s="353"/>
      <c r="WNR98" s="353"/>
      <c r="WNS98" s="353"/>
      <c r="WNT98" s="353"/>
      <c r="WNU98" s="353"/>
      <c r="WNV98" s="353"/>
      <c r="WNW98" s="353"/>
      <c r="WNX98" s="353"/>
      <c r="WNY98" s="353"/>
      <c r="WNZ98" s="353"/>
      <c r="WOA98" s="353"/>
      <c r="WOB98" s="353"/>
      <c r="WOC98" s="353"/>
      <c r="WOD98" s="353"/>
      <c r="WOE98" s="353"/>
      <c r="WOF98" s="353"/>
      <c r="WOG98" s="353"/>
      <c r="WOH98" s="353"/>
      <c r="WOI98" s="353"/>
      <c r="WOJ98" s="353"/>
      <c r="WOK98" s="353"/>
      <c r="WOL98" s="353"/>
      <c r="WOM98" s="353"/>
      <c r="WON98" s="353"/>
      <c r="WOO98" s="353"/>
      <c r="WOP98" s="353"/>
      <c r="WOQ98" s="353"/>
      <c r="WOR98" s="353"/>
      <c r="WOS98" s="353"/>
      <c r="WOT98" s="353"/>
      <c r="WOU98" s="353"/>
      <c r="WOV98" s="353"/>
      <c r="WOW98" s="353"/>
      <c r="WOX98" s="353"/>
      <c r="WOY98" s="353"/>
      <c r="WOZ98" s="353"/>
      <c r="WPA98" s="353"/>
      <c r="WPB98" s="353"/>
      <c r="WPC98" s="353"/>
      <c r="WPD98" s="353"/>
      <c r="WPE98" s="353"/>
      <c r="WPF98" s="353"/>
      <c r="WPG98" s="353"/>
      <c r="WPH98" s="353"/>
      <c r="WPI98" s="353"/>
      <c r="WPJ98" s="353"/>
      <c r="WPK98" s="353"/>
      <c r="WPL98" s="353"/>
      <c r="WPM98" s="353"/>
      <c r="WPN98" s="353"/>
      <c r="WPO98" s="353"/>
      <c r="WPP98" s="353"/>
      <c r="WPQ98" s="353"/>
      <c r="WPR98" s="353"/>
      <c r="WPS98" s="353"/>
      <c r="WPT98" s="353"/>
      <c r="WPU98" s="353"/>
      <c r="WPV98" s="353"/>
      <c r="WPW98" s="353"/>
      <c r="WPX98" s="353"/>
      <c r="WPY98" s="353"/>
      <c r="WPZ98" s="353"/>
      <c r="WQA98" s="353"/>
      <c r="WQB98" s="353"/>
      <c r="WQC98" s="353"/>
      <c r="WQD98" s="353"/>
      <c r="WQE98" s="353"/>
      <c r="WQF98" s="353"/>
      <c r="WQG98" s="353"/>
      <c r="WQH98" s="353"/>
      <c r="WQI98" s="353"/>
      <c r="WQJ98" s="353"/>
      <c r="WQK98" s="353"/>
      <c r="WQL98" s="353"/>
      <c r="WQM98" s="353"/>
      <c r="WQN98" s="353"/>
      <c r="WQO98" s="353"/>
      <c r="WQP98" s="353"/>
      <c r="WQQ98" s="353"/>
      <c r="WQR98" s="353"/>
      <c r="WQS98" s="353"/>
      <c r="WQT98" s="353"/>
      <c r="WQU98" s="353"/>
      <c r="WQV98" s="353"/>
      <c r="WQW98" s="353"/>
      <c r="WQX98" s="353"/>
      <c r="WQY98" s="353"/>
      <c r="WQZ98" s="353"/>
      <c r="WRA98" s="353"/>
      <c r="WRB98" s="353"/>
      <c r="WRC98" s="353"/>
      <c r="WRD98" s="353"/>
      <c r="WRE98" s="353"/>
      <c r="WRF98" s="353"/>
      <c r="WRG98" s="353"/>
      <c r="WRH98" s="353"/>
      <c r="WRI98" s="353"/>
      <c r="WRJ98" s="353"/>
      <c r="WRK98" s="353"/>
      <c r="WRL98" s="353"/>
      <c r="WRM98" s="353"/>
      <c r="WRN98" s="353"/>
      <c r="WRO98" s="353"/>
      <c r="WRP98" s="353"/>
      <c r="WRQ98" s="353"/>
      <c r="WRR98" s="353"/>
      <c r="WRS98" s="353"/>
      <c r="WRT98" s="353"/>
      <c r="WRU98" s="353"/>
      <c r="WRV98" s="353"/>
      <c r="WRW98" s="353"/>
      <c r="WRX98" s="353"/>
      <c r="WRY98" s="353"/>
      <c r="WRZ98" s="353"/>
      <c r="WSA98" s="353"/>
    </row>
    <row r="99" spans="1:16043" s="5" customFormat="1" ht="42.75">
      <c r="A99" s="215">
        <v>29</v>
      </c>
      <c r="B99" s="329" t="s">
        <v>1072</v>
      </c>
      <c r="C99" s="255" t="s">
        <v>843</v>
      </c>
      <c r="D99" s="330" t="s">
        <v>1073</v>
      </c>
      <c r="E99" s="751">
        <f t="shared" si="18"/>
        <v>0</v>
      </c>
      <c r="F99" s="751">
        <v>0</v>
      </c>
      <c r="G99" s="751">
        <v>0</v>
      </c>
      <c r="H99" s="751">
        <v>0</v>
      </c>
      <c r="I99" s="77">
        <f t="shared" si="10"/>
        <v>0</v>
      </c>
      <c r="J99" s="751">
        <f t="shared" si="11"/>
        <v>0</v>
      </c>
      <c r="K99" s="751">
        <f t="shared" si="12"/>
        <v>0</v>
      </c>
      <c r="L99" s="751">
        <f t="shared" si="13"/>
        <v>0</v>
      </c>
      <c r="M99" s="751">
        <f t="shared" si="14"/>
        <v>0</v>
      </c>
      <c r="N99" s="751">
        <f t="shared" si="15"/>
        <v>0</v>
      </c>
      <c r="O99" s="751">
        <f t="shared" si="16"/>
        <v>0</v>
      </c>
      <c r="P99" s="751">
        <f t="shared" si="17"/>
        <v>0</v>
      </c>
      <c r="Q99" s="751"/>
      <c r="R99" s="751"/>
      <c r="S99" s="777"/>
      <c r="T99" s="777"/>
      <c r="U99" s="333"/>
      <c r="V99" s="333"/>
      <c r="W99" s="333"/>
      <c r="X99" s="333"/>
      <c r="Y99" s="777"/>
      <c r="Z99" s="777"/>
      <c r="AA99" s="777"/>
      <c r="AB99" s="777"/>
      <c r="AC99" s="777"/>
      <c r="AD99" s="777"/>
      <c r="AE99" s="777"/>
      <c r="AF99" s="777"/>
      <c r="AG99" s="777"/>
      <c r="AH99" s="777"/>
      <c r="AI99" s="777"/>
      <c r="AJ99" s="777"/>
      <c r="AK99" s="777"/>
      <c r="AL99" s="777"/>
      <c r="AM99" s="777"/>
      <c r="AN99" s="777"/>
      <c r="AO99" s="777"/>
      <c r="AP99" s="777"/>
      <c r="AQ99" s="777"/>
      <c r="AR99" s="777"/>
      <c r="AS99" s="777"/>
      <c r="AT99" s="777"/>
      <c r="AU99" s="777"/>
      <c r="AV99" s="777"/>
      <c r="AW99" s="777"/>
      <c r="AX99" s="777"/>
      <c r="AY99" s="777"/>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c r="DA99" s="777"/>
      <c r="DB99" s="777"/>
      <c r="DC99" s="777"/>
      <c r="DD99" s="777"/>
      <c r="DE99" s="777"/>
      <c r="DF99" s="777"/>
      <c r="DG99" s="777"/>
      <c r="DH99" s="777"/>
      <c r="DI99" s="777"/>
      <c r="DJ99" s="777"/>
      <c r="DK99" s="777"/>
      <c r="DL99" s="777"/>
      <c r="DM99" s="777"/>
      <c r="DN99" s="777"/>
      <c r="DO99" s="777"/>
      <c r="DP99" s="777"/>
      <c r="DQ99" s="777"/>
      <c r="DR99" s="777"/>
      <c r="DS99" s="777"/>
      <c r="DT99" s="777"/>
      <c r="DU99" s="777"/>
      <c r="DV99" s="777"/>
      <c r="DW99" s="777"/>
      <c r="DX99" s="777"/>
      <c r="DY99" s="777"/>
      <c r="DZ99" s="777"/>
      <c r="EA99" s="777"/>
      <c r="EB99" s="777"/>
      <c r="EC99" s="777"/>
      <c r="ED99" s="777"/>
      <c r="EE99" s="777"/>
      <c r="EF99" s="777"/>
      <c r="EG99" s="777"/>
      <c r="EH99" s="777"/>
      <c r="EI99" s="777"/>
      <c r="EJ99" s="777"/>
      <c r="EK99" s="777"/>
      <c r="EL99" s="777"/>
      <c r="EM99" s="777"/>
      <c r="EN99" s="777"/>
      <c r="EO99" s="777"/>
      <c r="EP99" s="777"/>
      <c r="EQ99" s="777"/>
      <c r="ER99" s="777"/>
      <c r="ES99" s="777"/>
      <c r="ET99" s="777"/>
      <c r="EU99" s="777"/>
      <c r="EV99" s="777"/>
      <c r="EW99" s="777"/>
      <c r="EX99" s="333"/>
      <c r="EY99" s="339" t="s">
        <v>1074</v>
      </c>
      <c r="EZ99" s="339"/>
      <c r="FA99" s="354"/>
      <c r="FB99" s="355"/>
      <c r="FC99" s="356" t="s">
        <v>861</v>
      </c>
      <c r="FD99" s="19"/>
    </row>
    <row r="100" spans="1:16043" s="846" customFormat="1" ht="33" customHeight="1">
      <c r="A100" s="767"/>
      <c r="B100" s="1620" t="s">
        <v>1188</v>
      </c>
      <c r="C100" s="844" t="s">
        <v>843</v>
      </c>
      <c r="D100" s="847" t="s">
        <v>1189</v>
      </c>
      <c r="E100" s="751">
        <f t="shared" si="18"/>
        <v>0</v>
      </c>
      <c r="F100" s="751">
        <v>0</v>
      </c>
      <c r="G100" s="751">
        <v>0</v>
      </c>
      <c r="H100" s="751">
        <v>0</v>
      </c>
      <c r="I100" s="77">
        <f t="shared" si="10"/>
        <v>0</v>
      </c>
      <c r="J100" s="751">
        <f t="shared" si="11"/>
        <v>0</v>
      </c>
      <c r="K100" s="751">
        <f t="shared" si="12"/>
        <v>0</v>
      </c>
      <c r="L100" s="751">
        <f t="shared" si="13"/>
        <v>0</v>
      </c>
      <c r="M100" s="751">
        <f t="shared" si="14"/>
        <v>0</v>
      </c>
      <c r="N100" s="751">
        <f t="shared" si="15"/>
        <v>0</v>
      </c>
      <c r="O100" s="751">
        <f t="shared" si="16"/>
        <v>0</v>
      </c>
      <c r="P100" s="751">
        <f t="shared" si="17"/>
        <v>0</v>
      </c>
      <c r="Q100" s="751"/>
      <c r="R100" s="751"/>
      <c r="S100" s="848"/>
      <c r="T100" s="848"/>
      <c r="U100" s="770"/>
      <c r="V100" s="770"/>
      <c r="W100" s="770"/>
      <c r="X100" s="770"/>
      <c r="Y100" s="848"/>
      <c r="Z100" s="848"/>
      <c r="AA100" s="848"/>
      <c r="AB100" s="848"/>
      <c r="AC100" s="848"/>
      <c r="AD100" s="848"/>
      <c r="AE100" s="848"/>
      <c r="AF100" s="848"/>
      <c r="AG100" s="848"/>
      <c r="AH100" s="848"/>
      <c r="AI100" s="848"/>
      <c r="AJ100" s="848"/>
      <c r="AK100" s="848"/>
      <c r="AL100" s="848"/>
      <c r="AM100" s="848"/>
      <c r="AN100" s="848"/>
      <c r="AO100" s="848"/>
      <c r="AP100" s="848"/>
      <c r="AQ100" s="848"/>
      <c r="AR100" s="848"/>
      <c r="AS100" s="848"/>
      <c r="AT100" s="848"/>
      <c r="AU100" s="848"/>
      <c r="AV100" s="848"/>
      <c r="AW100" s="848"/>
      <c r="AX100" s="848"/>
      <c r="AY100" s="848"/>
      <c r="AZ100" s="848"/>
      <c r="BA100" s="848"/>
      <c r="BB100" s="848"/>
      <c r="BC100" s="848"/>
      <c r="BD100" s="848"/>
      <c r="BE100" s="848"/>
      <c r="BF100" s="848"/>
      <c r="BG100" s="848"/>
      <c r="BH100" s="848"/>
      <c r="BI100" s="848"/>
      <c r="BJ100" s="848"/>
      <c r="BK100" s="848"/>
      <c r="BL100" s="848"/>
      <c r="BM100" s="848"/>
      <c r="BN100" s="848"/>
      <c r="BO100" s="848"/>
      <c r="BP100" s="848"/>
      <c r="BQ100" s="848"/>
      <c r="BR100" s="848"/>
      <c r="BS100" s="848"/>
      <c r="BT100" s="848"/>
      <c r="BU100" s="848"/>
      <c r="BV100" s="848"/>
      <c r="BW100" s="848"/>
      <c r="BX100" s="848"/>
      <c r="BY100" s="848"/>
      <c r="BZ100" s="848"/>
      <c r="CA100" s="848"/>
      <c r="CB100" s="848"/>
      <c r="CC100" s="848"/>
      <c r="CD100" s="848"/>
      <c r="CE100" s="848"/>
      <c r="CF100" s="848"/>
      <c r="CG100" s="848"/>
      <c r="CH100" s="848"/>
      <c r="CI100" s="848"/>
      <c r="CJ100" s="848"/>
      <c r="CK100" s="848"/>
      <c r="CL100" s="848"/>
      <c r="CM100" s="848"/>
      <c r="CN100" s="848"/>
      <c r="CO100" s="848"/>
      <c r="CP100" s="848"/>
      <c r="CQ100" s="848"/>
      <c r="CR100" s="848"/>
      <c r="CS100" s="848"/>
      <c r="CT100" s="848"/>
      <c r="CU100" s="848"/>
      <c r="CV100" s="848"/>
      <c r="CW100" s="848"/>
      <c r="CX100" s="848"/>
      <c r="CY100" s="848"/>
      <c r="CZ100" s="848"/>
      <c r="DA100" s="848"/>
      <c r="DB100" s="848"/>
      <c r="DC100" s="848"/>
      <c r="DD100" s="848"/>
      <c r="DE100" s="848"/>
      <c r="DF100" s="848"/>
      <c r="DG100" s="848"/>
      <c r="DH100" s="848"/>
      <c r="DI100" s="848"/>
      <c r="DJ100" s="848"/>
      <c r="DK100" s="848"/>
      <c r="DL100" s="848"/>
      <c r="DM100" s="848"/>
      <c r="DN100" s="848"/>
      <c r="DO100" s="848"/>
      <c r="DP100" s="848"/>
      <c r="DQ100" s="848"/>
      <c r="DR100" s="848"/>
      <c r="DS100" s="848"/>
      <c r="DT100" s="848"/>
      <c r="DU100" s="848"/>
      <c r="DV100" s="848"/>
      <c r="DW100" s="848"/>
      <c r="DX100" s="848"/>
      <c r="DY100" s="848"/>
      <c r="DZ100" s="848"/>
      <c r="EA100" s="848"/>
      <c r="EB100" s="848"/>
      <c r="EC100" s="848"/>
      <c r="ED100" s="848"/>
      <c r="EE100" s="848"/>
      <c r="EF100" s="848"/>
      <c r="EG100" s="848"/>
      <c r="EH100" s="848"/>
      <c r="EI100" s="848"/>
      <c r="EJ100" s="848"/>
      <c r="EK100" s="848"/>
      <c r="EL100" s="848"/>
      <c r="EM100" s="848"/>
      <c r="EN100" s="848"/>
      <c r="EO100" s="848"/>
      <c r="EP100" s="848"/>
      <c r="EQ100" s="848"/>
      <c r="ER100" s="848"/>
      <c r="ES100" s="848"/>
      <c r="ET100" s="848"/>
      <c r="EU100" s="848"/>
      <c r="EV100" s="848"/>
      <c r="EW100" s="848"/>
      <c r="EX100" s="848"/>
      <c r="EY100" s="851" t="s">
        <v>1190</v>
      </c>
      <c r="EZ100" s="852"/>
      <c r="FA100" s="853"/>
      <c r="FB100" s="854"/>
      <c r="FC100" s="855" t="s">
        <v>1191</v>
      </c>
      <c r="FD100" s="19"/>
    </row>
    <row r="101" spans="1:16043" s="5" customFormat="1" ht="48.75" customHeight="1">
      <c r="A101" s="215">
        <v>30</v>
      </c>
      <c r="B101" s="1621"/>
      <c r="C101" s="845" t="s">
        <v>843</v>
      </c>
      <c r="D101" s="849" t="s">
        <v>1035</v>
      </c>
      <c r="E101" s="751">
        <f t="shared" si="18"/>
        <v>0</v>
      </c>
      <c r="F101" s="751">
        <v>0</v>
      </c>
      <c r="G101" s="751">
        <v>0</v>
      </c>
      <c r="H101" s="751">
        <v>0</v>
      </c>
      <c r="I101" s="77">
        <f t="shared" si="10"/>
        <v>0</v>
      </c>
      <c r="J101" s="751">
        <f t="shared" si="11"/>
        <v>0</v>
      </c>
      <c r="K101" s="751">
        <f t="shared" si="12"/>
        <v>0</v>
      </c>
      <c r="L101" s="751">
        <f t="shared" si="13"/>
        <v>0</v>
      </c>
      <c r="M101" s="751">
        <f t="shared" si="14"/>
        <v>0</v>
      </c>
      <c r="N101" s="751">
        <f t="shared" si="15"/>
        <v>0</v>
      </c>
      <c r="O101" s="751">
        <f t="shared" si="16"/>
        <v>0</v>
      </c>
      <c r="P101" s="751">
        <f t="shared" si="17"/>
        <v>0</v>
      </c>
      <c r="Q101" s="751"/>
      <c r="R101" s="751"/>
      <c r="S101" s="850"/>
      <c r="T101" s="850"/>
      <c r="U101" s="962"/>
      <c r="V101" s="962"/>
      <c r="W101" s="962"/>
      <c r="X101" s="962"/>
      <c r="Y101" s="962"/>
      <c r="Z101" s="962"/>
      <c r="AA101" s="962"/>
      <c r="AB101" s="962"/>
      <c r="AC101" s="962"/>
      <c r="AD101" s="962"/>
      <c r="AE101" s="962"/>
      <c r="AF101" s="962"/>
      <c r="AG101" s="962"/>
      <c r="AH101" s="962"/>
      <c r="AI101" s="962"/>
      <c r="AJ101" s="962"/>
      <c r="AK101" s="962"/>
      <c r="AL101" s="962"/>
      <c r="AM101" s="962"/>
      <c r="AN101" s="962"/>
      <c r="AO101" s="962"/>
      <c r="AP101" s="962"/>
      <c r="AQ101" s="962"/>
      <c r="AR101" s="962"/>
      <c r="AS101" s="962"/>
      <c r="AT101" s="962"/>
      <c r="AU101" s="962"/>
      <c r="AV101" s="962"/>
      <c r="AW101" s="962"/>
      <c r="AX101" s="962"/>
      <c r="AY101" s="962"/>
      <c r="AZ101" s="962"/>
      <c r="BA101" s="962"/>
      <c r="BB101" s="962"/>
      <c r="BC101" s="962"/>
      <c r="BD101" s="962"/>
      <c r="BE101" s="962"/>
      <c r="BF101" s="962"/>
      <c r="BG101" s="962"/>
      <c r="BH101" s="962"/>
      <c r="BI101" s="962"/>
      <c r="BJ101" s="962"/>
      <c r="BK101" s="962"/>
      <c r="BL101" s="962"/>
      <c r="BM101" s="962"/>
      <c r="BN101" s="962"/>
      <c r="BO101" s="962"/>
      <c r="BP101" s="962"/>
      <c r="BQ101" s="962"/>
      <c r="BR101" s="962"/>
      <c r="BS101" s="962"/>
      <c r="BT101" s="962"/>
      <c r="BU101" s="962"/>
      <c r="BV101" s="962"/>
      <c r="BW101" s="962"/>
      <c r="BX101" s="962"/>
      <c r="BY101" s="962"/>
      <c r="BZ101" s="962"/>
      <c r="CA101" s="962"/>
      <c r="CB101" s="962"/>
      <c r="CC101" s="962"/>
      <c r="CD101" s="962"/>
      <c r="CE101" s="962"/>
      <c r="CF101" s="962"/>
      <c r="CG101" s="962"/>
      <c r="CH101" s="962"/>
      <c r="CI101" s="962"/>
      <c r="CJ101" s="962"/>
      <c r="CK101" s="962"/>
      <c r="CL101" s="962"/>
      <c r="CM101" s="962"/>
      <c r="CN101" s="962"/>
      <c r="CO101" s="962"/>
      <c r="CP101" s="962"/>
      <c r="CQ101" s="962"/>
      <c r="CR101" s="962"/>
      <c r="CS101" s="962"/>
      <c r="CT101" s="962"/>
      <c r="CU101" s="962"/>
      <c r="CV101" s="962"/>
      <c r="CW101" s="962"/>
      <c r="CX101" s="962"/>
      <c r="CY101" s="962"/>
      <c r="CZ101" s="962"/>
      <c r="DA101" s="962"/>
      <c r="DB101" s="962"/>
      <c r="DC101" s="962"/>
      <c r="DD101" s="962"/>
      <c r="DE101" s="962"/>
      <c r="DF101" s="962"/>
      <c r="DG101" s="962"/>
      <c r="DH101" s="962"/>
      <c r="DI101" s="962"/>
      <c r="DJ101" s="962"/>
      <c r="DK101" s="962"/>
      <c r="DL101" s="962"/>
      <c r="DM101" s="962"/>
      <c r="DN101" s="962"/>
      <c r="DO101" s="962"/>
      <c r="DP101" s="962"/>
      <c r="DQ101" s="962"/>
      <c r="DR101" s="962"/>
      <c r="DS101" s="962"/>
      <c r="DT101" s="962"/>
      <c r="DU101" s="962"/>
      <c r="DV101" s="962"/>
      <c r="DW101" s="962"/>
      <c r="DX101" s="962"/>
      <c r="DY101" s="962"/>
      <c r="DZ101" s="962"/>
      <c r="EA101" s="962"/>
      <c r="EB101" s="962"/>
      <c r="EC101" s="962"/>
      <c r="ED101" s="962"/>
      <c r="EE101" s="962"/>
      <c r="EF101" s="962"/>
      <c r="EG101" s="962"/>
      <c r="EH101" s="962"/>
      <c r="EI101" s="962"/>
      <c r="EJ101" s="962"/>
      <c r="EK101" s="962"/>
      <c r="EL101" s="962"/>
      <c r="EM101" s="962"/>
      <c r="EN101" s="962"/>
      <c r="EO101" s="962"/>
      <c r="EP101" s="962"/>
      <c r="EQ101" s="962"/>
      <c r="ER101" s="962"/>
      <c r="ES101" s="962"/>
      <c r="ET101" s="962"/>
      <c r="EU101" s="962"/>
      <c r="EV101" s="962"/>
      <c r="EW101" s="962"/>
      <c r="EX101" s="850"/>
      <c r="EY101" s="843"/>
      <c r="EZ101" s="843"/>
      <c r="FA101" s="843"/>
      <c r="FB101" s="843"/>
      <c r="FC101" s="843"/>
    </row>
    <row r="103" spans="1:16043" hidden="1">
      <c r="B103" s="6"/>
    </row>
    <row r="104" spans="1:16043" hidden="1">
      <c r="B104" s="5"/>
    </row>
    <row r="105" spans="1:16043" hidden="1">
      <c r="B105" s="5"/>
    </row>
    <row r="106" spans="1:16043" hidden="1">
      <c r="B106" s="5"/>
    </row>
    <row r="107" spans="1:16043" hidden="1">
      <c r="B107" s="5"/>
    </row>
    <row r="108" spans="1:16043" hidden="1">
      <c r="B108" s="5"/>
    </row>
    <row r="109" spans="1:16043" hidden="1">
      <c r="B109" s="5"/>
    </row>
    <row r="110" spans="1:16043" hidden="1">
      <c r="B110" s="5"/>
    </row>
    <row r="111" spans="1:16043" hidden="1">
      <c r="B111" s="5"/>
    </row>
    <row r="112" spans="1:16043" hidden="1">
      <c r="B112" s="5"/>
    </row>
    <row r="113" spans="2:2" hidden="1">
      <c r="B113" s="5"/>
    </row>
    <row r="114" spans="2:2" hidden="1">
      <c r="B114" s="5"/>
    </row>
    <row r="115" spans="2:2" hidden="1">
      <c r="B115" s="5"/>
    </row>
    <row r="116" spans="2:2" hidden="1">
      <c r="B116" s="5"/>
    </row>
    <row r="117" spans="2:2" hidden="1">
      <c r="B117" s="5"/>
    </row>
    <row r="118" spans="2:2" hidden="1">
      <c r="B118" s="5"/>
    </row>
    <row r="119" spans="2:2" hidden="1">
      <c r="B119" s="5"/>
    </row>
    <row r="120" spans="2:2" hidden="1">
      <c r="B120" s="5"/>
    </row>
    <row r="121" spans="2:2" hidden="1">
      <c r="B121" s="5"/>
    </row>
    <row r="122" spans="2:2" hidden="1">
      <c r="B122" s="5"/>
    </row>
    <row r="123" spans="2:2" hidden="1">
      <c r="B123" s="5"/>
    </row>
    <row r="124" spans="2:2" hidden="1">
      <c r="B124" s="5"/>
    </row>
    <row r="125" spans="2:2" hidden="1">
      <c r="B125" s="5"/>
    </row>
    <row r="126" spans="2:2" hidden="1">
      <c r="B126" s="5"/>
    </row>
    <row r="127" spans="2:2" hidden="1">
      <c r="B127" s="5"/>
    </row>
    <row r="128" spans="2:2" hidden="1">
      <c r="B128" s="5"/>
    </row>
    <row r="129" spans="2:2" hidden="1">
      <c r="B129" s="5"/>
    </row>
    <row r="130" spans="2:2" hidden="1">
      <c r="B130" s="5"/>
    </row>
    <row r="131" spans="2:2" hidden="1">
      <c r="B131" s="5"/>
    </row>
    <row r="132" spans="2:2" hidden="1">
      <c r="B132" s="5"/>
    </row>
    <row r="133" spans="2:2" hidden="1">
      <c r="B133" s="5"/>
    </row>
    <row r="134" spans="2:2" hidden="1">
      <c r="B134" s="5"/>
    </row>
    <row r="135" spans="2:2" hidden="1">
      <c r="B135" s="5"/>
    </row>
    <row r="136" spans="2:2" hidden="1">
      <c r="B136" s="5"/>
    </row>
    <row r="137" spans="2:2" hidden="1">
      <c r="B137" s="5"/>
    </row>
    <row r="138" spans="2:2" hidden="1">
      <c r="B138" s="5"/>
    </row>
    <row r="139" spans="2:2" hidden="1">
      <c r="B139" s="5"/>
    </row>
    <row r="140" spans="2:2" hidden="1">
      <c r="B140" s="5"/>
    </row>
    <row r="141" spans="2:2" hidden="1">
      <c r="B141" s="5"/>
    </row>
    <row r="142" spans="2:2" hidden="1">
      <c r="B142" s="5"/>
    </row>
    <row r="143" spans="2:2" hidden="1">
      <c r="B143" s="5"/>
    </row>
    <row r="144" spans="2:2" hidden="1">
      <c r="B144" s="5"/>
    </row>
    <row r="145" spans="2:2" hidden="1">
      <c r="B145" s="5"/>
    </row>
    <row r="146" spans="2:2" hidden="1">
      <c r="B146" s="5"/>
    </row>
    <row r="147" spans="2:2" hidden="1">
      <c r="B147" s="5"/>
    </row>
    <row r="148" spans="2:2" hidden="1">
      <c r="B148" s="5"/>
    </row>
    <row r="149" spans="2:2" hidden="1">
      <c r="B149" s="5"/>
    </row>
    <row r="150" spans="2:2" hidden="1">
      <c r="B150" s="5"/>
    </row>
    <row r="151" spans="2:2" hidden="1">
      <c r="B151" s="5"/>
    </row>
    <row r="152" spans="2:2" hidden="1">
      <c r="B152" s="5"/>
    </row>
    <row r="153" spans="2:2" hidden="1">
      <c r="B153" s="5"/>
    </row>
    <row r="154" spans="2:2" hidden="1">
      <c r="B154" s="5"/>
    </row>
    <row r="155" spans="2:2" hidden="1">
      <c r="B155" s="5"/>
    </row>
    <row r="156" spans="2:2" hidden="1">
      <c r="B156" s="5"/>
    </row>
    <row r="157" spans="2:2" hidden="1">
      <c r="B157" s="5"/>
    </row>
    <row r="158" spans="2:2" hidden="1">
      <c r="B158" s="5"/>
    </row>
    <row r="159" spans="2:2" hidden="1">
      <c r="B159" s="5"/>
    </row>
    <row r="160" spans="2:2" hidden="1">
      <c r="B160" s="5"/>
    </row>
    <row r="161" spans="2:2" hidden="1">
      <c r="B161" s="5"/>
    </row>
    <row r="162" spans="2:2" hidden="1">
      <c r="B162" s="5"/>
    </row>
    <row r="163" spans="2:2" hidden="1">
      <c r="B163" s="5"/>
    </row>
    <row r="164" spans="2:2" hidden="1">
      <c r="B164" s="5"/>
    </row>
    <row r="165" spans="2:2" hidden="1">
      <c r="B165" s="5"/>
    </row>
    <row r="166" spans="2:2" hidden="1">
      <c r="B166" s="5"/>
    </row>
    <row r="167" spans="2:2" hidden="1">
      <c r="B167" s="5"/>
    </row>
    <row r="168" spans="2:2" hidden="1">
      <c r="B168" s="5"/>
    </row>
    <row r="169" spans="2:2" hidden="1">
      <c r="B169" s="5"/>
    </row>
    <row r="170" spans="2:2" hidden="1">
      <c r="B170" s="5"/>
    </row>
    <row r="171" spans="2:2" hidden="1">
      <c r="B171" s="5"/>
    </row>
    <row r="172" spans="2:2" hidden="1">
      <c r="B172" s="5"/>
    </row>
    <row r="173" spans="2:2" hidden="1">
      <c r="B173" s="5"/>
    </row>
    <row r="174" spans="2:2" hidden="1">
      <c r="B174" s="5"/>
    </row>
    <row r="175" spans="2:2" hidden="1">
      <c r="B175" s="5"/>
    </row>
    <row r="176" spans="2:2" hidden="1">
      <c r="B176" s="5"/>
    </row>
    <row r="177" spans="2:2" hidden="1">
      <c r="B177" s="5"/>
    </row>
    <row r="178" spans="2:2" hidden="1">
      <c r="B178" s="5"/>
    </row>
    <row r="179" spans="2:2" hidden="1">
      <c r="B179" s="5"/>
    </row>
    <row r="180" spans="2:2" hidden="1">
      <c r="B180" s="5"/>
    </row>
    <row r="181" spans="2:2" hidden="1">
      <c r="B181" s="5"/>
    </row>
    <row r="182" spans="2:2" hidden="1">
      <c r="B182" s="5"/>
    </row>
    <row r="183" spans="2:2" hidden="1">
      <c r="B183" s="5"/>
    </row>
    <row r="184" spans="2:2" hidden="1">
      <c r="B184" s="5"/>
    </row>
    <row r="185" spans="2:2" hidden="1">
      <c r="B185" s="5"/>
    </row>
    <row r="186" spans="2:2" hidden="1">
      <c r="B186" s="5"/>
    </row>
    <row r="187" spans="2:2" hidden="1">
      <c r="B187" s="5"/>
    </row>
    <row r="188" spans="2:2" hidden="1">
      <c r="B188" s="5"/>
    </row>
    <row r="189" spans="2:2" hidden="1">
      <c r="B189" s="5"/>
    </row>
    <row r="190" spans="2:2" hidden="1">
      <c r="B190" s="5"/>
    </row>
    <row r="191" spans="2:2" hidden="1">
      <c r="B191" s="5"/>
    </row>
    <row r="192" spans="2:2" hidden="1">
      <c r="B192" s="5"/>
    </row>
    <row r="193" spans="2:2" hidden="1">
      <c r="B193" s="5"/>
    </row>
    <row r="194" spans="2:2" hidden="1">
      <c r="B194" s="5"/>
    </row>
    <row r="195" spans="2:2" hidden="1">
      <c r="B195" s="5"/>
    </row>
    <row r="196" spans="2:2" hidden="1">
      <c r="B196" s="5"/>
    </row>
    <row r="197" spans="2:2" hidden="1">
      <c r="B197" s="5"/>
    </row>
    <row r="198" spans="2:2" hidden="1">
      <c r="B198" s="5"/>
    </row>
    <row r="199" spans="2:2" hidden="1">
      <c r="B199" s="5"/>
    </row>
    <row r="200" spans="2:2" hidden="1">
      <c r="B200" s="5"/>
    </row>
    <row r="201" spans="2:2" hidden="1">
      <c r="B201" s="5"/>
    </row>
    <row r="202" spans="2:2" hidden="1">
      <c r="B202" s="5"/>
    </row>
    <row r="203" spans="2:2" hidden="1">
      <c r="B203" s="5"/>
    </row>
    <row r="204" spans="2:2" hidden="1">
      <c r="B204" s="5"/>
    </row>
    <row r="205" spans="2:2" hidden="1">
      <c r="B205" s="5"/>
    </row>
    <row r="206" spans="2:2" hidden="1">
      <c r="B206" s="5"/>
    </row>
    <row r="207" spans="2:2" hidden="1">
      <c r="B207" s="5"/>
    </row>
    <row r="208" spans="2:2" hidden="1">
      <c r="B208" s="5"/>
    </row>
    <row r="209" spans="2:2" hidden="1">
      <c r="B209" s="5"/>
    </row>
    <row r="210" spans="2:2" hidden="1">
      <c r="B210" s="5"/>
    </row>
    <row r="211" spans="2:2" hidden="1">
      <c r="B211" s="5"/>
    </row>
    <row r="212" spans="2:2" hidden="1">
      <c r="B212" s="5"/>
    </row>
    <row r="213" spans="2:2" hidden="1">
      <c r="B213" s="5"/>
    </row>
    <row r="214" spans="2:2" hidden="1">
      <c r="B214" s="5"/>
    </row>
    <row r="215" spans="2:2" hidden="1">
      <c r="B215" s="5"/>
    </row>
    <row r="216" spans="2:2" hidden="1">
      <c r="B216" s="5"/>
    </row>
    <row r="217" spans="2:2" hidden="1">
      <c r="B217" s="5"/>
    </row>
    <row r="218" spans="2:2" hidden="1">
      <c r="B218" s="5"/>
    </row>
    <row r="219" spans="2:2" hidden="1">
      <c r="B219" s="5"/>
    </row>
    <row r="220" spans="2:2" hidden="1">
      <c r="B220" s="5"/>
    </row>
    <row r="221" spans="2:2" hidden="1">
      <c r="B221" s="5"/>
    </row>
    <row r="222" spans="2:2" hidden="1">
      <c r="B222" s="5"/>
    </row>
    <row r="223" spans="2:2" hidden="1">
      <c r="B223" s="5"/>
    </row>
    <row r="224" spans="2:2" hidden="1">
      <c r="B224" s="5"/>
    </row>
    <row r="225" spans="2:2" hidden="1">
      <c r="B225" s="5"/>
    </row>
    <row r="226" spans="2:2" hidden="1">
      <c r="B226" s="5"/>
    </row>
    <row r="227" spans="2:2" hidden="1">
      <c r="B227" s="5"/>
    </row>
    <row r="228" spans="2:2" hidden="1">
      <c r="B228" s="5"/>
    </row>
    <row r="229" spans="2:2" hidden="1">
      <c r="B229" s="5"/>
    </row>
    <row r="230" spans="2:2" hidden="1">
      <c r="B230" s="5"/>
    </row>
    <row r="231" spans="2:2" hidden="1">
      <c r="B231" s="5"/>
    </row>
    <row r="232" spans="2:2" hidden="1">
      <c r="B232" s="5"/>
    </row>
    <row r="233" spans="2:2" hidden="1">
      <c r="B233" s="5"/>
    </row>
    <row r="234" spans="2:2" hidden="1">
      <c r="B234" s="5"/>
    </row>
    <row r="235" spans="2:2" hidden="1">
      <c r="B235" s="5"/>
    </row>
    <row r="236" spans="2:2" hidden="1">
      <c r="B236" s="5"/>
    </row>
    <row r="237" spans="2:2" hidden="1">
      <c r="B237" s="5"/>
    </row>
    <row r="238" spans="2:2" hidden="1">
      <c r="B238" s="5"/>
    </row>
    <row r="239" spans="2:2" hidden="1">
      <c r="B239" s="5"/>
    </row>
    <row r="240" spans="2:2" hidden="1">
      <c r="B240" s="5"/>
    </row>
    <row r="241" spans="2:2" hidden="1">
      <c r="B241" s="5"/>
    </row>
    <row r="242" spans="2:2" hidden="1">
      <c r="B242" s="5"/>
    </row>
    <row r="243" spans="2:2" hidden="1">
      <c r="B243" s="5"/>
    </row>
    <row r="244" spans="2:2" hidden="1">
      <c r="B244" s="5"/>
    </row>
    <row r="245" spans="2:2" hidden="1">
      <c r="B245" s="5"/>
    </row>
    <row r="246" spans="2:2" hidden="1">
      <c r="B246" s="5"/>
    </row>
    <row r="247" spans="2:2" hidden="1">
      <c r="B247" s="5"/>
    </row>
    <row r="248" spans="2:2" hidden="1">
      <c r="B248" s="5"/>
    </row>
    <row r="249" spans="2:2" hidden="1">
      <c r="B249" s="5"/>
    </row>
    <row r="250" spans="2:2" hidden="1">
      <c r="B250" s="5"/>
    </row>
    <row r="251" spans="2:2" hidden="1">
      <c r="B251" s="5"/>
    </row>
    <row r="252" spans="2:2" hidden="1">
      <c r="B252" s="5"/>
    </row>
    <row r="253" spans="2:2" hidden="1">
      <c r="B253" s="5"/>
    </row>
    <row r="254" spans="2:2" hidden="1">
      <c r="B254" s="5"/>
    </row>
    <row r="255" spans="2:2" hidden="1">
      <c r="B255" s="5"/>
    </row>
    <row r="256" spans="2:2" hidden="1">
      <c r="B256" s="5"/>
    </row>
    <row r="257" spans="2:2" hidden="1">
      <c r="B257" s="5"/>
    </row>
    <row r="258" spans="2:2" hidden="1">
      <c r="B258" s="5"/>
    </row>
    <row r="259" spans="2:2" hidden="1">
      <c r="B259" s="5"/>
    </row>
    <row r="260" spans="2:2" hidden="1">
      <c r="B260" s="5"/>
    </row>
    <row r="261" spans="2:2" hidden="1">
      <c r="B261" s="5"/>
    </row>
    <row r="262" spans="2:2" hidden="1">
      <c r="B262" s="5"/>
    </row>
    <row r="263" spans="2:2" hidden="1">
      <c r="B263" s="5"/>
    </row>
    <row r="264" spans="2:2" hidden="1">
      <c r="B264" s="5"/>
    </row>
    <row r="265" spans="2:2" hidden="1">
      <c r="B265" s="5"/>
    </row>
    <row r="266" spans="2:2" hidden="1">
      <c r="B266" s="5"/>
    </row>
    <row r="267" spans="2:2" hidden="1">
      <c r="B267" s="5"/>
    </row>
    <row r="268" spans="2:2" hidden="1">
      <c r="B268" s="5"/>
    </row>
    <row r="269" spans="2:2" hidden="1">
      <c r="B269" s="5"/>
    </row>
    <row r="270" spans="2:2" hidden="1">
      <c r="B270" s="5"/>
    </row>
    <row r="271" spans="2:2" hidden="1">
      <c r="B271" s="5"/>
    </row>
    <row r="272" spans="2:2" hidden="1">
      <c r="B272" s="5"/>
    </row>
    <row r="273" spans="2:2" hidden="1">
      <c r="B273" s="5"/>
    </row>
    <row r="274" spans="2:2" hidden="1">
      <c r="B274" s="5"/>
    </row>
    <row r="275" spans="2:2" hidden="1">
      <c r="B275" s="5"/>
    </row>
    <row r="276" spans="2:2" hidden="1">
      <c r="B276" s="5"/>
    </row>
    <row r="277" spans="2:2" hidden="1">
      <c r="B277" s="5"/>
    </row>
    <row r="278" spans="2:2" hidden="1">
      <c r="B278" s="5"/>
    </row>
    <row r="279" spans="2:2" hidden="1">
      <c r="B279" s="5"/>
    </row>
    <row r="280" spans="2:2" hidden="1">
      <c r="B280" s="5"/>
    </row>
    <row r="281" spans="2:2" hidden="1">
      <c r="B281" s="5"/>
    </row>
    <row r="282" spans="2:2" hidden="1">
      <c r="B282" s="5"/>
    </row>
    <row r="283" spans="2:2" hidden="1">
      <c r="B283" s="5"/>
    </row>
    <row r="284" spans="2:2" hidden="1">
      <c r="B284" s="5"/>
    </row>
    <row r="285" spans="2:2" hidden="1">
      <c r="B285" s="5"/>
    </row>
    <row r="286" spans="2:2" hidden="1">
      <c r="B286" s="5"/>
    </row>
    <row r="287" spans="2:2" hidden="1">
      <c r="B287" s="5"/>
    </row>
    <row r="288" spans="2:2" hidden="1">
      <c r="B288" s="5"/>
    </row>
    <row r="289" spans="2:2" hidden="1">
      <c r="B289" s="5"/>
    </row>
    <row r="290" spans="2:2" hidden="1">
      <c r="B290" s="5"/>
    </row>
    <row r="291" spans="2:2" hidden="1">
      <c r="B291" s="5"/>
    </row>
    <row r="292" spans="2:2" hidden="1">
      <c r="B292" s="5"/>
    </row>
    <row r="293" spans="2:2" hidden="1">
      <c r="B293" s="5"/>
    </row>
    <row r="294" spans="2:2" hidden="1">
      <c r="B294" s="5"/>
    </row>
    <row r="295" spans="2:2" hidden="1">
      <c r="B295" s="5"/>
    </row>
    <row r="296" spans="2:2" hidden="1">
      <c r="B296" s="5"/>
    </row>
    <row r="297" spans="2:2" hidden="1">
      <c r="B297" s="5"/>
    </row>
    <row r="298" spans="2:2" hidden="1">
      <c r="B298" s="5"/>
    </row>
    <row r="299" spans="2:2" hidden="1">
      <c r="B299" s="5"/>
    </row>
    <row r="300" spans="2:2" hidden="1">
      <c r="B300" s="5"/>
    </row>
    <row r="301" spans="2:2" hidden="1">
      <c r="B301" s="5"/>
    </row>
    <row r="302" spans="2:2" hidden="1">
      <c r="B302" s="5"/>
    </row>
    <row r="303" spans="2:2" hidden="1">
      <c r="B303" s="5"/>
    </row>
    <row r="304" spans="2:2" hidden="1">
      <c r="B304" s="5"/>
    </row>
    <row r="305" spans="2:2" hidden="1">
      <c r="B305" s="5"/>
    </row>
    <row r="306" spans="2:2" hidden="1">
      <c r="B306" s="5"/>
    </row>
    <row r="307" spans="2:2" hidden="1">
      <c r="B307" s="5"/>
    </row>
    <row r="308" spans="2:2" hidden="1">
      <c r="B308" s="5"/>
    </row>
    <row r="309" spans="2:2" hidden="1">
      <c r="B309" s="5"/>
    </row>
    <row r="310" spans="2:2" hidden="1">
      <c r="B310" s="5"/>
    </row>
    <row r="311" spans="2:2" hidden="1">
      <c r="B311" s="5"/>
    </row>
    <row r="312" spans="2:2" hidden="1">
      <c r="B312" s="5"/>
    </row>
    <row r="313" spans="2:2" hidden="1">
      <c r="B313" s="5"/>
    </row>
    <row r="314" spans="2:2" hidden="1">
      <c r="B314" s="5"/>
    </row>
    <row r="315" spans="2:2" hidden="1">
      <c r="B315" s="5"/>
    </row>
    <row r="316" spans="2:2" hidden="1">
      <c r="B316" s="5"/>
    </row>
    <row r="317" spans="2:2" hidden="1">
      <c r="B317" s="5"/>
    </row>
    <row r="318" spans="2:2" hidden="1">
      <c r="B318" s="5"/>
    </row>
    <row r="319" spans="2:2" hidden="1">
      <c r="B319" s="5"/>
    </row>
    <row r="320" spans="2:2" hidden="1">
      <c r="B320" s="5"/>
    </row>
    <row r="321" spans="2:2" hidden="1">
      <c r="B321" s="5"/>
    </row>
    <row r="322" spans="2:2" hidden="1">
      <c r="B322" s="5"/>
    </row>
    <row r="323" spans="2:2" hidden="1">
      <c r="B323" s="5"/>
    </row>
    <row r="324" spans="2:2" hidden="1">
      <c r="B324" s="5"/>
    </row>
    <row r="325" spans="2:2" hidden="1">
      <c r="B325" s="5"/>
    </row>
    <row r="326" spans="2:2" hidden="1">
      <c r="B326" s="5"/>
    </row>
    <row r="327" spans="2:2" hidden="1">
      <c r="B327" s="5"/>
    </row>
    <row r="328" spans="2:2" hidden="1">
      <c r="B328" s="5"/>
    </row>
    <row r="329" spans="2:2" hidden="1">
      <c r="B329" s="5"/>
    </row>
    <row r="330" spans="2:2" hidden="1">
      <c r="B330" s="5"/>
    </row>
    <row r="331" spans="2:2" hidden="1">
      <c r="B331" s="5"/>
    </row>
    <row r="332" spans="2:2" hidden="1">
      <c r="B332" s="5"/>
    </row>
    <row r="333" spans="2:2" hidden="1">
      <c r="B333" s="5"/>
    </row>
    <row r="334" spans="2:2" hidden="1">
      <c r="B334" s="88"/>
    </row>
  </sheetData>
  <autoFilter ref="A49:FD101">
    <filterColumn colId="4"/>
    <filterColumn colId="5"/>
    <filterColumn colId="6"/>
    <filterColumn colId="7"/>
    <filterColumn colId="8"/>
    <filterColumn colId="9"/>
    <filterColumn colId="10"/>
    <filterColumn colId="11"/>
    <filterColumn colId="12"/>
    <filterColumn colId="18"/>
    <filterColumn colId="19"/>
    <filterColumn colId="20"/>
    <filterColumn colId="21"/>
    <filterColumn colId="22"/>
    <filterColumn colId="23"/>
    <filterColumn colId="24"/>
    <filterColumn colId="25"/>
    <filterColumn colId="26"/>
    <filterColumn colId="27"/>
    <filterColumn colId="28"/>
    <filterColumn colId="29"/>
    <filterColumn colId="30"/>
    <filterColumn colId="31"/>
    <filterColumn colId="32"/>
    <filterColumn colId="33"/>
    <filterColumn colId="34"/>
    <filterColumn colId="35"/>
    <filterColumn colId="36"/>
    <filterColumn colId="37"/>
    <filterColumn colId="38"/>
    <filterColumn colId="39"/>
    <filterColumn colId="40"/>
    <filterColumn colId="41"/>
    <filterColumn colId="42"/>
    <filterColumn colId="43"/>
    <filterColumn colId="44"/>
    <filterColumn colId="45"/>
    <filterColumn colId="46"/>
    <filterColumn colId="47"/>
    <filterColumn colId="48"/>
    <filterColumn colId="49"/>
    <filterColumn colId="50"/>
    <filterColumn colId="51"/>
    <filterColumn colId="52"/>
    <filterColumn colId="53"/>
    <filterColumn colId="54"/>
    <filterColumn colId="55"/>
    <filterColumn colId="56"/>
    <filterColumn colId="57"/>
    <filterColumn colId="58"/>
    <filterColumn colId="59"/>
    <filterColumn colId="60"/>
    <filterColumn colId="61"/>
    <filterColumn colId="62"/>
    <filterColumn colId="63"/>
    <filterColumn colId="64"/>
    <filterColumn colId="65"/>
    <filterColumn colId="66"/>
    <filterColumn colId="67"/>
    <filterColumn colId="68"/>
    <filterColumn colId="69"/>
    <filterColumn colId="70"/>
    <filterColumn colId="71"/>
    <filterColumn colId="72"/>
    <filterColumn colId="73"/>
    <filterColumn colId="74"/>
    <filterColumn colId="75"/>
    <filterColumn colId="76"/>
    <filterColumn colId="77"/>
    <filterColumn colId="78"/>
    <filterColumn colId="79"/>
    <filterColumn colId="80"/>
    <filterColumn colId="81"/>
    <filterColumn colId="82"/>
    <filterColumn colId="83"/>
    <filterColumn colId="84"/>
    <filterColumn colId="85"/>
    <filterColumn colId="86"/>
    <filterColumn colId="87"/>
    <filterColumn colId="88"/>
    <filterColumn colId="89"/>
    <filterColumn colId="90"/>
    <filterColumn colId="91"/>
    <filterColumn colId="92"/>
    <filterColumn colId="93"/>
    <filterColumn colId="94"/>
    <filterColumn colId="95"/>
    <filterColumn colId="96"/>
    <filterColumn colId="97"/>
    <filterColumn colId="98"/>
    <filterColumn colId="99"/>
    <filterColumn colId="100"/>
    <filterColumn colId="101"/>
    <filterColumn colId="102"/>
    <filterColumn colId="103"/>
    <filterColumn colId="104"/>
    <filterColumn colId="105"/>
    <filterColumn colId="106"/>
    <filterColumn colId="107"/>
    <filterColumn colId="108"/>
    <filterColumn colId="109"/>
    <filterColumn colId="110"/>
    <filterColumn colId="111"/>
    <filterColumn colId="112"/>
    <filterColumn colId="113"/>
    <filterColumn colId="114"/>
    <filterColumn colId="115"/>
    <filterColumn colId="116"/>
    <filterColumn colId="117"/>
    <filterColumn colId="118"/>
    <filterColumn colId="119"/>
    <filterColumn colId="120"/>
    <filterColumn colId="121"/>
    <filterColumn colId="122"/>
    <filterColumn colId="123"/>
    <filterColumn colId="124"/>
    <filterColumn colId="125"/>
    <filterColumn colId="126"/>
    <filterColumn colId="127"/>
    <filterColumn colId="128"/>
    <filterColumn colId="129"/>
    <filterColumn colId="130"/>
    <filterColumn colId="131"/>
    <filterColumn colId="132"/>
    <filterColumn colId="133"/>
    <filterColumn colId="134"/>
    <filterColumn colId="135"/>
    <filterColumn colId="136"/>
    <filterColumn colId="137"/>
    <filterColumn colId="138"/>
    <filterColumn colId="139"/>
    <filterColumn colId="140"/>
    <filterColumn colId="141"/>
    <filterColumn colId="142"/>
    <filterColumn colId="143"/>
    <filterColumn colId="144"/>
    <filterColumn colId="145"/>
    <filterColumn colId="146"/>
    <filterColumn colId="147"/>
    <filterColumn colId="148"/>
    <filterColumn colId="149"/>
    <filterColumn colId="150"/>
    <filterColumn colId="151"/>
    <filterColumn colId="152"/>
    <filterColumn colId="153"/>
    <extLst/>
  </autoFilter>
  <mergeCells count="34">
    <mergeCell ref="FB46:FB48"/>
    <mergeCell ref="FC46:FC48"/>
    <mergeCell ref="Q46:Q48"/>
    <mergeCell ref="R46:R48"/>
    <mergeCell ref="EY46:EY48"/>
    <mergeCell ref="EZ46:EZ48"/>
    <mergeCell ref="FA46:FA48"/>
    <mergeCell ref="N46:N48"/>
    <mergeCell ref="O46:O48"/>
    <mergeCell ref="P46:P48"/>
    <mergeCell ref="F46:F48"/>
    <mergeCell ref="G46:G48"/>
    <mergeCell ref="H46:H48"/>
    <mergeCell ref="I46:I48"/>
    <mergeCell ref="J46:J48"/>
    <mergeCell ref="K46:K48"/>
    <mergeCell ref="L46:L48"/>
    <mergeCell ref="M46:M48"/>
    <mergeCell ref="C47:C48"/>
    <mergeCell ref="D47:D48"/>
    <mergeCell ref="E46:E48"/>
    <mergeCell ref="B71:B73"/>
    <mergeCell ref="B75:B77"/>
    <mergeCell ref="B100:B101"/>
    <mergeCell ref="A46:A48"/>
    <mergeCell ref="B37:B39"/>
    <mergeCell ref="B44:B45"/>
    <mergeCell ref="B46:B48"/>
    <mergeCell ref="B50:B69"/>
    <mergeCell ref="B91:B94"/>
    <mergeCell ref="B95:B97"/>
    <mergeCell ref="B78:B82"/>
    <mergeCell ref="B83:B85"/>
    <mergeCell ref="B86:B90"/>
  </mergeCells>
  <phoneticPr fontId="7" type="noConversion"/>
  <conditionalFormatting sqref="FB99:FB100">
    <cfRule type="cellIs" dxfId="5" priority="33" stopIfTrue="1" operator="equal">
      <formula>"tbc"</formula>
    </cfRule>
  </conditionalFormatting>
  <conditionalFormatting sqref="FD50:FD95 EY96:FC96 FD97 S97:EX98 S50:EX95">
    <cfRule type="cellIs" dxfId="4" priority="31" stopIfTrue="1" operator="equal">
      <formula>"C"</formula>
    </cfRule>
    <cfRule type="cellIs" dxfId="3" priority="32" stopIfTrue="1" operator="equal">
      <formula>"R"</formula>
    </cfRule>
  </conditionalFormatting>
  <printOptions horizontalCentered="1"/>
  <pageMargins left="0.2" right="0.2" top="0.75" bottom="0.75" header="0.30972222222222201" footer="0.30972222222222201"/>
  <pageSetup paperSize="9" scale="16" orientation="landscape"/>
  <headerFooter alignWithMargins="0">
    <oddFooter>&amp;LPrepared:
Max Zhang/szhang37
wheytens / hoeztu11
+86 25 51187587&amp;CPage &amp;P of &amp;N
Ford Confidential&amp;R &amp;D</oddFooter>
  </headerFooter>
  <colBreaks count="1" manualBreakCount="1">
    <brk id="1" max="1048575" man="1"/>
  </colBreaks>
  <drawing r:id="rId1"/>
</worksheet>
</file>

<file path=xl/worksheets/sheet5.xml><?xml version="1.0" encoding="utf-8"?>
<worksheet xmlns="http://schemas.openxmlformats.org/spreadsheetml/2006/main" xmlns:r="http://schemas.openxmlformats.org/officeDocument/2006/relationships">
  <dimension ref="A1:FC104"/>
  <sheetViews>
    <sheetView tabSelected="1" topLeftCell="A58" zoomScale="70" zoomScaleNormal="70" workbookViewId="0">
      <selection activeCell="I11" sqref="I11"/>
    </sheetView>
  </sheetViews>
  <sheetFormatPr defaultColWidth="9.140625" defaultRowHeight="18"/>
  <cols>
    <col min="1" max="1" width="11" style="20" customWidth="1"/>
    <col min="2" max="2" width="16.7109375" customWidth="1"/>
    <col min="3" max="3" width="6.85546875" customWidth="1"/>
    <col min="4" max="4" width="27.140625" customWidth="1"/>
    <col min="5" max="16" width="13.42578125" style="21" customWidth="1"/>
    <col min="17" max="17" width="14.28515625" style="21" customWidth="1"/>
    <col min="18" max="18" width="13.85546875" style="21" customWidth="1"/>
    <col min="19" max="147" width="11.7109375" hidden="1" customWidth="1"/>
    <col min="148" max="154" width="11.7109375" customWidth="1"/>
    <col min="155" max="156" width="44.140625" style="9" customWidth="1"/>
    <col min="157" max="159" width="40.140625" style="9" customWidth="1"/>
  </cols>
  <sheetData>
    <row r="1" spans="1:154" ht="13.5" customHeight="1" thickTop="1">
      <c r="A1" s="23"/>
      <c r="B1" s="24"/>
      <c r="C1" s="25"/>
      <c r="D1" s="25"/>
      <c r="E1" s="26"/>
      <c r="F1" s="26"/>
      <c r="G1" s="26"/>
      <c r="H1" s="26"/>
      <c r="I1" s="26"/>
      <c r="J1" s="26"/>
      <c r="K1" s="26"/>
      <c r="L1" s="26"/>
      <c r="M1" s="26"/>
      <c r="N1" s="26"/>
      <c r="O1" s="26"/>
      <c r="P1" s="26"/>
      <c r="Q1" s="26"/>
      <c r="R1" s="26"/>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row>
    <row r="2" spans="1:154">
      <c r="A2" s="27"/>
      <c r="B2" s="28"/>
      <c r="C2" s="29"/>
      <c r="D2" s="29"/>
      <c r="E2" s="30"/>
      <c r="F2" s="30"/>
      <c r="G2" s="30"/>
      <c r="H2" s="30"/>
      <c r="I2" s="30"/>
      <c r="J2" s="30"/>
      <c r="K2" s="30"/>
      <c r="L2" s="30"/>
      <c r="M2" s="30"/>
      <c r="N2" s="30"/>
      <c r="O2" s="30"/>
      <c r="P2" s="30"/>
      <c r="Q2" s="30"/>
      <c r="R2" s="30"/>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row>
    <row r="3" spans="1:154">
      <c r="A3" s="27"/>
      <c r="B3" s="31"/>
      <c r="C3" s="32"/>
      <c r="D3" s="32"/>
      <c r="E3" s="30"/>
      <c r="F3" s="30"/>
      <c r="G3" s="30"/>
      <c r="H3" s="30"/>
      <c r="I3" s="30"/>
      <c r="J3" s="30"/>
      <c r="K3" s="30"/>
      <c r="L3" s="30"/>
      <c r="M3" s="30"/>
      <c r="N3" s="30"/>
      <c r="O3" s="30"/>
      <c r="P3" s="30"/>
      <c r="Q3" s="30"/>
      <c r="R3" s="30"/>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row>
    <row r="4" spans="1:154">
      <c r="A4" s="27"/>
      <c r="B4" s="31"/>
      <c r="C4" s="32"/>
      <c r="D4" s="32"/>
      <c r="E4" s="30"/>
      <c r="F4" s="30"/>
      <c r="G4" s="30"/>
      <c r="H4" s="30"/>
      <c r="I4" s="30"/>
      <c r="J4" s="30"/>
      <c r="K4" s="30"/>
      <c r="L4" s="30"/>
      <c r="M4" s="30"/>
      <c r="N4" s="30"/>
      <c r="O4" s="30"/>
      <c r="P4" s="30"/>
      <c r="Q4" s="30"/>
      <c r="R4" s="30"/>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row>
    <row r="5" spans="1:154">
      <c r="A5" s="27"/>
      <c r="B5" s="31"/>
      <c r="C5" s="32"/>
      <c r="D5" s="32"/>
      <c r="E5" s="30"/>
      <c r="F5" s="30"/>
      <c r="G5" s="30"/>
      <c r="H5" s="30"/>
      <c r="I5" s="30"/>
      <c r="J5" s="30"/>
      <c r="K5" s="30"/>
      <c r="L5" s="30"/>
      <c r="M5" s="30"/>
      <c r="N5" s="30"/>
      <c r="O5" s="30"/>
      <c r="P5" s="30"/>
      <c r="Q5" s="30"/>
      <c r="R5" s="30"/>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row>
    <row r="6" spans="1:154">
      <c r="A6" s="27"/>
      <c r="B6" s="31"/>
      <c r="C6" s="32"/>
      <c r="D6" s="32"/>
      <c r="E6" s="30"/>
      <c r="F6" s="30"/>
      <c r="G6" s="30"/>
      <c r="H6" s="30"/>
      <c r="I6" s="30"/>
      <c r="J6" s="30"/>
      <c r="K6" s="30"/>
      <c r="L6" s="30"/>
      <c r="M6" s="30"/>
      <c r="N6" s="30"/>
      <c r="O6" s="30"/>
      <c r="P6" s="30"/>
      <c r="Q6" s="30"/>
      <c r="R6" s="30"/>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row>
    <row r="7" spans="1:154">
      <c r="A7" s="27"/>
      <c r="B7" s="31"/>
      <c r="C7" s="32"/>
      <c r="D7" s="32"/>
      <c r="E7" s="30"/>
      <c r="F7" s="30"/>
      <c r="G7" s="30"/>
      <c r="H7" s="30"/>
      <c r="I7" s="30"/>
      <c r="J7" s="30"/>
      <c r="K7" s="30"/>
      <c r="L7" s="30"/>
      <c r="M7" s="30"/>
      <c r="N7" s="30"/>
      <c r="O7" s="30"/>
      <c r="P7" s="30"/>
      <c r="Q7" s="30"/>
      <c r="R7" s="30"/>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row>
    <row r="8" spans="1:154" ht="18.75">
      <c r="A8" s="33"/>
      <c r="B8" s="34"/>
      <c r="C8" s="35"/>
      <c r="D8" s="35"/>
      <c r="E8" s="30"/>
      <c r="F8" s="30"/>
      <c r="G8" s="30"/>
      <c r="H8" s="30"/>
      <c r="I8" s="30"/>
      <c r="J8" s="30"/>
      <c r="K8" s="30"/>
      <c r="L8" s="30"/>
      <c r="M8" s="30"/>
      <c r="N8" s="30"/>
      <c r="O8" s="30"/>
      <c r="P8" s="30"/>
      <c r="Q8" s="30"/>
      <c r="R8" s="30"/>
      <c r="S8" s="32"/>
      <c r="T8" s="32"/>
      <c r="U8" s="32"/>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c r="EP8" s="32"/>
      <c r="EQ8" s="32"/>
      <c r="ER8" s="32"/>
      <c r="ES8" s="32"/>
      <c r="ET8" s="32"/>
      <c r="EU8" s="32"/>
      <c r="EV8" s="32"/>
      <c r="EW8" s="32"/>
      <c r="EX8" s="32"/>
    </row>
    <row r="9" spans="1:154" ht="18.75">
      <c r="A9" s="27"/>
      <c r="B9" s="34"/>
      <c r="C9" s="35"/>
      <c r="D9" s="35"/>
      <c r="E9" s="30"/>
      <c r="F9" s="30"/>
      <c r="G9" s="30"/>
      <c r="H9" s="30"/>
      <c r="I9" s="30"/>
      <c r="J9" s="30"/>
      <c r="K9" s="30"/>
      <c r="L9" s="30"/>
      <c r="M9" s="30"/>
      <c r="N9" s="30"/>
      <c r="O9" s="30"/>
      <c r="P9" s="30"/>
      <c r="Q9" s="30"/>
      <c r="R9" s="30"/>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c r="EP9" s="32"/>
      <c r="EQ9" s="32"/>
      <c r="ER9" s="32"/>
      <c r="ES9" s="32"/>
      <c r="ET9" s="32"/>
      <c r="EU9" s="32"/>
      <c r="EV9" s="32"/>
      <c r="EW9" s="32"/>
      <c r="EX9" s="32"/>
    </row>
    <row r="10" spans="1:154" ht="18.75">
      <c r="A10" s="27"/>
      <c r="B10" s="34"/>
      <c r="C10" s="35"/>
      <c r="D10" s="35"/>
      <c r="E10" s="30"/>
      <c r="F10" s="30"/>
      <c r="G10" s="30"/>
      <c r="H10" s="30"/>
      <c r="I10" s="30"/>
      <c r="J10" s="30"/>
      <c r="K10" s="30"/>
      <c r="L10" s="30"/>
      <c r="M10" s="30"/>
      <c r="N10" s="30"/>
      <c r="O10" s="30"/>
      <c r="P10" s="30"/>
      <c r="Q10" s="30"/>
      <c r="R10" s="30"/>
      <c r="S10" s="32"/>
      <c r="T10" s="32"/>
      <c r="U10" s="32"/>
      <c r="V10" s="32"/>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32"/>
      <c r="BD10" s="32"/>
      <c r="BE10" s="32"/>
      <c r="BF10" s="32"/>
      <c r="BG10" s="32"/>
      <c r="BH10" s="32"/>
      <c r="BI10" s="32"/>
      <c r="BJ10" s="32"/>
      <c r="BK10" s="32"/>
      <c r="BL10" s="32"/>
      <c r="BM10" s="32"/>
      <c r="BN10" s="32"/>
      <c r="BO10" s="32"/>
      <c r="BP10" s="32"/>
      <c r="BQ10" s="32"/>
      <c r="BR10" s="32"/>
      <c r="BS10" s="32"/>
      <c r="BT10" s="32"/>
      <c r="BU10" s="32"/>
      <c r="BV10" s="32"/>
      <c r="BW10" s="32"/>
      <c r="BX10" s="32"/>
      <c r="BY10" s="32"/>
      <c r="BZ10" s="32"/>
      <c r="CA10" s="32"/>
      <c r="CB10" s="32"/>
      <c r="CC10" s="32"/>
      <c r="CD10" s="32"/>
      <c r="CE10" s="32"/>
      <c r="CF10" s="32"/>
      <c r="CG10" s="32"/>
      <c r="CH10" s="32"/>
      <c r="CI10" s="32"/>
      <c r="CJ10" s="32"/>
      <c r="CK10" s="32"/>
      <c r="CL10" s="32"/>
      <c r="CM10" s="32"/>
      <c r="CN10" s="32"/>
      <c r="CO10" s="32"/>
      <c r="CP10" s="32"/>
      <c r="CQ10" s="32"/>
      <c r="CR10" s="32"/>
      <c r="CS10" s="32"/>
      <c r="CT10" s="32"/>
      <c r="CU10" s="32"/>
      <c r="CV10" s="32"/>
      <c r="CW10" s="32"/>
      <c r="CX10" s="32"/>
      <c r="CY10" s="32"/>
      <c r="CZ10" s="32"/>
      <c r="DA10" s="32"/>
      <c r="DB10" s="32"/>
      <c r="DC10" s="32"/>
      <c r="DD10" s="32"/>
      <c r="DE10" s="32"/>
      <c r="DF10" s="32"/>
      <c r="DG10" s="32"/>
      <c r="DH10" s="32"/>
      <c r="DI10" s="32"/>
      <c r="DJ10" s="32"/>
      <c r="DK10" s="32"/>
      <c r="DL10" s="32"/>
      <c r="DM10" s="32"/>
      <c r="DN10" s="32"/>
      <c r="DO10" s="32"/>
      <c r="DP10" s="32"/>
      <c r="DQ10" s="32"/>
      <c r="DR10" s="32"/>
      <c r="DS10" s="32"/>
      <c r="DT10" s="32"/>
      <c r="DU10" s="32"/>
      <c r="DV10" s="32"/>
      <c r="DW10" s="32"/>
      <c r="DX10" s="32"/>
      <c r="DY10" s="32"/>
      <c r="DZ10" s="32"/>
      <c r="EA10" s="32"/>
      <c r="EB10" s="32"/>
      <c r="EC10" s="32"/>
      <c r="ED10" s="32"/>
      <c r="EE10" s="32"/>
      <c r="EF10" s="32"/>
      <c r="EG10" s="32"/>
      <c r="EH10" s="32"/>
      <c r="EI10" s="32"/>
      <c r="EJ10" s="32"/>
      <c r="EK10" s="32"/>
      <c r="EL10" s="32"/>
      <c r="EM10" s="32"/>
      <c r="EN10" s="32"/>
      <c r="EO10" s="32"/>
      <c r="EP10" s="32"/>
      <c r="EQ10" s="32"/>
      <c r="ER10" s="32"/>
      <c r="ES10" s="32"/>
      <c r="ET10" s="32"/>
      <c r="EU10" s="32"/>
      <c r="EV10" s="32"/>
      <c r="EW10" s="32"/>
      <c r="EX10" s="32"/>
    </row>
    <row r="11" spans="1:154" ht="18.75">
      <c r="A11" s="27"/>
      <c r="B11" s="34"/>
      <c r="C11" s="35"/>
      <c r="D11" s="35"/>
      <c r="E11" s="30"/>
      <c r="F11" s="30"/>
      <c r="G11" s="30"/>
      <c r="H11" s="30"/>
      <c r="I11" s="30"/>
      <c r="J11" s="30"/>
      <c r="K11" s="30"/>
      <c r="L11" s="30"/>
      <c r="M11" s="30"/>
      <c r="N11" s="30"/>
      <c r="O11" s="30"/>
      <c r="P11" s="30"/>
      <c r="Q11" s="30"/>
      <c r="R11" s="30"/>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row>
    <row r="12" spans="1:154" ht="18.75">
      <c r="A12" s="27"/>
      <c r="B12" s="34"/>
      <c r="C12" s="35"/>
      <c r="D12" s="35"/>
      <c r="E12" s="94"/>
      <c r="F12" s="30"/>
      <c r="G12" s="30"/>
      <c r="H12" s="30"/>
      <c r="I12" s="30"/>
      <c r="J12" s="30"/>
      <c r="K12" s="30"/>
      <c r="L12" s="30"/>
      <c r="M12" s="30"/>
      <c r="N12" s="30"/>
      <c r="O12" s="30"/>
      <c r="P12" s="30"/>
      <c r="Q12" s="30"/>
      <c r="R12" s="30"/>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row>
    <row r="13" spans="1:154" ht="18.75">
      <c r="A13" s="27"/>
      <c r="B13" s="34"/>
      <c r="C13" s="35"/>
      <c r="D13" s="35"/>
      <c r="E13" s="30"/>
      <c r="F13" s="30"/>
      <c r="G13" s="30"/>
      <c r="H13" s="30"/>
      <c r="I13" s="30"/>
      <c r="J13" s="30"/>
      <c r="K13" s="30"/>
      <c r="L13" s="30"/>
      <c r="M13" s="30"/>
      <c r="N13" s="30"/>
      <c r="O13" s="30"/>
      <c r="P13" s="30"/>
      <c r="Q13" s="30"/>
      <c r="R13" s="30"/>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2"/>
      <c r="BO13" s="32"/>
      <c r="BP13" s="32"/>
      <c r="BQ13" s="32"/>
      <c r="BR13" s="32"/>
      <c r="BS13" s="32"/>
      <c r="BT13" s="32"/>
      <c r="BU13" s="32"/>
      <c r="BV13" s="32"/>
      <c r="BW13" s="32"/>
      <c r="BX13" s="32"/>
      <c r="BY13" s="32"/>
      <c r="BZ13" s="32"/>
      <c r="CA13" s="32"/>
      <c r="CB13" s="32"/>
      <c r="CC13" s="32"/>
      <c r="CD13" s="32"/>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32"/>
      <c r="DD13" s="32"/>
      <c r="DE13" s="32"/>
      <c r="DF13" s="32"/>
      <c r="DG13" s="32"/>
      <c r="DH13" s="32"/>
      <c r="DI13" s="32"/>
      <c r="DJ13" s="32"/>
      <c r="DK13" s="32"/>
      <c r="DL13" s="32"/>
      <c r="DM13" s="32"/>
      <c r="DN13" s="32"/>
      <c r="DO13" s="32"/>
      <c r="DP13" s="32"/>
      <c r="DQ13" s="32"/>
      <c r="DR13" s="32"/>
      <c r="DS13" s="32"/>
      <c r="DT13" s="32"/>
      <c r="DU13" s="32"/>
      <c r="DV13" s="32"/>
      <c r="DW13" s="32"/>
      <c r="DX13" s="32"/>
      <c r="DY13" s="32"/>
      <c r="DZ13" s="32"/>
      <c r="EA13" s="32"/>
      <c r="EB13" s="32"/>
      <c r="EC13" s="32"/>
      <c r="ED13" s="32"/>
      <c r="EE13" s="32"/>
      <c r="EF13" s="32"/>
      <c r="EG13" s="32"/>
      <c r="EH13" s="32"/>
      <c r="EI13" s="32"/>
      <c r="EJ13" s="32"/>
      <c r="EK13" s="32"/>
      <c r="EL13" s="32"/>
      <c r="EM13" s="32"/>
      <c r="EN13" s="32"/>
      <c r="EO13" s="32"/>
      <c r="EP13" s="32"/>
      <c r="EQ13" s="32"/>
      <c r="ER13" s="32"/>
      <c r="ES13" s="32"/>
      <c r="ET13" s="32"/>
      <c r="EU13" s="32"/>
      <c r="EV13" s="32"/>
      <c r="EW13" s="32"/>
      <c r="EX13" s="32"/>
    </row>
    <row r="14" spans="1:154" ht="18.75">
      <c r="A14" s="27"/>
      <c r="B14" s="34"/>
      <c r="C14" s="35"/>
      <c r="D14" s="35"/>
      <c r="E14" s="30"/>
      <c r="F14" s="30"/>
      <c r="G14" s="30"/>
      <c r="H14" s="30"/>
      <c r="I14" s="30"/>
      <c r="J14" s="30"/>
      <c r="K14" s="30"/>
      <c r="L14" s="30"/>
      <c r="M14" s="30"/>
      <c r="N14" s="30"/>
      <c r="O14" s="30"/>
      <c r="P14" s="30"/>
      <c r="Q14" s="30"/>
      <c r="R14" s="30"/>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c r="BN14" s="32"/>
      <c r="BO14" s="32"/>
      <c r="BP14" s="32"/>
      <c r="BQ14" s="32"/>
      <c r="BR14" s="32"/>
      <c r="BS14" s="32"/>
      <c r="BT14" s="32"/>
      <c r="BU14" s="32"/>
      <c r="BV14" s="32"/>
      <c r="BW14" s="32"/>
      <c r="BX14" s="32"/>
      <c r="BY14" s="32"/>
      <c r="BZ14" s="32"/>
      <c r="CA14" s="32"/>
      <c r="CB14" s="32"/>
      <c r="CC14" s="32"/>
      <c r="CD14" s="32"/>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32"/>
      <c r="DD14" s="32"/>
      <c r="DE14" s="32"/>
      <c r="DF14" s="32"/>
      <c r="DG14" s="32"/>
      <c r="DH14" s="32"/>
      <c r="DI14" s="32"/>
      <c r="DJ14" s="32"/>
      <c r="DK14" s="32"/>
      <c r="DL14" s="32"/>
      <c r="DM14" s="32"/>
      <c r="DN14" s="32"/>
      <c r="DO14" s="32"/>
      <c r="DP14" s="32"/>
      <c r="DQ14" s="32"/>
      <c r="DR14" s="32"/>
      <c r="DS14" s="32"/>
      <c r="DT14" s="32"/>
      <c r="DU14" s="32"/>
      <c r="DV14" s="32"/>
      <c r="DW14" s="32"/>
      <c r="DX14" s="32"/>
      <c r="DY14" s="32"/>
      <c r="DZ14" s="32"/>
      <c r="EA14" s="32"/>
      <c r="EB14" s="32"/>
      <c r="EC14" s="32"/>
      <c r="ED14" s="32"/>
      <c r="EE14" s="32"/>
      <c r="EF14" s="32"/>
      <c r="EG14" s="32"/>
      <c r="EH14" s="32"/>
      <c r="EI14" s="32"/>
      <c r="EJ14" s="32"/>
      <c r="EK14" s="32"/>
      <c r="EL14" s="32"/>
      <c r="EM14" s="32"/>
      <c r="EN14" s="32"/>
      <c r="EO14" s="32"/>
      <c r="EP14" s="32"/>
      <c r="EQ14" s="32"/>
      <c r="ER14" s="32"/>
      <c r="ES14" s="32"/>
      <c r="ET14" s="32"/>
      <c r="EU14" s="32"/>
      <c r="EV14" s="32"/>
      <c r="EW14" s="32"/>
      <c r="EX14" s="32"/>
    </row>
    <row r="15" spans="1:154" ht="18.75">
      <c r="A15" s="27"/>
      <c r="B15" s="34"/>
      <c r="C15" s="35"/>
      <c r="D15" s="35"/>
      <c r="E15" s="30"/>
      <c r="F15" s="30"/>
      <c r="G15" s="30"/>
      <c r="H15" s="30"/>
      <c r="I15" s="30"/>
      <c r="J15" s="30"/>
      <c r="K15" s="30"/>
      <c r="L15" s="30"/>
      <c r="M15" s="30"/>
      <c r="N15" s="30"/>
      <c r="O15" s="30"/>
      <c r="P15" s="30"/>
      <c r="Q15" s="30"/>
      <c r="R15" s="30"/>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c r="BN15" s="32"/>
      <c r="BO15" s="32"/>
      <c r="BP15" s="32"/>
      <c r="BQ15" s="32"/>
      <c r="BR15" s="32"/>
      <c r="BS15" s="32"/>
      <c r="BT15" s="32"/>
      <c r="BU15" s="32"/>
      <c r="BV15" s="32"/>
      <c r="BW15" s="32"/>
      <c r="BX15" s="32"/>
      <c r="BY15" s="32"/>
      <c r="BZ15" s="32"/>
      <c r="CA15" s="32"/>
      <c r="CB15" s="32"/>
      <c r="CC15" s="32"/>
      <c r="CD15" s="32"/>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c r="DD15" s="32"/>
      <c r="DE15" s="32"/>
      <c r="DF15" s="32"/>
      <c r="DG15" s="32"/>
      <c r="DH15" s="32"/>
      <c r="DI15" s="32"/>
      <c r="DJ15" s="32"/>
      <c r="DK15" s="32"/>
      <c r="DL15" s="32"/>
      <c r="DM15" s="32"/>
      <c r="DN15" s="32"/>
      <c r="DO15" s="32"/>
      <c r="DP15" s="32"/>
      <c r="DQ15" s="32"/>
      <c r="DR15" s="32"/>
      <c r="DS15" s="32"/>
      <c r="DT15" s="32"/>
      <c r="DU15" s="32"/>
      <c r="DV15" s="32"/>
      <c r="DW15" s="32"/>
      <c r="DX15" s="32"/>
      <c r="DY15" s="32"/>
      <c r="DZ15" s="32"/>
      <c r="EA15" s="32"/>
      <c r="EB15" s="32"/>
      <c r="EC15" s="32"/>
      <c r="ED15" s="32"/>
      <c r="EE15" s="32"/>
      <c r="EF15" s="32"/>
      <c r="EG15" s="32"/>
      <c r="EH15" s="32"/>
      <c r="EI15" s="32"/>
      <c r="EJ15" s="32"/>
      <c r="EK15" s="32"/>
      <c r="EL15" s="32"/>
      <c r="EM15" s="32"/>
      <c r="EN15" s="32"/>
      <c r="EO15" s="32"/>
      <c r="EP15" s="32"/>
      <c r="EQ15" s="32"/>
      <c r="ER15" s="32"/>
      <c r="ES15" s="32"/>
      <c r="ET15" s="32"/>
      <c r="EU15" s="32"/>
      <c r="EV15" s="32"/>
      <c r="EW15" s="32"/>
      <c r="EX15" s="32"/>
    </row>
    <row r="16" spans="1:154" ht="18.75">
      <c r="A16" s="27"/>
      <c r="B16" s="34"/>
      <c r="C16" s="35"/>
      <c r="D16" s="35"/>
      <c r="E16" s="30"/>
      <c r="F16" s="30"/>
      <c r="G16" s="30"/>
      <c r="H16" s="30"/>
      <c r="I16" s="30"/>
      <c r="J16" s="30"/>
      <c r="K16" s="30"/>
      <c r="L16" s="30"/>
      <c r="M16" s="30"/>
      <c r="N16" s="30"/>
      <c r="O16" s="30"/>
      <c r="P16" s="30"/>
      <c r="Q16" s="30"/>
      <c r="R16" s="30"/>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row>
    <row r="17" spans="1:159" ht="18.75">
      <c r="A17" s="27"/>
      <c r="B17" s="34"/>
      <c r="C17" s="35"/>
      <c r="D17" s="35"/>
      <c r="E17" s="30"/>
      <c r="F17" s="30"/>
      <c r="G17" s="30"/>
      <c r="H17" s="30"/>
      <c r="I17" s="30"/>
      <c r="J17" s="30"/>
      <c r="K17" s="30"/>
      <c r="L17" s="30"/>
      <c r="M17" s="30"/>
      <c r="N17" s="30"/>
      <c r="O17" s="30"/>
      <c r="P17" s="30"/>
      <c r="Q17" s="30"/>
      <c r="R17" s="30"/>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row>
    <row r="18" spans="1:159" ht="18.75">
      <c r="A18" s="27"/>
      <c r="B18" s="34"/>
      <c r="C18" s="35"/>
      <c r="D18" s="35"/>
      <c r="E18" s="30"/>
      <c r="F18" s="30"/>
      <c r="G18" s="30"/>
      <c r="H18" s="30"/>
      <c r="I18" s="30"/>
      <c r="J18" s="30"/>
      <c r="K18" s="30"/>
      <c r="L18" s="30"/>
      <c r="M18" s="30"/>
      <c r="N18" s="30"/>
      <c r="O18" s="30"/>
      <c r="P18" s="30"/>
      <c r="Q18" s="30"/>
      <c r="R18" s="30"/>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c r="BN18" s="32"/>
      <c r="BO18" s="32"/>
      <c r="BP18" s="32"/>
      <c r="BQ18" s="32"/>
      <c r="BR18" s="32"/>
      <c r="BS18" s="32"/>
      <c r="BT18" s="32"/>
      <c r="BU18" s="32"/>
      <c r="BV18" s="32"/>
      <c r="BW18" s="32"/>
      <c r="BX18" s="32"/>
      <c r="BY18" s="32"/>
      <c r="BZ18" s="32"/>
      <c r="CA18" s="32"/>
      <c r="CB18" s="32"/>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c r="DA18" s="32"/>
      <c r="DB18" s="32"/>
      <c r="DC18" s="32"/>
      <c r="DD18" s="32"/>
      <c r="DE18" s="32"/>
      <c r="DF18" s="32"/>
      <c r="DG18" s="32"/>
      <c r="DH18" s="32"/>
      <c r="DI18" s="32"/>
      <c r="DJ18" s="32"/>
      <c r="DK18" s="32"/>
      <c r="DL18" s="32"/>
      <c r="DM18" s="32"/>
      <c r="DN18" s="32"/>
      <c r="DO18" s="32"/>
      <c r="DP18" s="32"/>
      <c r="DQ18" s="32"/>
      <c r="DR18" s="32"/>
      <c r="DS18" s="32"/>
      <c r="DT18" s="32"/>
      <c r="DU18" s="32"/>
      <c r="DV18" s="32"/>
      <c r="DW18" s="32"/>
      <c r="DX18" s="32"/>
      <c r="DY18" s="32"/>
      <c r="DZ18" s="32"/>
      <c r="EA18" s="32"/>
      <c r="EB18" s="32"/>
      <c r="EC18" s="32"/>
      <c r="ED18" s="32"/>
      <c r="EE18" s="32"/>
      <c r="EF18" s="32"/>
      <c r="EG18" s="32"/>
      <c r="EH18" s="32"/>
      <c r="EI18" s="32"/>
      <c r="EJ18" s="32"/>
      <c r="EK18" s="32"/>
      <c r="EL18" s="32"/>
      <c r="EM18" s="32"/>
      <c r="EN18" s="32"/>
      <c r="EO18" s="32"/>
      <c r="EP18" s="32"/>
      <c r="EQ18" s="32"/>
      <c r="ER18" s="32"/>
      <c r="ES18" s="32"/>
      <c r="ET18" s="32"/>
      <c r="EU18" s="32"/>
      <c r="EV18" s="32"/>
      <c r="EW18" s="32"/>
      <c r="EX18" s="32"/>
    </row>
    <row r="19" spans="1:159" ht="18.75">
      <c r="A19" s="27"/>
      <c r="B19" s="34"/>
      <c r="C19" s="35"/>
      <c r="D19" s="35"/>
      <c r="E19" s="30"/>
      <c r="F19" s="30"/>
      <c r="G19" s="30"/>
      <c r="H19" s="30"/>
      <c r="I19" s="30"/>
      <c r="J19" s="30"/>
      <c r="K19" s="30"/>
      <c r="L19" s="30"/>
      <c r="M19" s="30"/>
      <c r="N19" s="30"/>
      <c r="O19" s="30"/>
      <c r="P19" s="30"/>
      <c r="Q19" s="30"/>
      <c r="R19" s="30"/>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c r="BN19" s="32"/>
      <c r="BO19" s="32"/>
      <c r="BP19" s="32"/>
      <c r="BQ19" s="32"/>
      <c r="BR19" s="32"/>
      <c r="BS19" s="32"/>
      <c r="BT19" s="32"/>
      <c r="BU19" s="32"/>
      <c r="BV19" s="32"/>
      <c r="BW19" s="32"/>
      <c r="BX19" s="32"/>
      <c r="BY19" s="32"/>
      <c r="BZ19" s="32"/>
      <c r="CA19" s="32"/>
      <c r="CB19" s="32"/>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c r="DA19" s="32"/>
      <c r="DB19" s="32"/>
      <c r="DC19" s="32"/>
      <c r="DD19" s="32"/>
      <c r="DE19" s="32"/>
      <c r="DF19" s="32"/>
      <c r="DG19" s="32"/>
      <c r="DH19" s="32"/>
      <c r="DI19" s="32"/>
      <c r="DJ19" s="32"/>
      <c r="DK19" s="32"/>
      <c r="DL19" s="32"/>
      <c r="DM19" s="32"/>
      <c r="DN19" s="32"/>
      <c r="DO19" s="32"/>
      <c r="DP19" s="32"/>
      <c r="DQ19" s="32"/>
      <c r="DR19" s="32"/>
      <c r="DS19" s="32"/>
      <c r="DT19" s="32"/>
      <c r="DU19" s="32"/>
      <c r="DV19" s="32"/>
      <c r="DW19" s="32"/>
      <c r="DX19" s="32"/>
      <c r="DY19" s="32"/>
      <c r="DZ19" s="32"/>
      <c r="EA19" s="32"/>
      <c r="EB19" s="32"/>
      <c r="EC19" s="32"/>
      <c r="ED19" s="32"/>
      <c r="EE19" s="32"/>
      <c r="EF19" s="32"/>
      <c r="EG19" s="32"/>
      <c r="EH19" s="32"/>
      <c r="EI19" s="32"/>
      <c r="EJ19" s="32"/>
      <c r="EK19" s="32"/>
      <c r="EL19" s="32"/>
      <c r="EM19" s="32"/>
      <c r="EN19" s="32"/>
      <c r="EO19" s="32"/>
      <c r="EP19" s="32"/>
      <c r="EQ19" s="32"/>
      <c r="ER19" s="32"/>
      <c r="ES19" s="32"/>
      <c r="ET19" s="32"/>
      <c r="EU19" s="32"/>
      <c r="EV19" s="32"/>
      <c r="EW19" s="32"/>
      <c r="EX19" s="32"/>
    </row>
    <row r="20" spans="1:159" ht="18.75">
      <c r="A20" s="27"/>
      <c r="B20" s="34"/>
      <c r="C20" s="35"/>
      <c r="D20" s="35"/>
      <c r="E20" s="30"/>
      <c r="F20" s="30"/>
      <c r="G20" s="30"/>
      <c r="H20" s="30"/>
      <c r="I20" s="30"/>
      <c r="J20" s="30"/>
      <c r="K20" s="30"/>
      <c r="L20" s="30"/>
      <c r="M20" s="30"/>
      <c r="N20" s="30"/>
      <c r="O20" s="30"/>
      <c r="P20" s="30"/>
      <c r="Q20" s="30"/>
      <c r="R20" s="30"/>
      <c r="S20" s="32"/>
      <c r="T20" s="32"/>
      <c r="U20" s="32"/>
      <c r="V20" s="32"/>
      <c r="W20" s="32"/>
      <c r="X20" s="32"/>
      <c r="Y20" s="32"/>
      <c r="Z20" s="32"/>
      <c r="AA20" s="32"/>
      <c r="AB20" s="32"/>
      <c r="AC20" s="32"/>
      <c r="AD20" s="32"/>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c r="BN20" s="32"/>
      <c r="BO20" s="32"/>
      <c r="BP20" s="32"/>
      <c r="BQ20" s="32"/>
      <c r="BR20" s="32"/>
      <c r="BS20" s="32"/>
      <c r="BT20" s="32"/>
      <c r="BU20" s="32"/>
      <c r="BV20" s="32"/>
      <c r="BW20" s="32"/>
      <c r="BX20" s="32"/>
      <c r="BY20" s="32"/>
      <c r="BZ20" s="32"/>
      <c r="CA20" s="32"/>
      <c r="CB20" s="32"/>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c r="DA20" s="32"/>
      <c r="DB20" s="32"/>
      <c r="DC20" s="32"/>
      <c r="DD20" s="32"/>
      <c r="DE20" s="32"/>
      <c r="DF20" s="32"/>
      <c r="DG20" s="32"/>
      <c r="DH20" s="32"/>
      <c r="DI20" s="32"/>
      <c r="DJ20" s="32"/>
      <c r="DK20" s="32"/>
      <c r="DL20" s="32"/>
      <c r="DM20" s="32"/>
      <c r="DN20" s="32"/>
      <c r="DO20" s="32"/>
      <c r="DP20" s="32"/>
      <c r="DQ20" s="32"/>
      <c r="DR20" s="32"/>
      <c r="DS20" s="32"/>
      <c r="DT20" s="32"/>
      <c r="DU20" s="32"/>
      <c r="DV20" s="32"/>
      <c r="DW20" s="32"/>
      <c r="DX20" s="32"/>
      <c r="DY20" s="32"/>
      <c r="DZ20" s="32"/>
      <c r="EA20" s="32"/>
      <c r="EB20" s="32"/>
      <c r="EC20" s="32"/>
      <c r="ED20" s="32"/>
      <c r="EE20" s="32"/>
      <c r="EF20" s="32"/>
      <c r="EG20" s="32"/>
      <c r="EH20" s="32"/>
      <c r="EI20" s="32"/>
      <c r="EJ20" s="32"/>
      <c r="EK20" s="32"/>
      <c r="EL20" s="32"/>
      <c r="EM20" s="32"/>
      <c r="EN20" s="32"/>
      <c r="EO20" s="32"/>
      <c r="EP20" s="32"/>
      <c r="EQ20" s="32"/>
      <c r="ER20" s="32"/>
      <c r="ES20" s="32"/>
      <c r="ET20" s="32"/>
      <c r="EU20" s="32"/>
      <c r="EV20" s="32"/>
      <c r="EW20" s="32"/>
      <c r="EX20" s="32"/>
    </row>
    <row r="21" spans="1:159" ht="18.75">
      <c r="A21" s="27"/>
      <c r="B21" s="34"/>
      <c r="C21" s="35"/>
      <c r="D21" s="35"/>
      <c r="E21" s="30"/>
      <c r="F21" s="30"/>
      <c r="G21" s="30"/>
      <c r="H21" s="30"/>
      <c r="I21" s="30"/>
      <c r="J21" s="30"/>
      <c r="K21" s="30"/>
      <c r="L21" s="30"/>
      <c r="M21" s="30"/>
      <c r="N21" s="30"/>
      <c r="O21" s="30"/>
      <c r="P21" s="30"/>
      <c r="Q21" s="30"/>
      <c r="R21" s="30"/>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row>
    <row r="22" spans="1:159" ht="18.75">
      <c r="A22" s="27"/>
      <c r="B22" s="34"/>
      <c r="C22" s="35"/>
      <c r="D22" s="35"/>
      <c r="E22" s="36"/>
      <c r="F22" s="36"/>
      <c r="G22" s="36"/>
      <c r="H22" s="36"/>
      <c r="I22" s="36"/>
      <c r="J22" s="36"/>
      <c r="K22" s="36"/>
      <c r="L22" s="36"/>
      <c r="M22" s="36"/>
      <c r="N22" s="36"/>
      <c r="O22" s="36"/>
      <c r="P22" s="36"/>
      <c r="Q22" s="36"/>
      <c r="R22" s="36"/>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row>
    <row r="23" spans="1:159" ht="18.75">
      <c r="A23" s="27"/>
      <c r="B23" s="34"/>
      <c r="C23" s="35"/>
      <c r="D23" s="35"/>
      <c r="E23" s="30"/>
      <c r="F23" s="30"/>
      <c r="G23" s="30"/>
      <c r="H23" s="30"/>
      <c r="I23" s="30"/>
      <c r="J23" s="30"/>
      <c r="K23" s="30"/>
      <c r="L23" s="30"/>
      <c r="M23" s="30"/>
      <c r="N23" s="30"/>
      <c r="O23" s="30"/>
      <c r="P23" s="30"/>
      <c r="Q23" s="30"/>
      <c r="R23" s="30"/>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c r="BN23" s="32"/>
      <c r="BO23" s="32"/>
      <c r="BP23" s="32"/>
      <c r="BQ23" s="32"/>
      <c r="BR23" s="32"/>
      <c r="BS23" s="32"/>
      <c r="BT23" s="32"/>
      <c r="BU23" s="32"/>
      <c r="BV23" s="32"/>
      <c r="BW23" s="32"/>
      <c r="BX23" s="32"/>
      <c r="BY23" s="32"/>
      <c r="BZ23" s="32"/>
      <c r="CA23" s="32"/>
      <c r="CB23" s="32"/>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c r="DA23" s="32"/>
      <c r="DB23" s="32"/>
      <c r="DC23" s="32"/>
      <c r="DD23" s="32"/>
      <c r="DE23" s="32"/>
      <c r="DF23" s="32"/>
      <c r="DG23" s="32"/>
      <c r="DH23" s="32"/>
      <c r="DI23" s="32"/>
      <c r="DJ23" s="32"/>
      <c r="DK23" s="32"/>
      <c r="DL23" s="32"/>
      <c r="DM23" s="32"/>
      <c r="DN23" s="32"/>
      <c r="DO23" s="32"/>
      <c r="DP23" s="32"/>
      <c r="DQ23" s="32"/>
      <c r="DR23" s="32"/>
      <c r="DS23" s="32"/>
      <c r="DT23" s="32"/>
      <c r="DU23" s="32"/>
      <c r="DV23" s="32"/>
      <c r="DW23" s="32"/>
      <c r="DX23" s="32"/>
      <c r="DY23" s="32"/>
      <c r="DZ23" s="32"/>
      <c r="EA23" s="32"/>
      <c r="EB23" s="32"/>
      <c r="EC23" s="32"/>
      <c r="ED23" s="32"/>
      <c r="EE23" s="32"/>
      <c r="EF23" s="32"/>
      <c r="EG23" s="32"/>
      <c r="EH23" s="32"/>
      <c r="EI23" s="32"/>
      <c r="EJ23" s="32"/>
      <c r="EK23" s="32"/>
      <c r="EL23" s="32"/>
      <c r="EM23" s="32"/>
      <c r="EN23" s="32"/>
      <c r="EO23" s="32"/>
      <c r="EP23" s="32"/>
      <c r="EQ23" s="32"/>
      <c r="ER23" s="32"/>
      <c r="ES23" s="32"/>
      <c r="ET23" s="32"/>
      <c r="EU23" s="32"/>
      <c r="EV23" s="32"/>
      <c r="EW23" s="32"/>
      <c r="EX23" s="32"/>
    </row>
    <row r="24" spans="1:159">
      <c r="A24" s="27"/>
      <c r="B24" s="34"/>
      <c r="C24" s="37"/>
      <c r="D24" s="37"/>
      <c r="E24" s="30"/>
      <c r="F24" s="30"/>
      <c r="G24" s="30"/>
      <c r="H24" s="30"/>
      <c r="I24" s="30"/>
      <c r="J24" s="30"/>
      <c r="K24" s="30"/>
      <c r="L24" s="30"/>
      <c r="M24" s="30"/>
      <c r="N24" s="30"/>
      <c r="O24" s="30"/>
      <c r="P24" s="30"/>
      <c r="Q24" s="30"/>
      <c r="R24" s="30"/>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c r="BN24" s="32"/>
      <c r="BO24" s="32"/>
      <c r="BP24" s="32"/>
      <c r="BQ24" s="32"/>
      <c r="BR24" s="32"/>
      <c r="BS24" s="32"/>
      <c r="BT24" s="32"/>
      <c r="BU24" s="32"/>
      <c r="BV24" s="32"/>
      <c r="BW24" s="32"/>
      <c r="BX24" s="32"/>
      <c r="BY24" s="32"/>
      <c r="BZ24" s="32"/>
      <c r="CA24" s="32"/>
      <c r="CB24" s="32"/>
      <c r="CC24" s="32"/>
      <c r="CD24" s="32"/>
      <c r="CE24" s="32"/>
      <c r="CF24" s="32"/>
      <c r="CG24" s="32"/>
      <c r="CH24" s="32"/>
      <c r="CI24" s="32"/>
      <c r="CJ24" s="32"/>
      <c r="CK24" s="32"/>
      <c r="CL24" s="32"/>
      <c r="CM24" s="32"/>
      <c r="CN24" s="32"/>
      <c r="CO24" s="32"/>
      <c r="CP24" s="32"/>
      <c r="CQ24" s="32"/>
      <c r="CR24" s="32"/>
      <c r="CS24" s="32"/>
      <c r="CT24" s="32"/>
      <c r="CU24" s="32"/>
      <c r="CV24" s="32"/>
      <c r="CW24" s="32"/>
      <c r="CX24" s="32"/>
      <c r="CY24" s="32"/>
      <c r="CZ24" s="32"/>
      <c r="DA24" s="32"/>
      <c r="DB24" s="32"/>
      <c r="DC24" s="32"/>
      <c r="DD24" s="32"/>
      <c r="DE24" s="32"/>
      <c r="DF24" s="32"/>
      <c r="DG24" s="32"/>
      <c r="DH24" s="32"/>
      <c r="DI24" s="32"/>
      <c r="DJ24" s="32"/>
      <c r="DK24" s="32"/>
      <c r="DL24" s="32"/>
      <c r="DM24" s="32"/>
      <c r="DN24" s="32"/>
      <c r="DO24" s="32"/>
      <c r="DP24" s="32"/>
      <c r="DQ24" s="32"/>
      <c r="DR24" s="32"/>
      <c r="DS24" s="32"/>
      <c r="DT24" s="32"/>
      <c r="DU24" s="32"/>
      <c r="DV24" s="32"/>
      <c r="DW24" s="32"/>
      <c r="DX24" s="32"/>
      <c r="DY24" s="32"/>
      <c r="DZ24" s="32"/>
      <c r="EA24" s="32"/>
      <c r="EB24" s="32"/>
      <c r="EC24" s="32"/>
      <c r="ED24" s="32"/>
      <c r="EE24" s="32"/>
      <c r="EF24" s="32"/>
      <c r="EG24" s="32"/>
      <c r="EH24" s="32"/>
      <c r="EI24" s="32"/>
      <c r="EJ24" s="32"/>
      <c r="EK24" s="32"/>
      <c r="EL24" s="32"/>
      <c r="EM24" s="32"/>
      <c r="EN24" s="32"/>
      <c r="EO24" s="32"/>
      <c r="EP24" s="32"/>
      <c r="EQ24" s="32"/>
      <c r="ER24" s="32"/>
      <c r="ES24" s="32"/>
      <c r="ET24" s="32"/>
      <c r="EU24" s="32"/>
      <c r="EV24" s="32"/>
      <c r="EW24" s="32"/>
      <c r="EX24" s="32"/>
    </row>
    <row r="25" spans="1:159">
      <c r="A25" s="27"/>
      <c r="B25" s="34"/>
      <c r="C25" s="37"/>
      <c r="D25" s="37"/>
      <c r="E25" s="30"/>
      <c r="F25" s="30"/>
      <c r="G25" s="30"/>
      <c r="H25" s="30"/>
      <c r="I25" s="30"/>
      <c r="J25" s="30"/>
      <c r="K25" s="30"/>
      <c r="L25" s="30"/>
      <c r="M25" s="30"/>
      <c r="N25" s="30"/>
      <c r="O25" s="30"/>
      <c r="P25" s="30"/>
      <c r="Q25" s="30"/>
      <c r="R25" s="30"/>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c r="BN25" s="32"/>
      <c r="BO25" s="32"/>
      <c r="BP25" s="32"/>
      <c r="BQ25" s="32"/>
      <c r="BR25" s="32"/>
      <c r="BS25" s="32"/>
      <c r="BT25" s="32"/>
      <c r="BU25" s="32"/>
      <c r="BV25" s="32"/>
      <c r="BW25" s="32"/>
      <c r="BX25" s="32"/>
      <c r="BY25" s="32"/>
      <c r="BZ25" s="32"/>
      <c r="CA25" s="32"/>
      <c r="CB25" s="32"/>
      <c r="CC25" s="32"/>
      <c r="CD25" s="32"/>
      <c r="CE25" s="32"/>
      <c r="CF25" s="32"/>
      <c r="CG25" s="32"/>
      <c r="CH25" s="32"/>
      <c r="CI25" s="32"/>
      <c r="CJ25" s="32"/>
      <c r="CK25" s="32"/>
      <c r="CL25" s="32"/>
      <c r="CM25" s="32"/>
      <c r="CN25" s="32"/>
      <c r="CO25" s="32"/>
      <c r="CP25" s="32"/>
      <c r="CQ25" s="32"/>
      <c r="CR25" s="32"/>
      <c r="CS25" s="32"/>
      <c r="CT25" s="32"/>
      <c r="CU25" s="32"/>
      <c r="CV25" s="32"/>
      <c r="CW25" s="32"/>
      <c r="CX25" s="32"/>
      <c r="CY25" s="32"/>
      <c r="CZ25" s="32"/>
      <c r="DA25" s="32"/>
      <c r="DB25" s="32"/>
      <c r="DC25" s="32"/>
      <c r="DD25" s="32"/>
      <c r="DE25" s="32"/>
      <c r="DF25" s="32"/>
      <c r="DG25" s="32"/>
      <c r="DH25" s="32"/>
      <c r="DI25" s="32"/>
      <c r="DJ25" s="32"/>
      <c r="DK25" s="32"/>
      <c r="DL25" s="32"/>
      <c r="DM25" s="32"/>
      <c r="DN25" s="32"/>
      <c r="DO25" s="32"/>
      <c r="DP25" s="32"/>
      <c r="DQ25" s="32"/>
      <c r="DR25" s="32"/>
      <c r="DS25" s="32"/>
      <c r="DT25" s="32"/>
      <c r="DU25" s="32"/>
      <c r="DV25" s="32"/>
      <c r="DW25" s="32"/>
      <c r="DX25" s="32"/>
      <c r="DY25" s="32"/>
      <c r="DZ25" s="32"/>
      <c r="EA25" s="32"/>
      <c r="EB25" s="32"/>
      <c r="EC25" s="32"/>
      <c r="ED25" s="32"/>
      <c r="EE25" s="32"/>
      <c r="EF25" s="32"/>
      <c r="EG25" s="32"/>
      <c r="EH25" s="32"/>
      <c r="EI25" s="32"/>
      <c r="EJ25" s="32"/>
      <c r="EK25" s="32"/>
      <c r="EL25" s="32"/>
      <c r="EM25" s="32"/>
      <c r="EN25" s="32"/>
      <c r="EO25" s="32"/>
      <c r="EP25" s="32"/>
      <c r="EQ25" s="32"/>
      <c r="ER25" s="32"/>
      <c r="ES25" s="32"/>
      <c r="ET25" s="32"/>
      <c r="EU25" s="32"/>
      <c r="EV25" s="32"/>
      <c r="EW25" s="32"/>
      <c r="EX25" s="32"/>
    </row>
    <row r="26" spans="1:159">
      <c r="A26" s="27"/>
      <c r="B26" s="34"/>
      <c r="C26" s="37"/>
      <c r="D26" s="37"/>
      <c r="E26" s="30"/>
      <c r="F26" s="30"/>
      <c r="G26" s="30"/>
      <c r="H26" s="30"/>
      <c r="I26" s="30"/>
      <c r="J26" s="30"/>
      <c r="K26" s="30"/>
      <c r="L26" s="30"/>
      <c r="M26" s="30"/>
      <c r="N26" s="30"/>
      <c r="O26" s="30"/>
      <c r="P26" s="30"/>
      <c r="Q26" s="30"/>
      <c r="R26" s="30"/>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row>
    <row r="27" spans="1:159">
      <c r="A27" s="27"/>
      <c r="B27" s="34"/>
      <c r="C27" s="37"/>
      <c r="D27" s="37"/>
      <c r="E27" s="30"/>
      <c r="F27" s="30"/>
      <c r="G27" s="30"/>
      <c r="H27" s="30"/>
      <c r="I27" s="30"/>
      <c r="J27" s="30"/>
      <c r="K27" s="30"/>
      <c r="L27" s="30"/>
      <c r="M27" s="30"/>
      <c r="N27" s="30"/>
      <c r="O27" s="30"/>
      <c r="P27" s="30"/>
      <c r="Q27" s="30"/>
      <c r="R27" s="30"/>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row>
    <row r="28" spans="1:159" ht="18.75">
      <c r="A28" s="27"/>
      <c r="B28" s="34"/>
      <c r="C28" s="37"/>
      <c r="D28" s="37"/>
      <c r="E28" s="30"/>
      <c r="F28" s="30"/>
      <c r="G28" s="30"/>
      <c r="H28" s="30"/>
      <c r="I28" s="30"/>
      <c r="J28" s="30"/>
      <c r="K28" s="30"/>
      <c r="L28" s="30"/>
      <c r="M28" s="30"/>
      <c r="N28" s="30"/>
      <c r="O28" s="30"/>
      <c r="P28" s="30"/>
      <c r="Q28" s="30"/>
      <c r="R28" s="30"/>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c r="EX28" s="78"/>
    </row>
    <row r="29" spans="1:159">
      <c r="A29" s="27"/>
      <c r="B29" s="34"/>
      <c r="C29" s="37"/>
      <c r="D29" s="37"/>
      <c r="E29" s="30"/>
      <c r="F29" s="30"/>
      <c r="G29" s="30"/>
      <c r="H29" s="30"/>
      <c r="I29" s="30"/>
      <c r="J29" s="30"/>
      <c r="K29" s="30"/>
      <c r="L29" s="30"/>
      <c r="M29" s="30"/>
      <c r="N29" s="30"/>
      <c r="O29" s="30"/>
      <c r="P29" s="30"/>
      <c r="Q29" s="30"/>
      <c r="R29" s="30"/>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c r="DO29" s="32"/>
      <c r="DP29" s="32"/>
      <c r="DQ29" s="32"/>
      <c r="DR29" s="32"/>
      <c r="DS29" s="32"/>
      <c r="DT29" s="32"/>
      <c r="DU29" s="32"/>
      <c r="DV29" s="32"/>
      <c r="DW29" s="32"/>
      <c r="DX29" s="32"/>
      <c r="DY29" s="32"/>
      <c r="DZ29" s="32"/>
      <c r="EA29" s="32"/>
      <c r="EB29" s="32"/>
      <c r="EC29" s="32"/>
      <c r="ED29" s="32"/>
      <c r="EE29" s="32"/>
      <c r="EF29" s="32"/>
      <c r="EG29" s="32"/>
      <c r="EH29" s="32"/>
      <c r="EI29" s="32"/>
      <c r="EJ29" s="32"/>
      <c r="EK29" s="32"/>
      <c r="EL29" s="32"/>
      <c r="EM29" s="32"/>
      <c r="EN29" s="32"/>
      <c r="EO29" s="32"/>
      <c r="EP29" s="32"/>
      <c r="EQ29" s="32"/>
      <c r="ER29" s="32"/>
      <c r="ES29" s="32"/>
      <c r="ET29" s="32"/>
      <c r="EU29" s="32"/>
      <c r="EV29" s="32"/>
      <c r="EW29" s="32"/>
      <c r="EX29" s="32"/>
    </row>
    <row r="30" spans="1:159">
      <c r="A30" s="27"/>
      <c r="B30" s="38"/>
      <c r="C30" s="37"/>
      <c r="D30" s="37"/>
      <c r="E30" s="30"/>
      <c r="F30" s="30"/>
      <c r="G30" s="30"/>
      <c r="H30" s="30"/>
      <c r="I30" s="30"/>
      <c r="J30" s="30"/>
      <c r="K30" s="30"/>
      <c r="L30" s="30"/>
      <c r="M30" s="30"/>
      <c r="N30" s="30"/>
      <c r="O30" s="30"/>
      <c r="P30" s="30"/>
      <c r="Q30" s="30"/>
      <c r="R30" s="30"/>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c r="BN30" s="32"/>
      <c r="BO30" s="32"/>
      <c r="BP30" s="32"/>
      <c r="BQ30" s="32"/>
      <c r="BR30" s="32"/>
      <c r="BS30" s="32"/>
      <c r="BT30" s="32"/>
      <c r="BU30" s="32"/>
      <c r="BV30" s="32"/>
      <c r="BW30" s="32"/>
      <c r="BX30" s="32"/>
      <c r="BY30" s="32"/>
      <c r="BZ30" s="32"/>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c r="DD30" s="32"/>
      <c r="DE30" s="32"/>
      <c r="DF30" s="32"/>
      <c r="DG30" s="32"/>
      <c r="DH30" s="32"/>
      <c r="DI30" s="32"/>
      <c r="DJ30" s="32"/>
      <c r="DK30" s="32"/>
      <c r="DL30" s="32"/>
      <c r="DM30" s="32"/>
      <c r="DN30" s="32"/>
      <c r="DO30" s="32"/>
      <c r="DP30" s="32"/>
      <c r="DQ30" s="32"/>
      <c r="DR30" s="32"/>
      <c r="DS30" s="32"/>
      <c r="DT30" s="32"/>
      <c r="DU30" s="32"/>
      <c r="DV30" s="32"/>
      <c r="DW30" s="32"/>
      <c r="DX30" s="32"/>
      <c r="DY30" s="32"/>
      <c r="DZ30" s="32"/>
      <c r="EA30" s="32"/>
      <c r="EB30" s="32"/>
      <c r="EC30" s="32"/>
      <c r="ED30" s="32"/>
      <c r="EE30" s="32"/>
      <c r="EF30" s="32"/>
      <c r="EG30" s="32"/>
      <c r="EH30" s="32"/>
      <c r="EI30" s="32"/>
      <c r="EJ30" s="32"/>
      <c r="EK30" s="32"/>
      <c r="EL30" s="32"/>
      <c r="EM30" s="32"/>
      <c r="EN30" s="32"/>
      <c r="EO30" s="32"/>
      <c r="EP30" s="32"/>
      <c r="EQ30" s="32"/>
      <c r="ER30" s="32"/>
      <c r="ES30" s="32"/>
      <c r="ET30" s="32"/>
      <c r="EU30" s="32"/>
      <c r="EV30" s="32"/>
      <c r="EW30" s="32"/>
      <c r="EX30" s="32"/>
    </row>
    <row r="31" spans="1:159" s="8" customFormat="1" ht="14.1" customHeight="1">
      <c r="A31" s="39"/>
      <c r="B31" s="38"/>
      <c r="C31" s="40"/>
      <c r="D31" s="40"/>
      <c r="E31" s="41"/>
      <c r="F31" s="41"/>
      <c r="G31" s="41"/>
      <c r="H31" s="41"/>
      <c r="I31" s="41"/>
      <c r="J31" s="41"/>
      <c r="K31" s="41"/>
      <c r="L31" s="41"/>
      <c r="M31" s="41"/>
      <c r="N31" s="41"/>
      <c r="O31" s="41"/>
      <c r="P31" s="41"/>
      <c r="Q31" s="41"/>
      <c r="R31" s="41"/>
      <c r="S31" s="79"/>
      <c r="T31" s="79"/>
      <c r="U31" s="79"/>
      <c r="V31" s="79"/>
      <c r="W31" s="79"/>
      <c r="X31" s="79"/>
      <c r="Y31" s="79"/>
      <c r="Z31" s="79"/>
      <c r="AA31" s="79"/>
      <c r="AB31" s="79"/>
      <c r="AC31" s="79"/>
      <c r="AD31" s="79"/>
      <c r="AE31" s="79"/>
      <c r="AF31" s="79"/>
      <c r="AG31" s="79"/>
      <c r="AH31" s="79"/>
      <c r="AI31" s="79"/>
      <c r="AJ31" s="79"/>
      <c r="AK31" s="79"/>
      <c r="AL31" s="79"/>
      <c r="AM31" s="79"/>
      <c r="AN31" s="79"/>
      <c r="AO31" s="79"/>
      <c r="AP31" s="79"/>
      <c r="AQ31" s="79"/>
      <c r="AR31" s="79"/>
      <c r="AS31" s="79"/>
      <c r="AT31" s="79"/>
      <c r="AU31" s="79"/>
      <c r="AV31" s="79"/>
      <c r="AW31" s="79"/>
      <c r="AX31" s="79"/>
      <c r="AY31" s="79"/>
      <c r="AZ31" s="79"/>
      <c r="BA31" s="7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c r="CN31" s="79"/>
      <c r="CO31" s="79"/>
      <c r="CP31" s="79"/>
      <c r="CQ31" s="79"/>
      <c r="CR31" s="79"/>
      <c r="CS31" s="79"/>
      <c r="CT31" s="79"/>
      <c r="CU31" s="79"/>
      <c r="CV31" s="79"/>
      <c r="CW31" s="79"/>
      <c r="CX31" s="79"/>
      <c r="CY31" s="79"/>
      <c r="CZ31" s="79"/>
      <c r="DA31" s="79"/>
      <c r="DB31" s="79"/>
      <c r="DC31" s="79"/>
      <c r="DD31" s="79"/>
      <c r="DE31" s="79"/>
      <c r="DF31" s="79"/>
      <c r="DG31" s="79"/>
      <c r="DH31" s="79"/>
      <c r="DI31" s="79"/>
      <c r="DJ31" s="79"/>
      <c r="DK31" s="79"/>
      <c r="DL31" s="79"/>
      <c r="DM31" s="79"/>
      <c r="DN31" s="79"/>
      <c r="DO31" s="79"/>
      <c r="DP31" s="79"/>
      <c r="DQ31" s="79"/>
      <c r="DR31" s="79"/>
      <c r="DS31" s="79"/>
      <c r="DT31" s="79"/>
      <c r="DU31" s="79"/>
      <c r="DV31" s="79"/>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10"/>
      <c r="EZ31" s="10"/>
      <c r="FA31" s="10"/>
      <c r="FB31" s="10"/>
      <c r="FC31" s="10"/>
    </row>
    <row r="32" spans="1:159">
      <c r="A32" s="42"/>
      <c r="B32" s="38"/>
      <c r="C32" s="37"/>
      <c r="D32" s="37"/>
      <c r="E32" s="30"/>
      <c r="F32" s="30"/>
      <c r="G32" s="30"/>
      <c r="H32" s="30"/>
      <c r="I32" s="30"/>
      <c r="J32" s="30"/>
      <c r="K32" s="30"/>
      <c r="L32" s="30"/>
      <c r="M32" s="30"/>
      <c r="N32" s="30"/>
      <c r="O32" s="30"/>
      <c r="P32" s="30"/>
      <c r="Q32" s="30"/>
      <c r="R32" s="3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row>
    <row r="33" spans="1:159" ht="13.5" customHeight="1">
      <c r="A33" s="42"/>
      <c r="B33" s="38"/>
      <c r="C33" s="43"/>
      <c r="D33" s="43"/>
      <c r="E33" s="44"/>
      <c r="F33" s="44"/>
      <c r="G33" s="44"/>
      <c r="H33" s="44"/>
      <c r="I33" s="44"/>
      <c r="J33" s="44"/>
      <c r="K33" s="44"/>
      <c r="L33" s="44"/>
      <c r="M33" s="44"/>
      <c r="N33" s="44"/>
      <c r="O33" s="44"/>
      <c r="P33" s="44"/>
      <c r="Q33" s="44"/>
      <c r="R33" s="44"/>
      <c r="S33" s="932"/>
      <c r="T33" s="932"/>
      <c r="U33" s="949"/>
      <c r="V33" s="949"/>
      <c r="W33" s="949"/>
      <c r="X33" s="949"/>
      <c r="Y33" s="967"/>
      <c r="Z33" s="974"/>
      <c r="AA33" s="978"/>
      <c r="AB33" s="978"/>
      <c r="AC33" s="978"/>
      <c r="AD33" s="978"/>
      <c r="AE33" s="978"/>
      <c r="AF33" s="978"/>
      <c r="AG33" s="988"/>
      <c r="AH33" s="992"/>
      <c r="AI33" s="999"/>
      <c r="AJ33" s="999"/>
      <c r="AK33" s="999"/>
      <c r="AL33" s="1004"/>
      <c r="AM33" s="1018"/>
      <c r="AN33" s="1026"/>
      <c r="AO33" s="1034"/>
      <c r="AP33" s="1046"/>
      <c r="AQ33" s="1057"/>
      <c r="AR33" s="1057"/>
      <c r="AS33" s="1062"/>
      <c r="AT33" s="1067"/>
      <c r="AU33" s="1071"/>
      <c r="AV33" s="1076"/>
      <c r="AW33" s="1082"/>
      <c r="AX33" s="1082"/>
      <c r="AY33" s="1082"/>
      <c r="AZ33" s="1082"/>
      <c r="BA33" s="1082"/>
      <c r="BB33" s="1082"/>
      <c r="BC33" s="1082"/>
      <c r="BD33" s="1082"/>
      <c r="BE33" s="1082"/>
      <c r="BF33" s="1082"/>
      <c r="BG33" s="1082"/>
      <c r="BH33" s="1082"/>
      <c r="BI33" s="1102"/>
      <c r="BJ33" s="1107"/>
      <c r="BK33" s="1111"/>
      <c r="BL33" s="1111"/>
      <c r="BM33" s="1111"/>
      <c r="BN33" s="1119"/>
      <c r="BO33" s="1125"/>
      <c r="BP33" s="1125"/>
      <c r="BQ33" s="1130"/>
      <c r="BR33" s="1140"/>
      <c r="BS33" s="1140"/>
      <c r="BT33" s="1140"/>
      <c r="BU33" s="1146"/>
      <c r="BV33" s="1153"/>
      <c r="BW33" s="1158"/>
      <c r="BX33" s="1158"/>
      <c r="BY33" s="1164"/>
      <c r="BZ33" s="1164"/>
      <c r="CA33" s="1164"/>
      <c r="CB33" s="1179"/>
      <c r="CC33" s="1184"/>
      <c r="CD33" s="1188"/>
      <c r="CE33" s="1193"/>
      <c r="CF33" s="1201"/>
      <c r="CG33" s="1201"/>
      <c r="CH33" s="1201"/>
      <c r="CI33" s="1212"/>
      <c r="CJ33" s="1216"/>
      <c r="CK33" s="1224"/>
      <c r="CL33" s="1236"/>
      <c r="CM33" s="1245"/>
      <c r="CN33" s="1245"/>
      <c r="CO33" s="1245"/>
      <c r="CP33" s="1251"/>
      <c r="CQ33" s="1258"/>
      <c r="CR33" s="1265"/>
      <c r="CS33" s="1269"/>
      <c r="CT33" s="1279"/>
      <c r="CU33" s="1279"/>
      <c r="CV33" s="1279"/>
      <c r="CW33" s="1286"/>
      <c r="CX33" s="1293"/>
      <c r="CY33" s="1299"/>
      <c r="CZ33" s="1305"/>
      <c r="DA33" s="1311"/>
      <c r="DB33" s="1311"/>
      <c r="DC33" s="1311"/>
      <c r="DD33" s="1319"/>
      <c r="DE33" s="1327"/>
      <c r="DF33" s="1331"/>
      <c r="DG33" s="1338"/>
      <c r="DH33" s="1338"/>
      <c r="DI33" s="1338"/>
      <c r="DJ33" s="1349"/>
      <c r="DK33" s="1351"/>
      <c r="DL33" s="1358"/>
      <c r="DM33" s="1363"/>
      <c r="DN33" s="1369"/>
      <c r="DO33" s="1384"/>
      <c r="DP33" s="1384"/>
      <c r="DQ33" s="1384"/>
      <c r="DR33" s="1384"/>
      <c r="DS33" s="1392"/>
      <c r="DT33" s="1398"/>
      <c r="DU33" s="1403"/>
      <c r="DV33" s="1412"/>
      <c r="DW33" s="1412"/>
      <c r="DX33" s="1412"/>
      <c r="DY33" s="1422"/>
      <c r="DZ33" s="1428"/>
      <c r="EA33" s="1433"/>
      <c r="EB33" s="1439"/>
      <c r="EC33" s="1446"/>
      <c r="ED33" s="1446"/>
      <c r="EE33" s="1451"/>
      <c r="EF33" s="1451"/>
      <c r="EG33" s="1451"/>
      <c r="EH33" s="1451"/>
      <c r="EI33" s="1451"/>
      <c r="EJ33" s="1451"/>
      <c r="EK33" s="1451"/>
      <c r="EL33" s="1459"/>
      <c r="EM33" s="1462"/>
      <c r="EN33" s="1467"/>
      <c r="EO33" s="1473"/>
      <c r="EP33" s="1479"/>
      <c r="EQ33" s="1483"/>
      <c r="ER33" s="1483"/>
      <c r="ES33" s="1483"/>
      <c r="ET33" s="1495"/>
      <c r="EU33" s="1500"/>
      <c r="EV33" s="1512"/>
      <c r="EW33" s="1516"/>
      <c r="EX33" s="81"/>
    </row>
    <row r="34" spans="1:159" s="9" customFormat="1" ht="20.25">
      <c r="A34" s="45"/>
      <c r="B34" s="46" t="s">
        <v>815</v>
      </c>
      <c r="C34" s="46"/>
      <c r="D34" s="47" t="s">
        <v>1258</v>
      </c>
      <c r="E34" s="47" t="s">
        <v>1259</v>
      </c>
      <c r="F34" s="119" t="s">
        <v>832</v>
      </c>
      <c r="G34" s="119" t="s">
        <v>833</v>
      </c>
      <c r="H34" s="119" t="s">
        <v>834</v>
      </c>
      <c r="I34" s="119" t="s">
        <v>1255</v>
      </c>
      <c r="J34" s="119" t="s">
        <v>1296</v>
      </c>
      <c r="K34" s="119" t="s">
        <v>1319</v>
      </c>
      <c r="L34" s="119" t="s">
        <v>1385</v>
      </c>
      <c r="M34" s="119" t="s">
        <v>1439</v>
      </c>
      <c r="N34" s="119" t="s">
        <v>817</v>
      </c>
      <c r="O34" s="119" t="s">
        <v>818</v>
      </c>
      <c r="P34" s="119" t="s">
        <v>819</v>
      </c>
      <c r="Q34" s="119" t="s">
        <v>820</v>
      </c>
      <c r="R34" s="119" t="s">
        <v>821</v>
      </c>
      <c r="S34" s="120">
        <v>43466</v>
      </c>
      <c r="T34" s="120">
        <v>43467</v>
      </c>
      <c r="U34" s="120">
        <v>43468</v>
      </c>
      <c r="V34" s="120">
        <v>43469</v>
      </c>
      <c r="W34" s="120">
        <v>43470</v>
      </c>
      <c r="X34" s="120">
        <v>43471</v>
      </c>
      <c r="Y34" s="120">
        <v>43472</v>
      </c>
      <c r="Z34" s="120">
        <v>43473</v>
      </c>
      <c r="AA34" s="120">
        <v>43474</v>
      </c>
      <c r="AB34" s="120">
        <v>43475</v>
      </c>
      <c r="AC34" s="120">
        <v>43476</v>
      </c>
      <c r="AD34" s="120">
        <v>43477</v>
      </c>
      <c r="AE34" s="120">
        <v>43478</v>
      </c>
      <c r="AF34" s="120">
        <v>43479</v>
      </c>
      <c r="AG34" s="120">
        <v>43480</v>
      </c>
      <c r="AH34" s="120">
        <v>43481</v>
      </c>
      <c r="AI34" s="120">
        <v>43482</v>
      </c>
      <c r="AJ34" s="120">
        <v>43483</v>
      </c>
      <c r="AK34" s="120">
        <v>43484</v>
      </c>
      <c r="AL34" s="120">
        <v>43485</v>
      </c>
      <c r="AM34" s="120">
        <v>43486</v>
      </c>
      <c r="AN34" s="120">
        <v>43487</v>
      </c>
      <c r="AO34" s="120">
        <v>43488</v>
      </c>
      <c r="AP34" s="120">
        <v>43489</v>
      </c>
      <c r="AQ34" s="120">
        <v>43490</v>
      </c>
      <c r="AR34" s="120">
        <v>43491</v>
      </c>
      <c r="AS34" s="120">
        <v>43492</v>
      </c>
      <c r="AT34" s="120">
        <v>43493</v>
      </c>
      <c r="AU34" s="120">
        <v>43494</v>
      </c>
      <c r="AV34" s="120">
        <v>43495</v>
      </c>
      <c r="AW34" s="120">
        <v>43496</v>
      </c>
      <c r="AX34" s="120">
        <v>43497</v>
      </c>
      <c r="AY34" s="120">
        <v>43498</v>
      </c>
      <c r="AZ34" s="120">
        <v>43499</v>
      </c>
      <c r="BA34" s="120">
        <v>43500</v>
      </c>
      <c r="BB34" s="120">
        <v>43501</v>
      </c>
      <c r="BC34" s="120">
        <v>43502</v>
      </c>
      <c r="BD34" s="120">
        <v>43503</v>
      </c>
      <c r="BE34" s="120">
        <v>43504</v>
      </c>
      <c r="BF34" s="120">
        <v>43505</v>
      </c>
      <c r="BG34" s="120">
        <v>43506</v>
      </c>
      <c r="BH34" s="120">
        <v>43507</v>
      </c>
      <c r="BI34" s="120">
        <v>43508</v>
      </c>
      <c r="BJ34" s="120">
        <v>43509</v>
      </c>
      <c r="BK34" s="120">
        <v>43510</v>
      </c>
      <c r="BL34" s="120">
        <v>43511</v>
      </c>
      <c r="BM34" s="120">
        <v>43512</v>
      </c>
      <c r="BN34" s="120">
        <v>43513</v>
      </c>
      <c r="BO34" s="120">
        <v>43514</v>
      </c>
      <c r="BP34" s="120">
        <v>43515</v>
      </c>
      <c r="BQ34" s="120">
        <v>43516</v>
      </c>
      <c r="BR34" s="120">
        <v>43517</v>
      </c>
      <c r="BS34" s="120">
        <v>43518</v>
      </c>
      <c r="BT34" s="120">
        <v>43519</v>
      </c>
      <c r="BU34" s="120">
        <v>43520</v>
      </c>
      <c r="BV34" s="120">
        <v>43521</v>
      </c>
      <c r="BW34" s="120">
        <v>43522</v>
      </c>
      <c r="BX34" s="120">
        <v>43523</v>
      </c>
      <c r="BY34" s="120">
        <v>43524</v>
      </c>
      <c r="BZ34" s="120">
        <v>43525</v>
      </c>
      <c r="CA34" s="120">
        <v>43526</v>
      </c>
      <c r="CB34" s="120">
        <v>43527</v>
      </c>
      <c r="CC34" s="120">
        <v>43528</v>
      </c>
      <c r="CD34" s="120">
        <v>43529</v>
      </c>
      <c r="CE34" s="120">
        <v>43530</v>
      </c>
      <c r="CF34" s="120">
        <v>43531</v>
      </c>
      <c r="CG34" s="120">
        <v>43532</v>
      </c>
      <c r="CH34" s="120">
        <v>43533</v>
      </c>
      <c r="CI34" s="120">
        <v>43534</v>
      </c>
      <c r="CJ34" s="120">
        <v>43535</v>
      </c>
      <c r="CK34" s="120">
        <v>43536</v>
      </c>
      <c r="CL34" s="120">
        <v>43537</v>
      </c>
      <c r="CM34" s="120">
        <v>43538</v>
      </c>
      <c r="CN34" s="120">
        <v>43539</v>
      </c>
      <c r="CO34" s="120">
        <v>43540</v>
      </c>
      <c r="CP34" s="120">
        <v>43541</v>
      </c>
      <c r="CQ34" s="120">
        <v>43542</v>
      </c>
      <c r="CR34" s="120">
        <v>43543</v>
      </c>
      <c r="CS34" s="120">
        <v>43544</v>
      </c>
      <c r="CT34" s="120">
        <v>43545</v>
      </c>
      <c r="CU34" s="120">
        <v>43546</v>
      </c>
      <c r="CV34" s="120">
        <v>43547</v>
      </c>
      <c r="CW34" s="120">
        <v>43548</v>
      </c>
      <c r="CX34" s="120">
        <v>43549</v>
      </c>
      <c r="CY34" s="120">
        <v>43550</v>
      </c>
      <c r="CZ34" s="120">
        <v>43551</v>
      </c>
      <c r="DA34" s="120">
        <v>43552</v>
      </c>
      <c r="DB34" s="120">
        <v>43553</v>
      </c>
      <c r="DC34" s="120">
        <v>43554</v>
      </c>
      <c r="DD34" s="120">
        <v>43555</v>
      </c>
      <c r="DE34" s="120">
        <v>43556</v>
      </c>
      <c r="DF34" s="120">
        <v>43557</v>
      </c>
      <c r="DG34" s="120">
        <v>43558</v>
      </c>
      <c r="DH34" s="120">
        <v>43559</v>
      </c>
      <c r="DI34" s="120">
        <v>43560</v>
      </c>
      <c r="DJ34" s="120">
        <v>43561</v>
      </c>
      <c r="DK34" s="120">
        <v>43562</v>
      </c>
      <c r="DL34" s="120">
        <v>43563</v>
      </c>
      <c r="DM34" s="120">
        <v>43564</v>
      </c>
      <c r="DN34" s="120">
        <v>43565</v>
      </c>
      <c r="DO34" s="120">
        <v>43566</v>
      </c>
      <c r="DP34" s="120">
        <v>43567</v>
      </c>
      <c r="DQ34" s="120">
        <v>43568</v>
      </c>
      <c r="DR34" s="120">
        <v>43569</v>
      </c>
      <c r="DS34" s="120">
        <v>43570</v>
      </c>
      <c r="DT34" s="120">
        <v>43571</v>
      </c>
      <c r="DU34" s="120">
        <v>43572</v>
      </c>
      <c r="DV34" s="120">
        <v>43573</v>
      </c>
      <c r="DW34" s="120">
        <v>43574</v>
      </c>
      <c r="DX34" s="120">
        <v>43575</v>
      </c>
      <c r="DY34" s="120">
        <v>43576</v>
      </c>
      <c r="DZ34" s="120">
        <v>43577</v>
      </c>
      <c r="EA34" s="120">
        <v>43578</v>
      </c>
      <c r="EB34" s="120">
        <v>43579</v>
      </c>
      <c r="EC34" s="120">
        <v>43580</v>
      </c>
      <c r="ED34" s="120">
        <v>43581</v>
      </c>
      <c r="EE34" s="120">
        <v>43582</v>
      </c>
      <c r="EF34" s="120">
        <v>43583</v>
      </c>
      <c r="EG34" s="120">
        <v>43584</v>
      </c>
      <c r="EH34" s="120">
        <v>43585</v>
      </c>
      <c r="EI34" s="120">
        <v>43586</v>
      </c>
      <c r="EJ34" s="120">
        <v>43587</v>
      </c>
      <c r="EK34" s="120">
        <v>43588</v>
      </c>
      <c r="EL34" s="120">
        <v>43589</v>
      </c>
      <c r="EM34" s="120">
        <v>43590</v>
      </c>
      <c r="EN34" s="120">
        <v>43591</v>
      </c>
      <c r="EO34" s="120">
        <v>43592</v>
      </c>
      <c r="EP34" s="120">
        <v>43593</v>
      </c>
      <c r="EQ34" s="120">
        <v>43594</v>
      </c>
      <c r="ER34" s="120">
        <v>43595</v>
      </c>
      <c r="ES34" s="120">
        <v>43596</v>
      </c>
      <c r="ET34" s="120">
        <v>43597</v>
      </c>
      <c r="EU34" s="120">
        <v>43598</v>
      </c>
      <c r="EV34" s="120">
        <v>43599</v>
      </c>
      <c r="EW34" s="120">
        <v>43600</v>
      </c>
      <c r="EX34" s="120">
        <v>43601</v>
      </c>
    </row>
    <row r="35" spans="1:159" s="10" customFormat="1" ht="27.75" customHeight="1">
      <c r="A35" s="48"/>
      <c r="B35" s="49" t="s">
        <v>964</v>
      </c>
      <c r="C35" s="46"/>
      <c r="D35" s="50">
        <v>6081</v>
      </c>
      <c r="E35" s="50">
        <f>SUBTOTAL(9,S41:EX41)</f>
        <v>662</v>
      </c>
      <c r="F35" s="50">
        <v>557</v>
      </c>
      <c r="G35" s="806">
        <v>264</v>
      </c>
      <c r="H35" s="806">
        <v>628</v>
      </c>
      <c r="I35" s="50">
        <f>SUM(S41:AW41)</f>
        <v>207</v>
      </c>
      <c r="J35" s="806">
        <f>SUM(AX41:BY41)</f>
        <v>196</v>
      </c>
      <c r="K35" s="806">
        <f>SUM(BZ41:DD41)</f>
        <v>96</v>
      </c>
      <c r="L35" s="806">
        <f>SUM(DE41:EH41)</f>
        <v>130</v>
      </c>
      <c r="M35" s="806">
        <f>SUM(EI41:EX41)</f>
        <v>33</v>
      </c>
      <c r="N35" s="50">
        <f>SUBTOTAL(9,ED41:EJ41)</f>
        <v>19</v>
      </c>
      <c r="O35" s="50">
        <f>SUM(EK41:EQ41)</f>
        <v>12</v>
      </c>
      <c r="P35" s="50">
        <f>SUM(ER41:EX41)</f>
        <v>21</v>
      </c>
      <c r="Q35" s="50"/>
      <c r="R35" s="50"/>
      <c r="S35" s="743"/>
      <c r="T35" s="743"/>
      <c r="U35" s="74"/>
      <c r="V35" s="74"/>
      <c r="W35" s="74"/>
      <c r="X35" s="74"/>
      <c r="Y35" s="743"/>
      <c r="Z35" s="743"/>
      <c r="AA35" s="743"/>
      <c r="AB35" s="743"/>
      <c r="AC35" s="743"/>
      <c r="AD35" s="743"/>
      <c r="AE35" s="743"/>
      <c r="AF35" s="743"/>
      <c r="AG35" s="743"/>
      <c r="AH35" s="743"/>
      <c r="AI35" s="743"/>
      <c r="AJ35" s="743"/>
      <c r="AK35" s="743"/>
      <c r="AL35" s="743"/>
      <c r="AM35" s="743"/>
      <c r="AN35" s="743"/>
      <c r="AO35" s="743"/>
      <c r="AP35" s="743"/>
      <c r="AQ35" s="743"/>
      <c r="AR35" s="743"/>
      <c r="AS35" s="743"/>
      <c r="AT35" s="743"/>
      <c r="AU35" s="743"/>
      <c r="AV35" s="743"/>
      <c r="AW35" s="743"/>
      <c r="AX35" s="743"/>
      <c r="AY35" s="743"/>
      <c r="AZ35" s="743"/>
      <c r="BA35" s="743"/>
      <c r="BB35" s="743"/>
      <c r="BC35" s="743"/>
      <c r="BD35" s="743"/>
      <c r="BE35" s="743"/>
      <c r="BF35" s="743"/>
      <c r="BG35" s="743"/>
      <c r="BH35" s="743"/>
      <c r="BI35" s="743"/>
      <c r="BJ35" s="743"/>
      <c r="BK35" s="74"/>
      <c r="BL35" s="743"/>
      <c r="BM35" s="743"/>
      <c r="BN35" s="743"/>
      <c r="BO35" s="743"/>
      <c r="BP35" s="743"/>
      <c r="BQ35" s="74"/>
      <c r="BR35" s="743"/>
      <c r="BS35" s="743"/>
      <c r="BT35" s="743"/>
      <c r="BU35" s="743"/>
      <c r="BV35" s="743"/>
      <c r="BW35" s="74"/>
      <c r="BX35" s="743"/>
      <c r="BY35" s="743"/>
      <c r="BZ35" s="743"/>
      <c r="CA35" s="743"/>
      <c r="CB35" s="743"/>
      <c r="CC35" s="743"/>
      <c r="CD35" s="743"/>
      <c r="CE35" s="743"/>
      <c r="CF35" s="743"/>
      <c r="CG35" s="743"/>
      <c r="CH35" s="743"/>
      <c r="CI35" s="743"/>
      <c r="CJ35" s="743"/>
      <c r="CK35" s="743"/>
      <c r="CL35" s="743"/>
      <c r="CM35" s="743"/>
      <c r="CN35" s="743"/>
      <c r="CO35" s="743"/>
      <c r="CP35" s="743"/>
      <c r="CQ35" s="743"/>
      <c r="CR35" s="743"/>
      <c r="CS35" s="743"/>
      <c r="CT35" s="74"/>
      <c r="CU35" s="743"/>
      <c r="CV35" s="743"/>
      <c r="CW35" s="743"/>
      <c r="CX35" s="743"/>
      <c r="CY35" s="743"/>
      <c r="CZ35" s="743"/>
      <c r="DA35" s="743"/>
      <c r="DB35" s="743"/>
      <c r="DC35" s="743"/>
      <c r="DD35" s="743"/>
      <c r="DE35" s="743"/>
      <c r="DF35" s="743"/>
      <c r="DG35" s="743"/>
      <c r="DH35" s="743"/>
      <c r="DI35" s="743"/>
      <c r="DJ35" s="743"/>
      <c r="DK35" s="743"/>
      <c r="DL35" s="74"/>
      <c r="DM35" s="743"/>
      <c r="DN35" s="74"/>
      <c r="DO35" s="743"/>
      <c r="DP35" s="743"/>
      <c r="DQ35" s="743"/>
      <c r="DR35" s="743"/>
      <c r="DS35" s="743"/>
      <c r="DT35" s="743"/>
      <c r="DU35" s="743"/>
      <c r="DV35" s="74"/>
      <c r="DW35" s="743"/>
      <c r="DX35" s="743"/>
      <c r="DY35" s="743"/>
      <c r="DZ35" s="743"/>
      <c r="EA35" s="743"/>
      <c r="EB35" s="743"/>
      <c r="EC35" s="743"/>
      <c r="ED35" s="743"/>
      <c r="EE35" s="743"/>
      <c r="EF35" s="743"/>
      <c r="EG35" s="743"/>
      <c r="EH35" s="743"/>
      <c r="EI35" s="743"/>
      <c r="EJ35" s="743"/>
      <c r="EK35" s="743"/>
      <c r="EL35" s="743"/>
      <c r="EM35" s="743"/>
      <c r="EN35" s="743"/>
      <c r="EO35" s="743"/>
      <c r="EP35" s="743"/>
      <c r="EQ35" s="74"/>
      <c r="ER35" s="743"/>
      <c r="ES35" s="743"/>
      <c r="ET35" s="743"/>
      <c r="EU35" s="743"/>
      <c r="EV35" s="743"/>
      <c r="EW35" s="743"/>
      <c r="EX35" s="74"/>
    </row>
    <row r="36" spans="1:159" s="10" customFormat="1" ht="27.75" customHeight="1">
      <c r="A36" s="48"/>
      <c r="B36" s="51" t="s">
        <v>823</v>
      </c>
      <c r="C36" s="52"/>
      <c r="D36" s="50">
        <v>71</v>
      </c>
      <c r="E36" s="50">
        <f>SUBTOTAL(9,S42:EX42)</f>
        <v>7</v>
      </c>
      <c r="F36" s="50">
        <v>1</v>
      </c>
      <c r="G36" s="806">
        <v>1</v>
      </c>
      <c r="H36" s="806">
        <v>9</v>
      </c>
      <c r="I36" s="50">
        <f>SUM(S42:AW42)</f>
        <v>1</v>
      </c>
      <c r="J36" s="806">
        <f>SUM(AX42:BY42)</f>
        <v>0</v>
      </c>
      <c r="K36" s="806">
        <f>SUM(BZ42:DD42)</f>
        <v>2</v>
      </c>
      <c r="L36" s="806">
        <f>SUM(DE42:EH42)</f>
        <v>4</v>
      </c>
      <c r="M36" s="806">
        <f>SUM(EI42:EX42)</f>
        <v>0</v>
      </c>
      <c r="N36" s="50">
        <f>SUBTOTAL(9,ED42:EJ42)</f>
        <v>1</v>
      </c>
      <c r="O36" s="50">
        <f>SUM(EK42:EQ42)</f>
        <v>0</v>
      </c>
      <c r="P36" s="50">
        <f>SUM(ER42:EX42)</f>
        <v>0</v>
      </c>
      <c r="Q36" s="50"/>
      <c r="R36" s="50"/>
      <c r="S36" s="743"/>
      <c r="T36" s="743"/>
      <c r="U36" s="74"/>
      <c r="V36" s="74"/>
      <c r="W36" s="74"/>
      <c r="X36" s="74"/>
      <c r="Y36" s="743"/>
      <c r="Z36" s="743"/>
      <c r="AA36" s="743"/>
      <c r="AB36" s="743"/>
      <c r="AC36" s="743"/>
      <c r="AD36" s="743"/>
      <c r="AE36" s="743"/>
      <c r="AF36" s="743"/>
      <c r="AG36" s="743"/>
      <c r="AH36" s="743"/>
      <c r="AI36" s="743"/>
      <c r="AJ36" s="743"/>
      <c r="AK36" s="743"/>
      <c r="AL36" s="743"/>
      <c r="AM36" s="743"/>
      <c r="AN36" s="743"/>
      <c r="AO36" s="743"/>
      <c r="AP36" s="743"/>
      <c r="AQ36" s="743"/>
      <c r="AR36" s="743"/>
      <c r="AS36" s="743"/>
      <c r="AT36" s="743"/>
      <c r="AU36" s="743"/>
      <c r="AV36" s="743"/>
      <c r="AW36" s="743"/>
      <c r="AX36" s="743"/>
      <c r="AY36" s="743"/>
      <c r="AZ36" s="743"/>
      <c r="BA36" s="743"/>
      <c r="BB36" s="743"/>
      <c r="BC36" s="743"/>
      <c r="BD36" s="743"/>
      <c r="BE36" s="743"/>
      <c r="BF36" s="743"/>
      <c r="BG36" s="743"/>
      <c r="BH36" s="743"/>
      <c r="BI36" s="743"/>
      <c r="BJ36" s="743"/>
      <c r="BK36" s="74"/>
      <c r="BL36" s="743"/>
      <c r="BM36" s="743"/>
      <c r="BN36" s="743"/>
      <c r="BO36" s="743"/>
      <c r="BP36" s="743"/>
      <c r="BQ36" s="74"/>
      <c r="BR36" s="743"/>
      <c r="BS36" s="743"/>
      <c r="BT36" s="743"/>
      <c r="BU36" s="743"/>
      <c r="BV36" s="743"/>
      <c r="BW36" s="74"/>
      <c r="BX36" s="743"/>
      <c r="BY36" s="743"/>
      <c r="BZ36" s="743"/>
      <c r="CA36" s="743"/>
      <c r="CB36" s="743"/>
      <c r="CC36" s="743"/>
      <c r="CD36" s="743"/>
      <c r="CE36" s="743"/>
      <c r="CF36" s="743"/>
      <c r="CG36" s="743"/>
      <c r="CH36" s="743"/>
      <c r="CI36" s="743"/>
      <c r="CJ36" s="743"/>
      <c r="CK36" s="743"/>
      <c r="CL36" s="743"/>
      <c r="CM36" s="743"/>
      <c r="CN36" s="743"/>
      <c r="CO36" s="743"/>
      <c r="CP36" s="743"/>
      <c r="CQ36" s="743"/>
      <c r="CR36" s="743"/>
      <c r="CS36" s="743"/>
      <c r="CT36" s="74"/>
      <c r="CU36" s="743"/>
      <c r="CV36" s="743"/>
      <c r="CW36" s="743"/>
      <c r="CX36" s="743"/>
      <c r="CY36" s="743"/>
      <c r="CZ36" s="743"/>
      <c r="DA36" s="743"/>
      <c r="DB36" s="743"/>
      <c r="DC36" s="743"/>
      <c r="DD36" s="743"/>
      <c r="DE36" s="743"/>
      <c r="DF36" s="743"/>
      <c r="DG36" s="743"/>
      <c r="DH36" s="743"/>
      <c r="DI36" s="743"/>
      <c r="DJ36" s="743"/>
      <c r="DK36" s="743"/>
      <c r="DL36" s="74"/>
      <c r="DM36" s="743"/>
      <c r="DN36" s="74"/>
      <c r="DO36" s="743"/>
      <c r="DP36" s="743"/>
      <c r="DQ36" s="743"/>
      <c r="DR36" s="743"/>
      <c r="DS36" s="743"/>
      <c r="DT36" s="743"/>
      <c r="DU36" s="743"/>
      <c r="DV36" s="74"/>
      <c r="DW36" s="743"/>
      <c r="DX36" s="743"/>
      <c r="DY36" s="743"/>
      <c r="DZ36" s="743"/>
      <c r="EA36" s="743"/>
      <c r="EB36" s="743"/>
      <c r="EC36" s="743"/>
      <c r="ED36" s="743"/>
      <c r="EE36" s="743"/>
      <c r="EF36" s="743"/>
      <c r="EG36" s="743"/>
      <c r="EH36" s="743"/>
      <c r="EI36" s="743"/>
      <c r="EJ36" s="743"/>
      <c r="EK36" s="743"/>
      <c r="EL36" s="743"/>
      <c r="EM36" s="743"/>
      <c r="EN36" s="743"/>
      <c r="EO36" s="743"/>
      <c r="EP36" s="743"/>
      <c r="EQ36" s="74"/>
      <c r="ER36" s="743"/>
      <c r="ES36" s="743"/>
      <c r="ET36" s="743"/>
      <c r="EU36" s="743"/>
      <c r="EV36" s="743"/>
      <c r="EW36" s="743"/>
      <c r="EX36" s="74"/>
    </row>
    <row r="37" spans="1:159" s="10" customFormat="1" ht="27.75" customHeight="1">
      <c r="A37" s="48"/>
      <c r="B37" s="1647" t="s">
        <v>965</v>
      </c>
      <c r="C37" s="52" t="s">
        <v>825</v>
      </c>
      <c r="D37" s="54">
        <v>11.6757112317053</v>
      </c>
      <c r="E37" s="54">
        <f>E36/E35*1000</f>
        <v>10.574018126888218</v>
      </c>
      <c r="F37" s="54"/>
      <c r="G37" s="54"/>
      <c r="H37" s="54"/>
      <c r="I37" s="54"/>
      <c r="J37" s="1094"/>
      <c r="K37" s="1094"/>
      <c r="L37" s="1094"/>
      <c r="M37" s="1094"/>
      <c r="N37" s="54"/>
      <c r="O37" s="54"/>
      <c r="P37" s="54"/>
      <c r="Q37" s="54"/>
      <c r="R37" s="53"/>
      <c r="S37" s="743"/>
      <c r="T37" s="743"/>
      <c r="U37" s="74"/>
      <c r="V37" s="74"/>
      <c r="W37" s="74"/>
      <c r="X37" s="74"/>
      <c r="Y37" s="743"/>
      <c r="Z37" s="743"/>
      <c r="AA37" s="743"/>
      <c r="AB37" s="743"/>
      <c r="AC37" s="743"/>
      <c r="AD37" s="743"/>
      <c r="AE37" s="743"/>
      <c r="AF37" s="743"/>
      <c r="AG37" s="743"/>
      <c r="AH37" s="743"/>
      <c r="AI37" s="743"/>
      <c r="AJ37" s="743"/>
      <c r="AK37" s="743"/>
      <c r="AL37" s="743"/>
      <c r="AM37" s="743"/>
      <c r="AN37" s="743"/>
      <c r="AO37" s="743"/>
      <c r="AP37" s="743"/>
      <c r="AQ37" s="743"/>
      <c r="AR37" s="743"/>
      <c r="AS37" s="743"/>
      <c r="AT37" s="743"/>
      <c r="AU37" s="743"/>
      <c r="AV37" s="743"/>
      <c r="AW37" s="743"/>
      <c r="AX37" s="743"/>
      <c r="AY37" s="743"/>
      <c r="AZ37" s="743"/>
      <c r="BA37" s="743"/>
      <c r="BB37" s="743"/>
      <c r="BC37" s="743"/>
      <c r="BD37" s="743"/>
      <c r="BE37" s="743"/>
      <c r="BF37" s="743"/>
      <c r="BG37" s="743"/>
      <c r="BH37" s="743"/>
      <c r="BI37" s="743"/>
      <c r="BJ37" s="743"/>
      <c r="BK37" s="74"/>
      <c r="BL37" s="743"/>
      <c r="BM37" s="743"/>
      <c r="BN37" s="743"/>
      <c r="BO37" s="743"/>
      <c r="BP37" s="743"/>
      <c r="BQ37" s="74"/>
      <c r="BR37" s="743"/>
      <c r="BS37" s="743"/>
      <c r="BT37" s="743"/>
      <c r="BU37" s="743"/>
      <c r="BV37" s="743"/>
      <c r="BW37" s="74"/>
      <c r="BX37" s="743"/>
      <c r="BY37" s="743"/>
      <c r="BZ37" s="743"/>
      <c r="CA37" s="743"/>
      <c r="CB37" s="743"/>
      <c r="CC37" s="743"/>
      <c r="CD37" s="743"/>
      <c r="CE37" s="743"/>
      <c r="CF37" s="743"/>
      <c r="CG37" s="743"/>
      <c r="CH37" s="743"/>
      <c r="CI37" s="743"/>
      <c r="CJ37" s="743"/>
      <c r="CK37" s="743"/>
      <c r="CL37" s="743"/>
      <c r="CM37" s="743"/>
      <c r="CN37" s="743"/>
      <c r="CO37" s="743"/>
      <c r="CP37" s="743"/>
      <c r="CQ37" s="743"/>
      <c r="CR37" s="743"/>
      <c r="CS37" s="743"/>
      <c r="CT37" s="74"/>
      <c r="CU37" s="743"/>
      <c r="CV37" s="743"/>
      <c r="CW37" s="743"/>
      <c r="CX37" s="743"/>
      <c r="CY37" s="743"/>
      <c r="CZ37" s="743"/>
      <c r="DA37" s="743"/>
      <c r="DB37" s="743"/>
      <c r="DC37" s="743"/>
      <c r="DD37" s="743"/>
      <c r="DE37" s="743"/>
      <c r="DF37" s="743"/>
      <c r="DG37" s="743"/>
      <c r="DH37" s="743"/>
      <c r="DI37" s="743"/>
      <c r="DJ37" s="743"/>
      <c r="DK37" s="743"/>
      <c r="DL37" s="74"/>
      <c r="DM37" s="743"/>
      <c r="DN37" s="74"/>
      <c r="DO37" s="743"/>
      <c r="DP37" s="743"/>
      <c r="DQ37" s="743"/>
      <c r="DR37" s="743"/>
      <c r="DS37" s="743"/>
      <c r="DT37" s="743"/>
      <c r="DU37" s="743"/>
      <c r="DV37" s="74"/>
      <c r="DW37" s="743"/>
      <c r="DX37" s="743"/>
      <c r="DY37" s="743"/>
      <c r="DZ37" s="743"/>
      <c r="EA37" s="743"/>
      <c r="EB37" s="743"/>
      <c r="EC37" s="743"/>
      <c r="ED37" s="743"/>
      <c r="EE37" s="743"/>
      <c r="EF37" s="743"/>
      <c r="EG37" s="743"/>
      <c r="EH37" s="743"/>
      <c r="EI37" s="743"/>
      <c r="EJ37" s="743"/>
      <c r="EK37" s="743"/>
      <c r="EL37" s="743"/>
      <c r="EM37" s="743"/>
      <c r="EN37" s="743"/>
      <c r="EO37" s="743"/>
      <c r="EP37" s="743"/>
      <c r="EQ37" s="74"/>
      <c r="ER37" s="743"/>
      <c r="ES37" s="743"/>
      <c r="ET37" s="743"/>
      <c r="EU37" s="743"/>
      <c r="EV37" s="743"/>
      <c r="EW37" s="743"/>
      <c r="EX37" s="74"/>
    </row>
    <row r="38" spans="1:159" s="10" customFormat="1" ht="27.75" customHeight="1">
      <c r="A38" s="48"/>
      <c r="B38" s="1648"/>
      <c r="C38" s="52" t="s">
        <v>826</v>
      </c>
      <c r="D38" s="53"/>
      <c r="E38" s="54"/>
      <c r="F38" s="54">
        <v>1.7953321364452424</v>
      </c>
      <c r="G38" s="54">
        <v>3.7878787878787881</v>
      </c>
      <c r="H38" s="54">
        <v>14.3312101910828</v>
      </c>
      <c r="I38" s="54">
        <f>I36/I35*1000</f>
        <v>4.8309178743961354</v>
      </c>
      <c r="J38" s="54">
        <f>J36/J35*1000</f>
        <v>0</v>
      </c>
      <c r="K38" s="54">
        <f>K36/K35*1000</f>
        <v>20.833333333333332</v>
      </c>
      <c r="L38" s="54">
        <f>L36/L35*1000</f>
        <v>30.76923076923077</v>
      </c>
      <c r="M38" s="54">
        <f>M36/M35*1000</f>
        <v>0</v>
      </c>
      <c r="N38" s="54"/>
      <c r="O38" s="54"/>
      <c r="P38" s="54"/>
      <c r="Q38" s="54"/>
      <c r="R38" s="53"/>
      <c r="S38" s="743"/>
      <c r="T38" s="743"/>
      <c r="U38" s="74"/>
      <c r="V38" s="74"/>
      <c r="W38" s="74"/>
      <c r="X38" s="74"/>
      <c r="Y38" s="743"/>
      <c r="Z38" s="743"/>
      <c r="AA38" s="743"/>
      <c r="AB38" s="743"/>
      <c r="AC38" s="743"/>
      <c r="AD38" s="743"/>
      <c r="AE38" s="743"/>
      <c r="AF38" s="743"/>
      <c r="AG38" s="743"/>
      <c r="AH38" s="743"/>
      <c r="AI38" s="743"/>
      <c r="AJ38" s="743"/>
      <c r="AK38" s="743"/>
      <c r="AL38" s="743"/>
      <c r="AM38" s="743"/>
      <c r="AN38" s="743"/>
      <c r="AO38" s="743"/>
      <c r="AP38" s="743"/>
      <c r="AQ38" s="743"/>
      <c r="AR38" s="743"/>
      <c r="AS38" s="743"/>
      <c r="AT38" s="743"/>
      <c r="AU38" s="743"/>
      <c r="AV38" s="743"/>
      <c r="AW38" s="743"/>
      <c r="AX38" s="743"/>
      <c r="AY38" s="743"/>
      <c r="AZ38" s="743"/>
      <c r="BA38" s="743"/>
      <c r="BB38" s="743"/>
      <c r="BC38" s="743"/>
      <c r="BD38" s="743"/>
      <c r="BE38" s="743"/>
      <c r="BF38" s="743"/>
      <c r="BG38" s="743"/>
      <c r="BH38" s="743"/>
      <c r="BI38" s="743"/>
      <c r="BJ38" s="743"/>
      <c r="BK38" s="74"/>
      <c r="BL38" s="743"/>
      <c r="BM38" s="743"/>
      <c r="BN38" s="743"/>
      <c r="BO38" s="743"/>
      <c r="BP38" s="743"/>
      <c r="BQ38" s="74"/>
      <c r="BR38" s="743"/>
      <c r="BS38" s="743"/>
      <c r="BT38" s="743"/>
      <c r="BU38" s="743"/>
      <c r="BV38" s="743"/>
      <c r="BW38" s="74"/>
      <c r="BX38" s="743"/>
      <c r="BY38" s="743"/>
      <c r="BZ38" s="743"/>
      <c r="CA38" s="743"/>
      <c r="CB38" s="743"/>
      <c r="CC38" s="743"/>
      <c r="CD38" s="743"/>
      <c r="CE38" s="743"/>
      <c r="CF38" s="743"/>
      <c r="CG38" s="743"/>
      <c r="CH38" s="743"/>
      <c r="CI38" s="743"/>
      <c r="CJ38" s="743"/>
      <c r="CK38" s="743"/>
      <c r="CL38" s="743"/>
      <c r="CM38" s="743"/>
      <c r="CN38" s="743"/>
      <c r="CO38" s="743"/>
      <c r="CP38" s="743"/>
      <c r="CQ38" s="743"/>
      <c r="CR38" s="743"/>
      <c r="CS38" s="743"/>
      <c r="CT38" s="74"/>
      <c r="CU38" s="743"/>
      <c r="CV38" s="743"/>
      <c r="CW38" s="743"/>
      <c r="CX38" s="743"/>
      <c r="CY38" s="743"/>
      <c r="CZ38" s="743"/>
      <c r="DA38" s="743"/>
      <c r="DB38" s="743"/>
      <c r="DC38" s="743"/>
      <c r="DD38" s="743"/>
      <c r="DE38" s="743"/>
      <c r="DF38" s="743"/>
      <c r="DG38" s="743"/>
      <c r="DH38" s="743"/>
      <c r="DI38" s="743"/>
      <c r="DJ38" s="743"/>
      <c r="DK38" s="743"/>
      <c r="DL38" s="74"/>
      <c r="DM38" s="743"/>
      <c r="DN38" s="74"/>
      <c r="DO38" s="743"/>
      <c r="DP38" s="743"/>
      <c r="DQ38" s="743"/>
      <c r="DR38" s="743"/>
      <c r="DS38" s="743"/>
      <c r="DT38" s="743"/>
      <c r="DU38" s="743"/>
      <c r="DV38" s="74"/>
      <c r="DW38" s="743"/>
      <c r="DX38" s="743"/>
      <c r="DY38" s="743"/>
      <c r="DZ38" s="743"/>
      <c r="EA38" s="743"/>
      <c r="EB38" s="743"/>
      <c r="EC38" s="743"/>
      <c r="ED38" s="743"/>
      <c r="EE38" s="743"/>
      <c r="EF38" s="743"/>
      <c r="EG38" s="743"/>
      <c r="EH38" s="743"/>
      <c r="EI38" s="743"/>
      <c r="EJ38" s="743"/>
      <c r="EK38" s="743"/>
      <c r="EL38" s="743"/>
      <c r="EM38" s="743"/>
      <c r="EN38" s="743"/>
      <c r="EO38" s="743"/>
      <c r="EP38" s="743"/>
      <c r="EQ38" s="74"/>
      <c r="ER38" s="743"/>
      <c r="ES38" s="743"/>
      <c r="ET38" s="743"/>
      <c r="EU38" s="743"/>
      <c r="EV38" s="743"/>
      <c r="EW38" s="743"/>
      <c r="EX38" s="74"/>
    </row>
    <row r="39" spans="1:159" s="10" customFormat="1" ht="27.75" customHeight="1">
      <c r="A39" s="48"/>
      <c r="B39" s="1649"/>
      <c r="C39" s="52" t="s">
        <v>827</v>
      </c>
      <c r="D39" s="53"/>
      <c r="E39" s="54"/>
      <c r="F39" s="54"/>
      <c r="G39" s="54"/>
      <c r="H39" s="54"/>
      <c r="I39" s="54"/>
      <c r="J39" s="1094"/>
      <c r="K39" s="1094"/>
      <c r="L39" s="1094"/>
      <c r="M39" s="1094"/>
      <c r="N39" s="54">
        <f t="shared" ref="N39:R39" si="0">N36/N35*1000</f>
        <v>52.631578947368418</v>
      </c>
      <c r="O39" s="54">
        <f t="shared" si="0"/>
        <v>0</v>
      </c>
      <c r="P39" s="54">
        <f t="shared" si="0"/>
        <v>0</v>
      </c>
      <c r="Q39" s="54" t="e">
        <f t="shared" si="0"/>
        <v>#DIV/0!</v>
      </c>
      <c r="R39" s="54" t="e">
        <f t="shared" si="0"/>
        <v>#DIV/0!</v>
      </c>
      <c r="S39" s="744"/>
      <c r="T39" s="744"/>
      <c r="U39" s="130"/>
      <c r="V39" s="130"/>
      <c r="W39" s="130"/>
      <c r="X39" s="130"/>
      <c r="Y39" s="744"/>
      <c r="Z39" s="744"/>
      <c r="AA39" s="744"/>
      <c r="AB39" s="744"/>
      <c r="AC39" s="744"/>
      <c r="AD39" s="744"/>
      <c r="AE39" s="744"/>
      <c r="AF39" s="744"/>
      <c r="AG39" s="744"/>
      <c r="AH39" s="744"/>
      <c r="AI39" s="744"/>
      <c r="AJ39" s="744"/>
      <c r="AK39" s="744"/>
      <c r="AL39" s="744"/>
      <c r="AM39" s="744"/>
      <c r="AN39" s="744"/>
      <c r="AO39" s="744"/>
      <c r="AP39" s="744"/>
      <c r="AQ39" s="744"/>
      <c r="AR39" s="744"/>
      <c r="AS39" s="744"/>
      <c r="AT39" s="744"/>
      <c r="AU39" s="744"/>
      <c r="AV39" s="744"/>
      <c r="AW39" s="744"/>
      <c r="AX39" s="744"/>
      <c r="AY39" s="744"/>
      <c r="AZ39" s="744"/>
      <c r="BA39" s="744"/>
      <c r="BB39" s="744"/>
      <c r="BC39" s="744"/>
      <c r="BD39" s="744"/>
      <c r="BE39" s="744"/>
      <c r="BF39" s="744"/>
      <c r="BG39" s="744"/>
      <c r="BH39" s="744"/>
      <c r="BI39" s="744"/>
      <c r="BJ39" s="744"/>
      <c r="BK39" s="130"/>
      <c r="BL39" s="744"/>
      <c r="BM39" s="744"/>
      <c r="BN39" s="744"/>
      <c r="BO39" s="744"/>
      <c r="BP39" s="744"/>
      <c r="BQ39" s="130"/>
      <c r="BR39" s="744"/>
      <c r="BS39" s="744"/>
      <c r="BT39" s="744"/>
      <c r="BU39" s="744"/>
      <c r="BV39" s="744"/>
      <c r="BW39" s="130"/>
      <c r="BX39" s="744"/>
      <c r="BY39" s="744"/>
      <c r="BZ39" s="744"/>
      <c r="CA39" s="744"/>
      <c r="CB39" s="744"/>
      <c r="CC39" s="744"/>
      <c r="CD39" s="744"/>
      <c r="CE39" s="744"/>
      <c r="CF39" s="744"/>
      <c r="CG39" s="744"/>
      <c r="CH39" s="744"/>
      <c r="CI39" s="744"/>
      <c r="CJ39" s="744"/>
      <c r="CK39" s="744"/>
      <c r="CL39" s="744"/>
      <c r="CM39" s="744"/>
      <c r="CN39" s="744"/>
      <c r="CO39" s="744"/>
      <c r="CP39" s="744"/>
      <c r="CQ39" s="744"/>
      <c r="CR39" s="744"/>
      <c r="CS39" s="744"/>
      <c r="CT39" s="130"/>
      <c r="CU39" s="744"/>
      <c r="CV39" s="744"/>
      <c r="CW39" s="744"/>
      <c r="CX39" s="744"/>
      <c r="CY39" s="744"/>
      <c r="CZ39" s="744"/>
      <c r="DA39" s="744"/>
      <c r="DB39" s="744"/>
      <c r="DC39" s="744"/>
      <c r="DD39" s="744"/>
      <c r="DE39" s="744"/>
      <c r="DF39" s="744"/>
      <c r="DG39" s="744"/>
      <c r="DH39" s="744"/>
      <c r="DI39" s="744"/>
      <c r="DJ39" s="744"/>
      <c r="DK39" s="744"/>
      <c r="DL39" s="130"/>
      <c r="DM39" s="744"/>
      <c r="DN39" s="130"/>
      <c r="DO39" s="744"/>
      <c r="DP39" s="744"/>
      <c r="DQ39" s="744"/>
      <c r="DR39" s="744"/>
      <c r="DS39" s="744"/>
      <c r="DT39" s="744"/>
      <c r="DU39" s="744"/>
      <c r="DV39" s="130"/>
      <c r="DW39" s="744"/>
      <c r="DX39" s="744"/>
      <c r="DY39" s="744"/>
      <c r="DZ39" s="744"/>
      <c r="EA39" s="744"/>
      <c r="EB39" s="744"/>
      <c r="EC39" s="744"/>
      <c r="ED39" s="744"/>
      <c r="EE39" s="744"/>
      <c r="EF39" s="744"/>
      <c r="EG39" s="744"/>
      <c r="EH39" s="744"/>
      <c r="EI39" s="744"/>
      <c r="EJ39" s="744"/>
      <c r="EK39" s="744"/>
      <c r="EL39" s="744"/>
      <c r="EM39" s="744"/>
      <c r="EN39" s="744"/>
      <c r="EO39" s="744"/>
      <c r="EP39" s="744"/>
      <c r="EQ39" s="130"/>
      <c r="ER39" s="744"/>
      <c r="ES39" s="744"/>
      <c r="ET39" s="744"/>
      <c r="EU39" s="744"/>
      <c r="EV39" s="744"/>
      <c r="EW39" s="744"/>
      <c r="EX39" s="130"/>
    </row>
    <row r="40" spans="1:159" s="10" customFormat="1" ht="27.75" customHeight="1">
      <c r="A40" s="48"/>
      <c r="B40" s="51" t="s">
        <v>966</v>
      </c>
      <c r="C40" s="52"/>
      <c r="D40" s="53"/>
      <c r="E40" s="53">
        <v>9.34</v>
      </c>
      <c r="F40" s="53">
        <v>9.34</v>
      </c>
      <c r="G40" s="53">
        <v>9.34</v>
      </c>
      <c r="H40" s="53">
        <v>9.34</v>
      </c>
      <c r="I40" s="53">
        <v>9.34</v>
      </c>
      <c r="J40" s="53">
        <v>9.34</v>
      </c>
      <c r="K40" s="53">
        <v>9.34</v>
      </c>
      <c r="L40" s="53">
        <v>9.34</v>
      </c>
      <c r="M40" s="53">
        <v>9.34</v>
      </c>
      <c r="N40" s="53">
        <v>9.34</v>
      </c>
      <c r="O40" s="53">
        <v>9.34</v>
      </c>
      <c r="P40" s="53">
        <v>9.34</v>
      </c>
      <c r="Q40" s="53">
        <v>9.34</v>
      </c>
      <c r="R40" s="53">
        <v>9.34</v>
      </c>
      <c r="S40" s="745"/>
      <c r="T40" s="745"/>
      <c r="U40" s="131"/>
      <c r="V40" s="131"/>
      <c r="W40" s="131"/>
      <c r="X40" s="131"/>
      <c r="Y40" s="745"/>
      <c r="Z40" s="745"/>
      <c r="AA40" s="745"/>
      <c r="AB40" s="745"/>
      <c r="AC40" s="745"/>
      <c r="AD40" s="745"/>
      <c r="AE40" s="745"/>
      <c r="AF40" s="745"/>
      <c r="AG40" s="745"/>
      <c r="AH40" s="745"/>
      <c r="AI40" s="745"/>
      <c r="AJ40" s="745"/>
      <c r="AK40" s="745"/>
      <c r="AL40" s="745"/>
      <c r="AM40" s="745"/>
      <c r="AN40" s="745"/>
      <c r="AO40" s="745"/>
      <c r="AP40" s="745"/>
      <c r="AQ40" s="745"/>
      <c r="AR40" s="745"/>
      <c r="AS40" s="745"/>
      <c r="AT40" s="745"/>
      <c r="AU40" s="745"/>
      <c r="AV40" s="745"/>
      <c r="AW40" s="745"/>
      <c r="AX40" s="745"/>
      <c r="AY40" s="745"/>
      <c r="AZ40" s="745"/>
      <c r="BA40" s="745"/>
      <c r="BB40" s="745"/>
      <c r="BC40" s="745"/>
      <c r="BD40" s="745"/>
      <c r="BE40" s="745"/>
      <c r="BF40" s="745"/>
      <c r="BG40" s="745"/>
      <c r="BH40" s="745"/>
      <c r="BI40" s="745"/>
      <c r="BJ40" s="745"/>
      <c r="BK40" s="131"/>
      <c r="BL40" s="745"/>
      <c r="BM40" s="745"/>
      <c r="BN40" s="745"/>
      <c r="BO40" s="745"/>
      <c r="BP40" s="745"/>
      <c r="BQ40" s="131"/>
      <c r="BR40" s="745"/>
      <c r="BS40" s="745"/>
      <c r="BT40" s="745"/>
      <c r="BU40" s="745"/>
      <c r="BV40" s="745"/>
      <c r="BW40" s="131"/>
      <c r="BX40" s="745"/>
      <c r="BY40" s="745"/>
      <c r="BZ40" s="745"/>
      <c r="CA40" s="745"/>
      <c r="CB40" s="745"/>
      <c r="CC40" s="745"/>
      <c r="CD40" s="745"/>
      <c r="CE40" s="745"/>
      <c r="CF40" s="745"/>
      <c r="CG40" s="745"/>
      <c r="CH40" s="745"/>
      <c r="CI40" s="745"/>
      <c r="CJ40" s="745"/>
      <c r="CK40" s="745"/>
      <c r="CL40" s="745"/>
      <c r="CM40" s="745"/>
      <c r="CN40" s="745"/>
      <c r="CO40" s="745"/>
      <c r="CP40" s="745"/>
      <c r="CQ40" s="745"/>
      <c r="CR40" s="745"/>
      <c r="CS40" s="745"/>
      <c r="CT40" s="131"/>
      <c r="CU40" s="745"/>
      <c r="CV40" s="745"/>
      <c r="CW40" s="745"/>
      <c r="CX40" s="745"/>
      <c r="CY40" s="745"/>
      <c r="CZ40" s="745"/>
      <c r="DA40" s="745"/>
      <c r="DB40" s="745"/>
      <c r="DC40" s="745"/>
      <c r="DD40" s="745"/>
      <c r="DE40" s="745"/>
      <c r="DF40" s="745"/>
      <c r="DG40" s="745"/>
      <c r="DH40" s="745"/>
      <c r="DI40" s="745"/>
      <c r="DJ40" s="745"/>
      <c r="DK40" s="745"/>
      <c r="DL40" s="131"/>
      <c r="DM40" s="745"/>
      <c r="DN40" s="131"/>
      <c r="DO40" s="745"/>
      <c r="DP40" s="745"/>
      <c r="DQ40" s="745"/>
      <c r="DR40" s="745"/>
      <c r="DS40" s="745"/>
      <c r="DT40" s="745"/>
      <c r="DU40" s="745"/>
      <c r="DV40" s="131"/>
      <c r="DW40" s="745"/>
      <c r="DX40" s="745"/>
      <c r="DY40" s="745"/>
      <c r="DZ40" s="745"/>
      <c r="EA40" s="745"/>
      <c r="EB40" s="745"/>
      <c r="EC40" s="745"/>
      <c r="ED40" s="745"/>
      <c r="EE40" s="745"/>
      <c r="EF40" s="745"/>
      <c r="EG40" s="745"/>
      <c r="EH40" s="745"/>
      <c r="EI40" s="745"/>
      <c r="EJ40" s="745"/>
      <c r="EK40" s="745"/>
      <c r="EL40" s="745"/>
      <c r="EM40" s="745"/>
      <c r="EN40" s="745"/>
      <c r="EO40" s="745"/>
      <c r="EP40" s="745"/>
      <c r="EQ40" s="131"/>
      <c r="ER40" s="745"/>
      <c r="ES40" s="745"/>
      <c r="ET40" s="745"/>
      <c r="EU40" s="745"/>
      <c r="EV40" s="745"/>
      <c r="EW40" s="745"/>
      <c r="EX40" s="131"/>
      <c r="EY40" s="10" t="s">
        <v>28</v>
      </c>
      <c r="EZ40" s="10" t="s">
        <v>1170</v>
      </c>
    </row>
    <row r="41" spans="1:159" s="9" customFormat="1" ht="27.75" customHeight="1">
      <c r="A41" s="45"/>
      <c r="B41" s="55" t="s">
        <v>822</v>
      </c>
      <c r="C41" s="56"/>
      <c r="D41" s="57"/>
      <c r="E41" s="57"/>
      <c r="F41" s="57"/>
      <c r="G41" s="807"/>
      <c r="H41" s="807"/>
      <c r="I41" s="57"/>
      <c r="J41" s="807"/>
      <c r="K41" s="807"/>
      <c r="L41" s="807"/>
      <c r="M41" s="807"/>
      <c r="N41" s="57"/>
      <c r="O41" s="57"/>
      <c r="P41" s="57"/>
      <c r="Q41" s="121"/>
      <c r="R41" s="57"/>
      <c r="S41" s="746"/>
      <c r="T41" s="746"/>
      <c r="U41" s="129"/>
      <c r="V41" s="129"/>
      <c r="W41" s="129"/>
      <c r="X41" s="129"/>
      <c r="Y41" s="746"/>
      <c r="Z41" s="746"/>
      <c r="AA41" s="746"/>
      <c r="AB41" s="746"/>
      <c r="AC41" s="746"/>
      <c r="AD41" s="746"/>
      <c r="AE41" s="746"/>
      <c r="AF41" s="746"/>
      <c r="AG41" s="746">
        <v>2</v>
      </c>
      <c r="AH41" s="746">
        <v>1</v>
      </c>
      <c r="AI41" s="746">
        <v>3</v>
      </c>
      <c r="AJ41" s="746">
        <v>1</v>
      </c>
      <c r="AK41" s="746">
        <v>2</v>
      </c>
      <c r="AL41" s="746"/>
      <c r="AM41" s="746"/>
      <c r="AN41" s="746">
        <v>9</v>
      </c>
      <c r="AO41" s="746">
        <v>9</v>
      </c>
      <c r="AP41" s="746">
        <v>20</v>
      </c>
      <c r="AQ41" s="746">
        <v>28</v>
      </c>
      <c r="AR41" s="746">
        <v>25</v>
      </c>
      <c r="AS41" s="746">
        <v>21</v>
      </c>
      <c r="AT41" s="746">
        <v>19</v>
      </c>
      <c r="AU41" s="746">
        <v>23</v>
      </c>
      <c r="AV41" s="746">
        <v>18</v>
      </c>
      <c r="AW41" s="129">
        <v>26</v>
      </c>
      <c r="AX41" s="746">
        <v>19</v>
      </c>
      <c r="AY41" s="746"/>
      <c r="AZ41" s="746"/>
      <c r="BA41" s="746"/>
      <c r="BB41" s="746"/>
      <c r="BC41" s="746"/>
      <c r="BD41" s="746"/>
      <c r="BE41" s="746"/>
      <c r="BF41" s="746"/>
      <c r="BG41" s="746"/>
      <c r="BH41" s="746">
        <v>4</v>
      </c>
      <c r="BI41" s="746">
        <v>15</v>
      </c>
      <c r="BJ41" s="746">
        <v>23</v>
      </c>
      <c r="BK41" s="129">
        <v>17</v>
      </c>
      <c r="BL41" s="746">
        <v>19</v>
      </c>
      <c r="BM41" s="746">
        <v>30</v>
      </c>
      <c r="BN41" s="746">
        <v>10</v>
      </c>
      <c r="BO41" s="746"/>
      <c r="BP41" s="746"/>
      <c r="BQ41" s="129">
        <v>10</v>
      </c>
      <c r="BR41" s="746">
        <v>12</v>
      </c>
      <c r="BS41" s="746">
        <v>11</v>
      </c>
      <c r="BT41" s="746">
        <v>7</v>
      </c>
      <c r="BU41" s="746">
        <v>5</v>
      </c>
      <c r="BV41" s="746">
        <v>6</v>
      </c>
      <c r="BW41" s="129">
        <v>2</v>
      </c>
      <c r="BX41" s="746">
        <v>3</v>
      </c>
      <c r="BY41" s="746">
        <v>3</v>
      </c>
      <c r="BZ41" s="746">
        <v>7</v>
      </c>
      <c r="CA41" s="746">
        <v>3</v>
      </c>
      <c r="CB41" s="746"/>
      <c r="CC41" s="746">
        <v>2</v>
      </c>
      <c r="CD41" s="746">
        <v>4</v>
      </c>
      <c r="CE41" s="746"/>
      <c r="CF41" s="746"/>
      <c r="CG41" s="746"/>
      <c r="CH41" s="746"/>
      <c r="CI41" s="746"/>
      <c r="CJ41" s="746"/>
      <c r="CK41" s="746"/>
      <c r="CL41" s="746"/>
      <c r="CM41" s="746"/>
      <c r="CN41" s="746">
        <v>2</v>
      </c>
      <c r="CO41" s="746">
        <v>1</v>
      </c>
      <c r="CP41" s="746"/>
      <c r="CQ41" s="746">
        <v>10</v>
      </c>
      <c r="CR41" s="746">
        <v>3</v>
      </c>
      <c r="CS41" s="746">
        <v>5</v>
      </c>
      <c r="CT41" s="129">
        <v>2</v>
      </c>
      <c r="CU41" s="746">
        <v>1</v>
      </c>
      <c r="CV41" s="746">
        <v>4</v>
      </c>
      <c r="CW41" s="746">
        <v>2</v>
      </c>
      <c r="CX41" s="746">
        <v>10</v>
      </c>
      <c r="CY41" s="129">
        <v>8</v>
      </c>
      <c r="CZ41" s="746">
        <v>6</v>
      </c>
      <c r="DA41" s="746">
        <v>7</v>
      </c>
      <c r="DB41" s="746">
        <v>14</v>
      </c>
      <c r="DC41" s="746">
        <v>2</v>
      </c>
      <c r="DD41" s="746">
        <v>3</v>
      </c>
      <c r="DE41" s="746">
        <v>1</v>
      </c>
      <c r="DF41" s="746">
        <v>3</v>
      </c>
      <c r="DG41" s="746">
        <v>11</v>
      </c>
      <c r="DH41" s="746"/>
      <c r="DI41" s="746"/>
      <c r="DJ41" s="746"/>
      <c r="DK41" s="746">
        <v>4</v>
      </c>
      <c r="DL41" s="129">
        <v>7</v>
      </c>
      <c r="DM41" s="746">
        <v>13</v>
      </c>
      <c r="DN41" s="129"/>
      <c r="DO41" s="746">
        <v>3</v>
      </c>
      <c r="DP41" s="746">
        <v>20</v>
      </c>
      <c r="DQ41" s="746"/>
      <c r="DR41" s="746"/>
      <c r="DS41" s="746">
        <v>7</v>
      </c>
      <c r="DT41" s="746">
        <v>3</v>
      </c>
      <c r="DU41" s="746">
        <v>9</v>
      </c>
      <c r="DV41" s="129">
        <v>10</v>
      </c>
      <c r="DW41" s="129">
        <v>5</v>
      </c>
      <c r="DX41" s="746">
        <v>1</v>
      </c>
      <c r="DY41" s="746"/>
      <c r="DZ41" s="746">
        <v>4</v>
      </c>
      <c r="EA41" s="746">
        <v>6</v>
      </c>
      <c r="EB41" s="746">
        <v>2</v>
      </c>
      <c r="EC41" s="129">
        <v>2</v>
      </c>
      <c r="ED41" s="746">
        <v>2</v>
      </c>
      <c r="EE41" s="746">
        <v>7</v>
      </c>
      <c r="EF41" s="746">
        <v>6</v>
      </c>
      <c r="EG41" s="746">
        <v>4</v>
      </c>
      <c r="EH41" s="746"/>
      <c r="EI41" s="746"/>
      <c r="EJ41" s="746"/>
      <c r="EK41" s="746"/>
      <c r="EL41" s="746"/>
      <c r="EM41" s="746">
        <v>1</v>
      </c>
      <c r="EN41" s="746">
        <v>5</v>
      </c>
      <c r="EO41" s="746">
        <v>4</v>
      </c>
      <c r="EP41" s="746">
        <v>1</v>
      </c>
      <c r="EQ41" s="129">
        <v>1</v>
      </c>
      <c r="ER41" s="746"/>
      <c r="ES41" s="746"/>
      <c r="ET41" s="746"/>
      <c r="EU41" s="746"/>
      <c r="EV41" s="746">
        <v>5</v>
      </c>
      <c r="EW41" s="746">
        <v>12</v>
      </c>
      <c r="EX41" s="129">
        <v>4</v>
      </c>
    </row>
    <row r="42" spans="1:159" s="11" customFormat="1" ht="30" customHeight="1">
      <c r="A42" s="58"/>
      <c r="B42" s="59" t="s">
        <v>823</v>
      </c>
      <c r="C42" s="59"/>
      <c r="D42" s="60"/>
      <c r="E42" s="60"/>
      <c r="F42" s="747"/>
      <c r="G42" s="747"/>
      <c r="H42" s="747"/>
      <c r="I42" s="60"/>
      <c r="J42" s="747"/>
      <c r="K42" s="747"/>
      <c r="L42" s="747"/>
      <c r="M42" s="747"/>
      <c r="N42" s="60"/>
      <c r="O42" s="60"/>
      <c r="P42" s="60"/>
      <c r="Q42" s="60" t="s">
        <v>28</v>
      </c>
      <c r="R42" s="60"/>
      <c r="S42" s="747"/>
      <c r="T42" s="747"/>
      <c r="U42" s="60"/>
      <c r="V42" s="60"/>
      <c r="W42" s="60"/>
      <c r="X42" s="60"/>
      <c r="Y42" s="747"/>
      <c r="Z42" s="747"/>
      <c r="AA42" s="747"/>
      <c r="AB42" s="747"/>
      <c r="AC42" s="747"/>
      <c r="AD42" s="747"/>
      <c r="AE42" s="747"/>
      <c r="AF42" s="747"/>
      <c r="AG42" s="747"/>
      <c r="AH42" s="747"/>
      <c r="AI42" s="747"/>
      <c r="AJ42" s="747"/>
      <c r="AK42" s="747"/>
      <c r="AL42" s="747"/>
      <c r="AM42" s="747"/>
      <c r="AN42" s="747"/>
      <c r="AO42" s="747"/>
      <c r="AP42" s="747"/>
      <c r="AQ42" s="747"/>
      <c r="AR42" s="747">
        <v>1</v>
      </c>
      <c r="AS42" s="747"/>
      <c r="AT42" s="747"/>
      <c r="AU42" s="747"/>
      <c r="AV42" s="747"/>
      <c r="AW42" s="60"/>
      <c r="AX42" s="747"/>
      <c r="AY42" s="747"/>
      <c r="AZ42" s="747"/>
      <c r="BA42" s="747"/>
      <c r="BB42" s="747"/>
      <c r="BC42" s="747"/>
      <c r="BD42" s="747"/>
      <c r="BE42" s="747"/>
      <c r="BF42" s="747"/>
      <c r="BG42" s="747"/>
      <c r="BH42" s="747"/>
      <c r="BI42" s="747"/>
      <c r="BJ42" s="747"/>
      <c r="BK42" s="747"/>
      <c r="BL42" s="747"/>
      <c r="BM42" s="747"/>
      <c r="BN42" s="747"/>
      <c r="BO42" s="747"/>
      <c r="BP42" s="747"/>
      <c r="BQ42" s="747"/>
      <c r="BR42" s="747"/>
      <c r="BS42" s="747"/>
      <c r="BT42" s="747"/>
      <c r="BU42" s="747"/>
      <c r="BV42" s="747"/>
      <c r="BW42" s="747"/>
      <c r="BX42" s="747"/>
      <c r="BY42" s="747"/>
      <c r="BZ42" s="747"/>
      <c r="CA42" s="747">
        <v>1</v>
      </c>
      <c r="CB42" s="747"/>
      <c r="CC42" s="747"/>
      <c r="CD42" s="747"/>
      <c r="CE42" s="747"/>
      <c r="CF42" s="747"/>
      <c r="CG42" s="747"/>
      <c r="CH42" s="747"/>
      <c r="CI42" s="747"/>
      <c r="CJ42" s="747"/>
      <c r="CK42" s="747"/>
      <c r="CL42" s="747"/>
      <c r="CM42" s="747"/>
      <c r="CN42" s="747"/>
      <c r="CO42" s="747"/>
      <c r="CP42" s="747"/>
      <c r="CQ42" s="747"/>
      <c r="CR42" s="747"/>
      <c r="CS42" s="747"/>
      <c r="CT42" s="747"/>
      <c r="CU42" s="747"/>
      <c r="CV42" s="747"/>
      <c r="CW42" s="747"/>
      <c r="CX42" s="747"/>
      <c r="CY42" s="747">
        <v>1</v>
      </c>
      <c r="CZ42" s="747"/>
      <c r="DA42" s="747"/>
      <c r="DB42" s="747"/>
      <c r="DC42" s="747"/>
      <c r="DD42" s="747"/>
      <c r="DE42" s="747"/>
      <c r="DF42" s="747"/>
      <c r="DG42" s="747"/>
      <c r="DH42" s="747"/>
      <c r="DI42" s="747"/>
      <c r="DJ42" s="747"/>
      <c r="DK42" s="747"/>
      <c r="DL42" s="747"/>
      <c r="DM42" s="747"/>
      <c r="DN42" s="747"/>
      <c r="DO42" s="747"/>
      <c r="DP42" s="747">
        <v>2</v>
      </c>
      <c r="DQ42" s="747"/>
      <c r="DR42" s="747"/>
      <c r="DS42" s="747"/>
      <c r="DT42" s="747"/>
      <c r="DU42" s="747"/>
      <c r="DV42" s="747">
        <v>1</v>
      </c>
      <c r="DW42" s="747"/>
      <c r="DX42" s="747"/>
      <c r="DY42" s="747"/>
      <c r="DZ42" s="747"/>
      <c r="EA42" s="747"/>
      <c r="EB42" s="747"/>
      <c r="EC42" s="747"/>
      <c r="ED42" s="747"/>
      <c r="EE42" s="747">
        <v>1</v>
      </c>
      <c r="EF42" s="747"/>
      <c r="EG42" s="747"/>
      <c r="EH42" s="747"/>
      <c r="EI42" s="747"/>
      <c r="EJ42" s="747"/>
      <c r="EK42" s="747"/>
      <c r="EL42" s="747"/>
      <c r="EM42" s="747"/>
      <c r="EN42" s="747"/>
      <c r="EO42" s="747"/>
      <c r="EP42" s="747"/>
      <c r="EQ42" s="747"/>
      <c r="ER42" s="747"/>
      <c r="ES42" s="747"/>
      <c r="ET42" s="747"/>
      <c r="EU42" s="747"/>
      <c r="EV42" s="747"/>
      <c r="EW42" s="747"/>
      <c r="EX42" s="747"/>
    </row>
    <row r="43" spans="1:159" s="9" customFormat="1" ht="27.75" customHeight="1">
      <c r="A43" s="45"/>
      <c r="B43" s="55" t="s">
        <v>965</v>
      </c>
      <c r="C43" s="61" t="s">
        <v>829</v>
      </c>
      <c r="D43" s="62"/>
      <c r="E43" s="62"/>
      <c r="F43" s="62"/>
      <c r="G43" s="62"/>
      <c r="H43" s="62"/>
      <c r="I43" s="62"/>
      <c r="J43" s="62"/>
      <c r="K43" s="62"/>
      <c r="L43" s="62"/>
      <c r="M43" s="62"/>
      <c r="N43" s="62"/>
      <c r="O43" s="62"/>
      <c r="P43" s="62"/>
      <c r="Q43" s="62"/>
      <c r="R43" s="62"/>
      <c r="S43" s="75" t="e">
        <f t="shared" ref="S43:BK43" si="1">1000*S42/S41</f>
        <v>#DIV/0!</v>
      </c>
      <c r="T43" s="75" t="e">
        <f t="shared" si="1"/>
        <v>#DIV/0!</v>
      </c>
      <c r="U43" s="75" t="e">
        <f t="shared" si="1"/>
        <v>#DIV/0!</v>
      </c>
      <c r="V43" s="75" t="e">
        <f t="shared" si="1"/>
        <v>#DIV/0!</v>
      </c>
      <c r="W43" s="75" t="e">
        <f t="shared" si="1"/>
        <v>#DIV/0!</v>
      </c>
      <c r="X43" s="75" t="e">
        <f t="shared" si="1"/>
        <v>#DIV/0!</v>
      </c>
      <c r="Y43" s="75" t="e">
        <f t="shared" si="1"/>
        <v>#DIV/0!</v>
      </c>
      <c r="Z43" s="75" t="e">
        <f t="shared" si="1"/>
        <v>#DIV/0!</v>
      </c>
      <c r="AA43" s="75" t="e">
        <f t="shared" si="1"/>
        <v>#DIV/0!</v>
      </c>
      <c r="AB43" s="75" t="e">
        <f t="shared" si="1"/>
        <v>#DIV/0!</v>
      </c>
      <c r="AC43" s="75" t="e">
        <f t="shared" si="1"/>
        <v>#DIV/0!</v>
      </c>
      <c r="AD43" s="75" t="e">
        <f t="shared" si="1"/>
        <v>#DIV/0!</v>
      </c>
      <c r="AE43" s="75" t="e">
        <f t="shared" si="1"/>
        <v>#DIV/0!</v>
      </c>
      <c r="AF43" s="75" t="e">
        <f t="shared" si="1"/>
        <v>#DIV/0!</v>
      </c>
      <c r="AG43" s="75">
        <f t="shared" si="1"/>
        <v>0</v>
      </c>
      <c r="AH43" s="75">
        <f t="shared" si="1"/>
        <v>0</v>
      </c>
      <c r="AI43" s="75">
        <f t="shared" si="1"/>
        <v>0</v>
      </c>
      <c r="AJ43" s="75">
        <f t="shared" si="1"/>
        <v>0</v>
      </c>
      <c r="AK43" s="75">
        <f t="shared" si="1"/>
        <v>0</v>
      </c>
      <c r="AL43" s="75" t="e">
        <f t="shared" si="1"/>
        <v>#DIV/0!</v>
      </c>
      <c r="AM43" s="75" t="e">
        <f t="shared" si="1"/>
        <v>#DIV/0!</v>
      </c>
      <c r="AN43" s="75">
        <f t="shared" si="1"/>
        <v>0</v>
      </c>
      <c r="AO43" s="75">
        <f t="shared" si="1"/>
        <v>0</v>
      </c>
      <c r="AP43" s="75">
        <f t="shared" si="1"/>
        <v>0</v>
      </c>
      <c r="AQ43" s="75">
        <f t="shared" si="1"/>
        <v>0</v>
      </c>
      <c r="AR43" s="75">
        <f t="shared" si="1"/>
        <v>40</v>
      </c>
      <c r="AS43" s="75">
        <f t="shared" si="1"/>
        <v>0</v>
      </c>
      <c r="AT43" s="75">
        <f t="shared" si="1"/>
        <v>0</v>
      </c>
      <c r="AU43" s="75">
        <f t="shared" si="1"/>
        <v>0</v>
      </c>
      <c r="AV43" s="75">
        <f t="shared" si="1"/>
        <v>0</v>
      </c>
      <c r="AW43" s="75">
        <f t="shared" si="1"/>
        <v>0</v>
      </c>
      <c r="AX43" s="75">
        <f t="shared" si="1"/>
        <v>0</v>
      </c>
      <c r="AY43" s="75" t="e">
        <f t="shared" si="1"/>
        <v>#DIV/0!</v>
      </c>
      <c r="AZ43" s="75" t="e">
        <f t="shared" si="1"/>
        <v>#DIV/0!</v>
      </c>
      <c r="BA43" s="75" t="e">
        <f t="shared" si="1"/>
        <v>#DIV/0!</v>
      </c>
      <c r="BB43" s="75" t="e">
        <f t="shared" si="1"/>
        <v>#DIV/0!</v>
      </c>
      <c r="BC43" s="75" t="e">
        <f t="shared" si="1"/>
        <v>#DIV/0!</v>
      </c>
      <c r="BD43" s="75" t="e">
        <f t="shared" si="1"/>
        <v>#DIV/0!</v>
      </c>
      <c r="BE43" s="75" t="e">
        <f t="shared" si="1"/>
        <v>#DIV/0!</v>
      </c>
      <c r="BF43" s="75" t="e">
        <f t="shared" si="1"/>
        <v>#DIV/0!</v>
      </c>
      <c r="BG43" s="75" t="e">
        <f t="shared" si="1"/>
        <v>#DIV/0!</v>
      </c>
      <c r="BH43" s="75">
        <f t="shared" si="1"/>
        <v>0</v>
      </c>
      <c r="BI43" s="75">
        <f t="shared" si="1"/>
        <v>0</v>
      </c>
      <c r="BJ43" s="75">
        <f t="shared" si="1"/>
        <v>0</v>
      </c>
      <c r="BK43" s="75">
        <f t="shared" si="1"/>
        <v>0</v>
      </c>
      <c r="BL43" s="75">
        <f>1000*BL42/BL41</f>
        <v>0</v>
      </c>
      <c r="BM43" s="75">
        <f t="shared" ref="BM43:BV43" si="2">1000*BM42/BM41</f>
        <v>0</v>
      </c>
      <c r="BN43" s="75">
        <f t="shared" si="2"/>
        <v>0</v>
      </c>
      <c r="BO43" s="75" t="e">
        <f t="shared" si="2"/>
        <v>#DIV/0!</v>
      </c>
      <c r="BP43" s="75" t="e">
        <f t="shared" si="2"/>
        <v>#DIV/0!</v>
      </c>
      <c r="BQ43" s="75">
        <f t="shared" si="2"/>
        <v>0</v>
      </c>
      <c r="BR43" s="75">
        <f t="shared" si="2"/>
        <v>0</v>
      </c>
      <c r="BS43" s="75">
        <f t="shared" si="2"/>
        <v>0</v>
      </c>
      <c r="BT43" s="75">
        <f t="shared" si="2"/>
        <v>0</v>
      </c>
      <c r="BU43" s="75">
        <f t="shared" si="2"/>
        <v>0</v>
      </c>
      <c r="BV43" s="75">
        <f t="shared" si="2"/>
        <v>0</v>
      </c>
      <c r="BW43" s="75">
        <f t="shared" ref="BW43:CS43" si="3">1000*BW42/BW41</f>
        <v>0</v>
      </c>
      <c r="BX43" s="75">
        <f t="shared" si="3"/>
        <v>0</v>
      </c>
      <c r="BY43" s="997"/>
      <c r="BZ43" s="75">
        <f t="shared" si="3"/>
        <v>0</v>
      </c>
      <c r="CA43" s="75">
        <f t="shared" si="3"/>
        <v>333.33333333333331</v>
      </c>
      <c r="CB43" s="75" t="e">
        <f t="shared" si="3"/>
        <v>#DIV/0!</v>
      </c>
      <c r="CC43" s="75">
        <f t="shared" si="3"/>
        <v>0</v>
      </c>
      <c r="CD43" s="75">
        <f t="shared" si="3"/>
        <v>0</v>
      </c>
      <c r="CE43" s="75" t="e">
        <f t="shared" si="3"/>
        <v>#DIV/0!</v>
      </c>
      <c r="CF43" s="75" t="e">
        <f t="shared" si="3"/>
        <v>#DIV/0!</v>
      </c>
      <c r="CG43" s="75" t="e">
        <f t="shared" si="3"/>
        <v>#DIV/0!</v>
      </c>
      <c r="CH43" s="75" t="e">
        <f t="shared" si="3"/>
        <v>#DIV/0!</v>
      </c>
      <c r="CI43" s="75" t="e">
        <f t="shared" si="3"/>
        <v>#DIV/0!</v>
      </c>
      <c r="CJ43" s="75" t="e">
        <f t="shared" si="3"/>
        <v>#DIV/0!</v>
      </c>
      <c r="CK43" s="75" t="e">
        <f t="shared" si="3"/>
        <v>#DIV/0!</v>
      </c>
      <c r="CL43" s="75" t="e">
        <f t="shared" si="3"/>
        <v>#DIV/0!</v>
      </c>
      <c r="CM43" s="75" t="e">
        <f t="shared" si="3"/>
        <v>#DIV/0!</v>
      </c>
      <c r="CN43" s="75">
        <f t="shared" si="3"/>
        <v>0</v>
      </c>
      <c r="CO43" s="75">
        <f t="shared" si="3"/>
        <v>0</v>
      </c>
      <c r="CP43" s="75" t="e">
        <f t="shared" si="3"/>
        <v>#DIV/0!</v>
      </c>
      <c r="CQ43" s="75">
        <f t="shared" si="3"/>
        <v>0</v>
      </c>
      <c r="CR43" s="75">
        <f t="shared" si="3"/>
        <v>0</v>
      </c>
      <c r="CS43" s="75">
        <f t="shared" si="3"/>
        <v>0</v>
      </c>
      <c r="CT43" s="75">
        <f t="shared" ref="CT43:DU43" si="4">1000*CT42/CT41</f>
        <v>0</v>
      </c>
      <c r="CU43" s="75">
        <f t="shared" si="4"/>
        <v>0</v>
      </c>
      <c r="CV43" s="75">
        <f t="shared" si="4"/>
        <v>0</v>
      </c>
      <c r="CW43" s="75">
        <f t="shared" si="4"/>
        <v>0</v>
      </c>
      <c r="CX43" s="75">
        <f t="shared" si="4"/>
        <v>0</v>
      </c>
      <c r="CY43" s="75">
        <f t="shared" si="4"/>
        <v>125</v>
      </c>
      <c r="CZ43" s="75">
        <f t="shared" si="4"/>
        <v>0</v>
      </c>
      <c r="DA43" s="75">
        <f t="shared" si="4"/>
        <v>0</v>
      </c>
      <c r="DB43" s="75">
        <f t="shared" si="4"/>
        <v>0</v>
      </c>
      <c r="DC43" s="75">
        <f t="shared" si="4"/>
        <v>0</v>
      </c>
      <c r="DD43" s="75">
        <f t="shared" si="4"/>
        <v>0</v>
      </c>
      <c r="DE43" s="75">
        <f t="shared" si="4"/>
        <v>0</v>
      </c>
      <c r="DF43" s="75">
        <f t="shared" si="4"/>
        <v>0</v>
      </c>
      <c r="DG43" s="75">
        <f t="shared" si="4"/>
        <v>0</v>
      </c>
      <c r="DH43" s="75" t="e">
        <f t="shared" si="4"/>
        <v>#DIV/0!</v>
      </c>
      <c r="DI43" s="75" t="e">
        <f t="shared" si="4"/>
        <v>#DIV/0!</v>
      </c>
      <c r="DJ43" s="75" t="e">
        <f t="shared" si="4"/>
        <v>#DIV/0!</v>
      </c>
      <c r="DK43" s="75">
        <f t="shared" si="4"/>
        <v>0</v>
      </c>
      <c r="DL43" s="75">
        <f t="shared" si="4"/>
        <v>0</v>
      </c>
      <c r="DM43" s="75">
        <f t="shared" si="4"/>
        <v>0</v>
      </c>
      <c r="DN43" s="75" t="e">
        <f t="shared" si="4"/>
        <v>#DIV/0!</v>
      </c>
      <c r="DO43" s="75">
        <f t="shared" si="4"/>
        <v>0</v>
      </c>
      <c r="DP43" s="75">
        <f t="shared" si="4"/>
        <v>100</v>
      </c>
      <c r="DQ43" s="75" t="e">
        <f t="shared" si="4"/>
        <v>#DIV/0!</v>
      </c>
      <c r="DR43" s="75" t="e">
        <f t="shared" si="4"/>
        <v>#DIV/0!</v>
      </c>
      <c r="DS43" s="75">
        <f t="shared" si="4"/>
        <v>0</v>
      </c>
      <c r="DT43" s="75">
        <f t="shared" si="4"/>
        <v>0</v>
      </c>
      <c r="DU43" s="75">
        <f t="shared" si="4"/>
        <v>0</v>
      </c>
      <c r="DV43" s="75">
        <f t="shared" ref="DV43:EP43" si="5">1000*DV42/DV41</f>
        <v>100</v>
      </c>
      <c r="DW43" s="75">
        <f t="shared" si="5"/>
        <v>0</v>
      </c>
      <c r="DX43" s="75">
        <f t="shared" si="5"/>
        <v>0</v>
      </c>
      <c r="DY43" s="75" t="e">
        <f t="shared" si="5"/>
        <v>#DIV/0!</v>
      </c>
      <c r="DZ43" s="75">
        <f t="shared" si="5"/>
        <v>0</v>
      </c>
      <c r="EA43" s="75">
        <f t="shared" si="5"/>
        <v>0</v>
      </c>
      <c r="EB43" s="75">
        <f t="shared" si="5"/>
        <v>0</v>
      </c>
      <c r="EC43" s="75">
        <f t="shared" si="5"/>
        <v>0</v>
      </c>
      <c r="ED43" s="75">
        <f t="shared" si="5"/>
        <v>0</v>
      </c>
      <c r="EE43" s="75">
        <f t="shared" si="5"/>
        <v>142.85714285714286</v>
      </c>
      <c r="EF43" s="75">
        <f t="shared" si="5"/>
        <v>0</v>
      </c>
      <c r="EG43" s="75">
        <f t="shared" si="5"/>
        <v>0</v>
      </c>
      <c r="EH43" s="75" t="e">
        <f t="shared" si="5"/>
        <v>#DIV/0!</v>
      </c>
      <c r="EI43" s="75" t="e">
        <f t="shared" si="5"/>
        <v>#DIV/0!</v>
      </c>
      <c r="EJ43" s="75" t="e">
        <f t="shared" si="5"/>
        <v>#DIV/0!</v>
      </c>
      <c r="EK43" s="75" t="e">
        <f t="shared" si="5"/>
        <v>#DIV/0!</v>
      </c>
      <c r="EL43" s="75" t="e">
        <f t="shared" si="5"/>
        <v>#DIV/0!</v>
      </c>
      <c r="EM43" s="75">
        <f t="shared" si="5"/>
        <v>0</v>
      </c>
      <c r="EN43" s="75">
        <f t="shared" si="5"/>
        <v>0</v>
      </c>
      <c r="EO43" s="75">
        <f t="shared" si="5"/>
        <v>0</v>
      </c>
      <c r="EP43" s="75">
        <f t="shared" si="5"/>
        <v>0</v>
      </c>
      <c r="EQ43" s="75">
        <f t="shared" ref="EQ43:EX43" si="6">1000*EQ42/EQ41</f>
        <v>0</v>
      </c>
      <c r="ER43" s="75" t="e">
        <f t="shared" si="6"/>
        <v>#DIV/0!</v>
      </c>
      <c r="ES43" s="75" t="e">
        <f t="shared" si="6"/>
        <v>#DIV/0!</v>
      </c>
      <c r="ET43" s="75" t="e">
        <f t="shared" si="6"/>
        <v>#DIV/0!</v>
      </c>
      <c r="EU43" s="75" t="e">
        <f t="shared" si="6"/>
        <v>#DIV/0!</v>
      </c>
      <c r="EV43" s="75">
        <f t="shared" si="6"/>
        <v>0</v>
      </c>
      <c r="EW43" s="75">
        <f t="shared" si="6"/>
        <v>0</v>
      </c>
      <c r="EX43" s="75">
        <f t="shared" si="6"/>
        <v>0</v>
      </c>
    </row>
    <row r="44" spans="1:159" s="9" customFormat="1">
      <c r="A44" s="95"/>
      <c r="B44" s="96"/>
      <c r="C44" s="97"/>
      <c r="D44" s="97"/>
      <c r="E44" s="98"/>
      <c r="F44" s="98"/>
      <c r="G44" s="98"/>
      <c r="H44" s="98"/>
      <c r="I44" s="98"/>
      <c r="J44" s="98"/>
      <c r="K44" s="98"/>
      <c r="L44" s="98"/>
      <c r="M44" s="98"/>
      <c r="N44" s="98"/>
      <c r="O44" s="98"/>
      <c r="P44" s="98"/>
      <c r="Q44" s="98"/>
      <c r="R44" s="98"/>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t="s">
        <v>1156</v>
      </c>
      <c r="AX44" s="122"/>
      <c r="AY44" s="122"/>
      <c r="AZ44" s="122"/>
      <c r="BA44" s="122"/>
      <c r="BB44" s="122"/>
      <c r="BC44" s="122"/>
      <c r="BD44" s="122"/>
      <c r="BE44" s="122"/>
      <c r="BF44" s="122"/>
      <c r="BG44" s="122"/>
      <c r="BH44" s="122"/>
      <c r="BI44" s="122"/>
      <c r="BJ44" s="122"/>
      <c r="BK44" s="122" t="s">
        <v>1156</v>
      </c>
      <c r="BL44" s="122"/>
      <c r="BM44" s="122"/>
      <c r="BN44" s="122"/>
      <c r="BO44" s="122"/>
      <c r="BP44" s="122"/>
      <c r="BQ44" s="122" t="s">
        <v>1156</v>
      </c>
      <c r="BR44" s="122"/>
      <c r="BS44" s="122"/>
      <c r="BT44" s="122"/>
      <c r="BU44" s="122"/>
      <c r="BV44" s="122"/>
      <c r="BW44" s="122" t="s">
        <v>1156</v>
      </c>
      <c r="BX44" s="122"/>
      <c r="BY44" s="122"/>
      <c r="BZ44" s="122"/>
      <c r="CA44" s="122"/>
      <c r="CB44" s="122"/>
      <c r="CC44" s="122"/>
      <c r="CD44" s="122"/>
      <c r="CE44" s="122"/>
      <c r="CF44" s="122"/>
      <c r="CG44" s="122"/>
      <c r="CH44" s="122"/>
      <c r="CI44" s="122"/>
      <c r="CJ44" s="122"/>
      <c r="CK44" s="122"/>
      <c r="CL44" s="122"/>
      <c r="CM44" s="122"/>
      <c r="CN44" s="122"/>
      <c r="CO44" s="122"/>
      <c r="CP44" s="122"/>
      <c r="CQ44" s="122"/>
      <c r="CR44" s="122"/>
      <c r="CS44" s="122"/>
      <c r="CT44" s="122" t="s">
        <v>1156</v>
      </c>
      <c r="CU44" s="122"/>
      <c r="CV44" s="122"/>
      <c r="CW44" s="122"/>
      <c r="CX44" s="122"/>
      <c r="CY44" s="122"/>
      <c r="CZ44" s="122"/>
      <c r="DA44" s="122"/>
      <c r="DB44" s="122"/>
      <c r="DC44" s="122"/>
      <c r="DD44" s="122"/>
      <c r="DE44" s="122"/>
      <c r="DF44" s="122"/>
      <c r="DG44" s="122"/>
      <c r="DH44" s="122"/>
      <c r="DI44" s="122"/>
      <c r="DJ44" s="122"/>
      <c r="DK44" s="122"/>
      <c r="DL44" s="122" t="s">
        <v>1156</v>
      </c>
      <c r="DM44" s="122"/>
      <c r="DN44" s="122" t="s">
        <v>1156</v>
      </c>
      <c r="DO44" s="122"/>
      <c r="DP44" s="122"/>
      <c r="DQ44" s="122"/>
      <c r="DR44" s="122"/>
      <c r="DS44" s="122"/>
      <c r="DT44" s="122"/>
      <c r="DU44" s="122"/>
      <c r="DV44" s="122" t="s">
        <v>1156</v>
      </c>
      <c r="DW44" s="122" t="s">
        <v>1156</v>
      </c>
      <c r="DX44" s="122"/>
      <c r="DY44" s="122"/>
      <c r="DZ44" s="122"/>
      <c r="EA44" s="122"/>
      <c r="EB44" s="122"/>
      <c r="EC44" s="122"/>
      <c r="ED44" s="122"/>
      <c r="EE44" s="122"/>
      <c r="EF44" s="122"/>
      <c r="EG44" s="122"/>
      <c r="EH44" s="122"/>
      <c r="EI44" s="122"/>
      <c r="EJ44" s="122"/>
      <c r="EK44" s="122"/>
      <c r="EL44" s="122"/>
      <c r="EM44" s="122"/>
      <c r="EN44" s="122"/>
      <c r="EO44" s="122"/>
      <c r="EP44" s="122"/>
      <c r="EQ44" s="122" t="s">
        <v>1156</v>
      </c>
      <c r="ER44" s="122"/>
      <c r="ES44" s="122"/>
      <c r="ET44" s="122"/>
      <c r="EU44" s="122"/>
      <c r="EV44" s="122"/>
      <c r="EW44" s="122"/>
      <c r="EX44" s="122" t="s">
        <v>1198</v>
      </c>
    </row>
    <row r="45" spans="1:159" s="9" customFormat="1" ht="5.25" customHeight="1">
      <c r="A45" s="95"/>
      <c r="B45" s="96"/>
      <c r="C45" s="97"/>
      <c r="D45" s="97"/>
      <c r="E45" s="99"/>
      <c r="F45" s="99"/>
      <c r="G45" s="99"/>
      <c r="H45" s="99"/>
      <c r="I45" s="99"/>
      <c r="J45" s="99"/>
      <c r="K45" s="99"/>
      <c r="L45" s="99"/>
      <c r="M45" s="99"/>
      <c r="N45" s="99"/>
      <c r="O45" s="99"/>
      <c r="P45" s="99"/>
      <c r="Q45" s="99"/>
      <c r="R45" s="99"/>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8"/>
      <c r="EG45" s="128"/>
      <c r="EH45" s="128"/>
      <c r="EI45" s="128"/>
      <c r="EJ45" s="128"/>
      <c r="EK45" s="128"/>
      <c r="EL45" s="128"/>
      <c r="EM45" s="128"/>
      <c r="EN45" s="128"/>
      <c r="EO45" s="128"/>
      <c r="EP45" s="128"/>
      <c r="EQ45" s="128"/>
      <c r="ER45" s="128"/>
      <c r="ES45" s="128"/>
      <c r="ET45" s="128"/>
      <c r="EU45" s="128"/>
      <c r="EV45" s="128"/>
      <c r="EW45" s="128"/>
      <c r="EX45" s="128"/>
    </row>
    <row r="46" spans="1:159" s="9" customFormat="1" ht="31.5" customHeight="1">
      <c r="A46" s="1644" t="s">
        <v>967</v>
      </c>
      <c r="B46" s="1650" t="s">
        <v>830</v>
      </c>
      <c r="C46" s="100" t="s">
        <v>1076</v>
      </c>
      <c r="D46" s="101"/>
      <c r="E46" s="1606" t="s">
        <v>75</v>
      </c>
      <c r="F46" s="1606" t="s">
        <v>832</v>
      </c>
      <c r="G46" s="1606" t="s">
        <v>833</v>
      </c>
      <c r="H46" s="1606" t="s">
        <v>834</v>
      </c>
      <c r="I46" s="1606" t="s">
        <v>1255</v>
      </c>
      <c r="J46" s="1606" t="s">
        <v>1296</v>
      </c>
      <c r="K46" s="1606" t="s">
        <v>1319</v>
      </c>
      <c r="L46" s="1606" t="s">
        <v>1385</v>
      </c>
      <c r="M46" s="1606" t="s">
        <v>1439</v>
      </c>
      <c r="N46" s="1606" t="s">
        <v>817</v>
      </c>
      <c r="O46" s="1606" t="s">
        <v>818</v>
      </c>
      <c r="P46" s="1606" t="s">
        <v>819</v>
      </c>
      <c r="Q46" s="1606" t="s">
        <v>820</v>
      </c>
      <c r="R46" s="1606" t="s">
        <v>821</v>
      </c>
      <c r="S46" s="123" t="s">
        <v>835</v>
      </c>
      <c r="T46" s="123" t="s">
        <v>835</v>
      </c>
      <c r="U46" s="123" t="s">
        <v>835</v>
      </c>
      <c r="V46" s="123" t="s">
        <v>835</v>
      </c>
      <c r="W46" s="123" t="s">
        <v>835</v>
      </c>
      <c r="X46" s="123" t="s">
        <v>835</v>
      </c>
      <c r="Y46" s="123" t="s">
        <v>835</v>
      </c>
      <c r="Z46" s="123" t="s">
        <v>835</v>
      </c>
      <c r="AA46" s="123" t="s">
        <v>835</v>
      </c>
      <c r="AB46" s="123" t="s">
        <v>835</v>
      </c>
      <c r="AC46" s="123" t="s">
        <v>835</v>
      </c>
      <c r="AD46" s="123" t="s">
        <v>835</v>
      </c>
      <c r="AE46" s="123" t="s">
        <v>835</v>
      </c>
      <c r="AF46" s="123" t="s">
        <v>835</v>
      </c>
      <c r="AG46" s="123" t="s">
        <v>835</v>
      </c>
      <c r="AH46" s="123" t="s">
        <v>835</v>
      </c>
      <c r="AI46" s="123" t="s">
        <v>835</v>
      </c>
      <c r="AJ46" s="123" t="s">
        <v>835</v>
      </c>
      <c r="AK46" s="123" t="s">
        <v>835</v>
      </c>
      <c r="AL46" s="123" t="s">
        <v>835</v>
      </c>
      <c r="AM46" s="123" t="s">
        <v>835</v>
      </c>
      <c r="AN46" s="123" t="s">
        <v>835</v>
      </c>
      <c r="AO46" s="123" t="s">
        <v>835</v>
      </c>
      <c r="AP46" s="123" t="s">
        <v>835</v>
      </c>
      <c r="AQ46" s="123" t="s">
        <v>835</v>
      </c>
      <c r="AR46" s="123" t="s">
        <v>835</v>
      </c>
      <c r="AS46" s="123" t="s">
        <v>835</v>
      </c>
      <c r="AT46" s="123" t="s">
        <v>835</v>
      </c>
      <c r="AU46" s="123" t="s">
        <v>835</v>
      </c>
      <c r="AV46" s="123" t="s">
        <v>835</v>
      </c>
      <c r="AW46" s="123" t="s">
        <v>835</v>
      </c>
      <c r="AX46" s="123" t="s">
        <v>835</v>
      </c>
      <c r="AY46" s="123" t="s">
        <v>835</v>
      </c>
      <c r="AZ46" s="123" t="s">
        <v>835</v>
      </c>
      <c r="BA46" s="123" t="s">
        <v>835</v>
      </c>
      <c r="BB46" s="123" t="s">
        <v>835</v>
      </c>
      <c r="BC46" s="123" t="s">
        <v>835</v>
      </c>
      <c r="BD46" s="123" t="s">
        <v>835</v>
      </c>
      <c r="BE46" s="123" t="s">
        <v>835</v>
      </c>
      <c r="BF46" s="123" t="s">
        <v>835</v>
      </c>
      <c r="BG46" s="123" t="s">
        <v>835</v>
      </c>
      <c r="BH46" s="123" t="s">
        <v>835</v>
      </c>
      <c r="BI46" s="123" t="s">
        <v>835</v>
      </c>
      <c r="BJ46" s="123" t="s">
        <v>835</v>
      </c>
      <c r="BK46" s="123" t="s">
        <v>835</v>
      </c>
      <c r="BL46" s="123" t="s">
        <v>835</v>
      </c>
      <c r="BM46" s="123" t="s">
        <v>835</v>
      </c>
      <c r="BN46" s="123" t="s">
        <v>835</v>
      </c>
      <c r="BO46" s="123" t="s">
        <v>835</v>
      </c>
      <c r="BP46" s="123" t="s">
        <v>835</v>
      </c>
      <c r="BQ46" s="123" t="s">
        <v>835</v>
      </c>
      <c r="BR46" s="123" t="s">
        <v>835</v>
      </c>
      <c r="BS46" s="123" t="s">
        <v>835</v>
      </c>
      <c r="BT46" s="123" t="s">
        <v>835</v>
      </c>
      <c r="BU46" s="123" t="s">
        <v>835</v>
      </c>
      <c r="BV46" s="123" t="s">
        <v>835</v>
      </c>
      <c r="BW46" s="123" t="s">
        <v>835</v>
      </c>
      <c r="BX46" s="123" t="s">
        <v>835</v>
      </c>
      <c r="BY46" s="123" t="s">
        <v>835</v>
      </c>
      <c r="BZ46" s="123" t="s">
        <v>835</v>
      </c>
      <c r="CA46" s="123" t="s">
        <v>835</v>
      </c>
      <c r="CB46" s="123" t="s">
        <v>835</v>
      </c>
      <c r="CC46" s="123" t="s">
        <v>835</v>
      </c>
      <c r="CD46" s="123" t="s">
        <v>835</v>
      </c>
      <c r="CE46" s="123" t="s">
        <v>835</v>
      </c>
      <c r="CF46" s="123" t="s">
        <v>835</v>
      </c>
      <c r="CG46" s="123" t="s">
        <v>835</v>
      </c>
      <c r="CH46" s="123" t="s">
        <v>835</v>
      </c>
      <c r="CI46" s="123" t="s">
        <v>835</v>
      </c>
      <c r="CJ46" s="123" t="s">
        <v>835</v>
      </c>
      <c r="CK46" s="123" t="s">
        <v>835</v>
      </c>
      <c r="CL46" s="123" t="s">
        <v>835</v>
      </c>
      <c r="CM46" s="123" t="s">
        <v>835</v>
      </c>
      <c r="CN46" s="123" t="s">
        <v>835</v>
      </c>
      <c r="CO46" s="123" t="s">
        <v>835</v>
      </c>
      <c r="CP46" s="123" t="s">
        <v>835</v>
      </c>
      <c r="CQ46" s="123" t="s">
        <v>835</v>
      </c>
      <c r="CR46" s="123" t="s">
        <v>835</v>
      </c>
      <c r="CS46" s="123" t="s">
        <v>835</v>
      </c>
      <c r="CT46" s="123" t="s">
        <v>835</v>
      </c>
      <c r="CU46" s="123" t="s">
        <v>835</v>
      </c>
      <c r="CV46" s="123" t="s">
        <v>835</v>
      </c>
      <c r="CW46" s="123" t="s">
        <v>835</v>
      </c>
      <c r="CX46" s="123" t="s">
        <v>835</v>
      </c>
      <c r="CY46" s="123" t="s">
        <v>835</v>
      </c>
      <c r="CZ46" s="123" t="s">
        <v>835</v>
      </c>
      <c r="DA46" s="123" t="s">
        <v>835</v>
      </c>
      <c r="DB46" s="123" t="s">
        <v>835</v>
      </c>
      <c r="DC46" s="123" t="s">
        <v>835</v>
      </c>
      <c r="DD46" s="123" t="s">
        <v>835</v>
      </c>
      <c r="DE46" s="123" t="s">
        <v>835</v>
      </c>
      <c r="DF46" s="123" t="s">
        <v>835</v>
      </c>
      <c r="DG46" s="123" t="s">
        <v>835</v>
      </c>
      <c r="DH46" s="123" t="s">
        <v>835</v>
      </c>
      <c r="DI46" s="123" t="s">
        <v>835</v>
      </c>
      <c r="DJ46" s="123" t="s">
        <v>835</v>
      </c>
      <c r="DK46" s="123" t="s">
        <v>835</v>
      </c>
      <c r="DL46" s="123" t="s">
        <v>835</v>
      </c>
      <c r="DM46" s="123" t="s">
        <v>835</v>
      </c>
      <c r="DN46" s="123" t="s">
        <v>835</v>
      </c>
      <c r="DO46" s="123" t="s">
        <v>835</v>
      </c>
      <c r="DP46" s="123" t="s">
        <v>835</v>
      </c>
      <c r="DQ46" s="123" t="s">
        <v>835</v>
      </c>
      <c r="DR46" s="123" t="s">
        <v>835</v>
      </c>
      <c r="DS46" s="123" t="s">
        <v>835</v>
      </c>
      <c r="DT46" s="123" t="s">
        <v>835</v>
      </c>
      <c r="DU46" s="123" t="s">
        <v>835</v>
      </c>
      <c r="DV46" s="123" t="s">
        <v>835</v>
      </c>
      <c r="DW46" s="123" t="s">
        <v>835</v>
      </c>
      <c r="DX46" s="123" t="s">
        <v>835</v>
      </c>
      <c r="DY46" s="123" t="s">
        <v>835</v>
      </c>
      <c r="DZ46" s="123" t="s">
        <v>835</v>
      </c>
      <c r="EA46" s="123" t="s">
        <v>835</v>
      </c>
      <c r="EB46" s="123" t="s">
        <v>835</v>
      </c>
      <c r="EC46" s="123" t="s">
        <v>835</v>
      </c>
      <c r="ED46" s="123" t="s">
        <v>835</v>
      </c>
      <c r="EE46" s="123" t="s">
        <v>835</v>
      </c>
      <c r="EF46" s="123" t="s">
        <v>835</v>
      </c>
      <c r="EG46" s="123" t="s">
        <v>835</v>
      </c>
      <c r="EH46" s="123" t="s">
        <v>835</v>
      </c>
      <c r="EI46" s="123" t="s">
        <v>835</v>
      </c>
      <c r="EJ46" s="123" t="s">
        <v>835</v>
      </c>
      <c r="EK46" s="123" t="s">
        <v>835</v>
      </c>
      <c r="EL46" s="123" t="s">
        <v>835</v>
      </c>
      <c r="EM46" s="123" t="s">
        <v>835</v>
      </c>
      <c r="EN46" s="123" t="s">
        <v>835</v>
      </c>
      <c r="EO46" s="123" t="s">
        <v>835</v>
      </c>
      <c r="EP46" s="123" t="s">
        <v>835</v>
      </c>
      <c r="EQ46" s="123" t="s">
        <v>835</v>
      </c>
      <c r="ER46" s="123" t="s">
        <v>835</v>
      </c>
      <c r="ES46" s="123" t="s">
        <v>835</v>
      </c>
      <c r="ET46" s="123" t="s">
        <v>835</v>
      </c>
      <c r="EU46" s="123" t="s">
        <v>835</v>
      </c>
      <c r="EV46" s="123" t="s">
        <v>835</v>
      </c>
      <c r="EW46" s="123" t="s">
        <v>835</v>
      </c>
      <c r="EX46" s="123" t="s">
        <v>835</v>
      </c>
      <c r="EY46" s="133"/>
      <c r="EZ46" s="133"/>
      <c r="FA46" s="133"/>
      <c r="FB46" s="148"/>
      <c r="FC46" s="1669" t="s">
        <v>74</v>
      </c>
    </row>
    <row r="47" spans="1:159" s="9" customFormat="1" ht="23.25" customHeight="1">
      <c r="A47" s="1645"/>
      <c r="B47" s="1651"/>
      <c r="C47" s="1665" t="s">
        <v>836</v>
      </c>
      <c r="D47" s="1667" t="s">
        <v>837</v>
      </c>
      <c r="E47" s="1607"/>
      <c r="F47" s="1607"/>
      <c r="G47" s="1607"/>
      <c r="H47" s="1607"/>
      <c r="I47" s="1607"/>
      <c r="J47" s="1607"/>
      <c r="K47" s="1607"/>
      <c r="L47" s="1607"/>
      <c r="M47" s="1607"/>
      <c r="N47" s="1607"/>
      <c r="O47" s="1607"/>
      <c r="P47" s="1607"/>
      <c r="Q47" s="1607"/>
      <c r="R47" s="1607"/>
      <c r="S47" s="124">
        <f t="shared" ref="S47:AV47" si="7">SUM(S50:S89)</f>
        <v>0</v>
      </c>
      <c r="T47" s="124">
        <f t="shared" si="7"/>
        <v>0</v>
      </c>
      <c r="U47" s="124">
        <f t="shared" si="7"/>
        <v>0</v>
      </c>
      <c r="V47" s="124">
        <f t="shared" si="7"/>
        <v>0</v>
      </c>
      <c r="W47" s="124">
        <f t="shared" si="7"/>
        <v>0</v>
      </c>
      <c r="X47" s="124">
        <f t="shared" si="7"/>
        <v>0</v>
      </c>
      <c r="Y47" s="124">
        <f t="shared" si="7"/>
        <v>0</v>
      </c>
      <c r="Z47" s="124">
        <f t="shared" si="7"/>
        <v>0</v>
      </c>
      <c r="AA47" s="842"/>
      <c r="AB47" s="842"/>
      <c r="AC47" s="842"/>
      <c r="AD47" s="842"/>
      <c r="AE47" s="842"/>
      <c r="AF47" s="842"/>
      <c r="AG47" s="842"/>
      <c r="AH47" s="842"/>
      <c r="AI47" s="842"/>
      <c r="AJ47" s="124">
        <f t="shared" si="7"/>
        <v>0</v>
      </c>
      <c r="AK47" s="124">
        <f t="shared" si="7"/>
        <v>0</v>
      </c>
      <c r="AL47" s="124">
        <f t="shared" si="7"/>
        <v>0</v>
      </c>
      <c r="AM47" s="124">
        <f t="shared" si="7"/>
        <v>0</v>
      </c>
      <c r="AN47" s="124">
        <f t="shared" si="7"/>
        <v>0</v>
      </c>
      <c r="AO47" s="124">
        <f t="shared" si="7"/>
        <v>0</v>
      </c>
      <c r="AP47" s="124">
        <f t="shared" si="7"/>
        <v>0</v>
      </c>
      <c r="AQ47" s="124">
        <f t="shared" si="7"/>
        <v>0</v>
      </c>
      <c r="AR47" s="124">
        <f t="shared" si="7"/>
        <v>1</v>
      </c>
      <c r="AS47" s="124">
        <f t="shared" si="7"/>
        <v>0</v>
      </c>
      <c r="AT47" s="124">
        <f t="shared" si="7"/>
        <v>0</v>
      </c>
      <c r="AU47" s="124">
        <f t="shared" si="7"/>
        <v>0</v>
      </c>
      <c r="AV47" s="124">
        <f t="shared" si="7"/>
        <v>0</v>
      </c>
      <c r="AW47" s="124">
        <f t="shared" ref="AW47:CS47" si="8">SUM(AW50:AW89)</f>
        <v>0</v>
      </c>
      <c r="AX47" s="124">
        <f t="shared" si="8"/>
        <v>0</v>
      </c>
      <c r="AY47" s="124">
        <f t="shared" si="8"/>
        <v>0</v>
      </c>
      <c r="AZ47" s="124">
        <f t="shared" si="8"/>
        <v>0</v>
      </c>
      <c r="BA47" s="124">
        <f t="shared" si="8"/>
        <v>0</v>
      </c>
      <c r="BB47" s="124">
        <f t="shared" si="8"/>
        <v>0</v>
      </c>
      <c r="BC47" s="124">
        <f t="shared" si="8"/>
        <v>0</v>
      </c>
      <c r="BD47" s="124">
        <f t="shared" si="8"/>
        <v>0</v>
      </c>
      <c r="BE47" s="124">
        <f t="shared" si="8"/>
        <v>0</v>
      </c>
      <c r="BF47" s="124">
        <f t="shared" si="8"/>
        <v>0</v>
      </c>
      <c r="BG47" s="124">
        <f t="shared" si="8"/>
        <v>0</v>
      </c>
      <c r="BH47" s="124">
        <f t="shared" si="8"/>
        <v>0</v>
      </c>
      <c r="BI47" s="124">
        <f t="shared" si="8"/>
        <v>0</v>
      </c>
      <c r="BJ47" s="124">
        <f t="shared" si="8"/>
        <v>0</v>
      </c>
      <c r="BK47" s="124">
        <f t="shared" si="8"/>
        <v>0</v>
      </c>
      <c r="BL47" s="124">
        <f t="shared" si="8"/>
        <v>0</v>
      </c>
      <c r="BM47" s="124">
        <f t="shared" si="8"/>
        <v>0</v>
      </c>
      <c r="BN47" s="124">
        <f t="shared" si="8"/>
        <v>0</v>
      </c>
      <c r="BO47" s="124">
        <f t="shared" si="8"/>
        <v>0</v>
      </c>
      <c r="BP47" s="124">
        <f t="shared" si="8"/>
        <v>0</v>
      </c>
      <c r="BQ47" s="124">
        <f t="shared" si="8"/>
        <v>0</v>
      </c>
      <c r="BR47" s="124">
        <f t="shared" si="8"/>
        <v>0</v>
      </c>
      <c r="BS47" s="124">
        <f t="shared" si="8"/>
        <v>0</v>
      </c>
      <c r="BT47" s="124">
        <f t="shared" si="8"/>
        <v>0</v>
      </c>
      <c r="BU47" s="124">
        <f t="shared" si="8"/>
        <v>0</v>
      </c>
      <c r="BV47" s="124">
        <f t="shared" si="8"/>
        <v>0</v>
      </c>
      <c r="BW47" s="124">
        <f t="shared" si="8"/>
        <v>0</v>
      </c>
      <c r="BX47" s="124">
        <f t="shared" si="8"/>
        <v>0</v>
      </c>
      <c r="BY47" s="124">
        <f t="shared" si="8"/>
        <v>0</v>
      </c>
      <c r="BZ47" s="124">
        <f t="shared" si="8"/>
        <v>0</v>
      </c>
      <c r="CA47" s="124">
        <f t="shared" si="8"/>
        <v>1</v>
      </c>
      <c r="CB47" s="124">
        <f t="shared" si="8"/>
        <v>0</v>
      </c>
      <c r="CC47" s="124">
        <f t="shared" si="8"/>
        <v>0</v>
      </c>
      <c r="CD47" s="124">
        <f t="shared" si="8"/>
        <v>0</v>
      </c>
      <c r="CE47" s="124">
        <f t="shared" si="8"/>
        <v>0</v>
      </c>
      <c r="CF47" s="124">
        <f t="shared" si="8"/>
        <v>0</v>
      </c>
      <c r="CG47" s="124">
        <f t="shared" si="8"/>
        <v>0</v>
      </c>
      <c r="CH47" s="124">
        <f t="shared" si="8"/>
        <v>0</v>
      </c>
      <c r="CI47" s="124">
        <f t="shared" si="8"/>
        <v>0</v>
      </c>
      <c r="CJ47" s="124">
        <f t="shared" si="8"/>
        <v>0</v>
      </c>
      <c r="CK47" s="124">
        <f t="shared" si="8"/>
        <v>0</v>
      </c>
      <c r="CL47" s="124">
        <f t="shared" si="8"/>
        <v>0</v>
      </c>
      <c r="CM47" s="124">
        <f t="shared" si="8"/>
        <v>0</v>
      </c>
      <c r="CN47" s="124">
        <f t="shared" si="8"/>
        <v>0</v>
      </c>
      <c r="CO47" s="124">
        <f t="shared" si="8"/>
        <v>0</v>
      </c>
      <c r="CP47" s="124">
        <f t="shared" si="8"/>
        <v>0</v>
      </c>
      <c r="CQ47" s="124">
        <f t="shared" si="8"/>
        <v>0</v>
      </c>
      <c r="CR47" s="124">
        <f t="shared" si="8"/>
        <v>0</v>
      </c>
      <c r="CS47" s="124">
        <f t="shared" si="8"/>
        <v>0</v>
      </c>
      <c r="CT47" s="124">
        <f t="shared" ref="CT47:DU47" si="9">SUM(CT50:CT89)</f>
        <v>0</v>
      </c>
      <c r="CU47" s="124">
        <f t="shared" si="9"/>
        <v>0</v>
      </c>
      <c r="CV47" s="124">
        <f t="shared" si="9"/>
        <v>0</v>
      </c>
      <c r="CW47" s="124">
        <f t="shared" si="9"/>
        <v>0</v>
      </c>
      <c r="CX47" s="124">
        <f t="shared" si="9"/>
        <v>0</v>
      </c>
      <c r="CY47" s="124">
        <f t="shared" si="9"/>
        <v>1</v>
      </c>
      <c r="CZ47" s="124">
        <f t="shared" si="9"/>
        <v>0</v>
      </c>
      <c r="DA47" s="124">
        <f t="shared" si="9"/>
        <v>0</v>
      </c>
      <c r="DB47" s="124">
        <f t="shared" si="9"/>
        <v>0</v>
      </c>
      <c r="DC47" s="124">
        <f t="shared" si="9"/>
        <v>0</v>
      </c>
      <c r="DD47" s="124">
        <f t="shared" si="9"/>
        <v>0</v>
      </c>
      <c r="DE47" s="124">
        <f t="shared" si="9"/>
        <v>0</v>
      </c>
      <c r="DF47" s="124">
        <f t="shared" si="9"/>
        <v>0</v>
      </c>
      <c r="DG47" s="124">
        <f t="shared" si="9"/>
        <v>0</v>
      </c>
      <c r="DH47" s="124">
        <f t="shared" si="9"/>
        <v>0</v>
      </c>
      <c r="DI47" s="124">
        <f t="shared" si="9"/>
        <v>0</v>
      </c>
      <c r="DJ47" s="124">
        <f t="shared" si="9"/>
        <v>0</v>
      </c>
      <c r="DK47" s="124">
        <f t="shared" si="9"/>
        <v>0</v>
      </c>
      <c r="DL47" s="124">
        <f t="shared" si="9"/>
        <v>0</v>
      </c>
      <c r="DM47" s="124">
        <f t="shared" si="9"/>
        <v>0</v>
      </c>
      <c r="DN47" s="124">
        <f t="shared" si="9"/>
        <v>0</v>
      </c>
      <c r="DO47" s="124">
        <f t="shared" si="9"/>
        <v>0</v>
      </c>
      <c r="DP47" s="124">
        <f t="shared" si="9"/>
        <v>2</v>
      </c>
      <c r="DQ47" s="124">
        <f t="shared" si="9"/>
        <v>0</v>
      </c>
      <c r="DR47" s="124">
        <f t="shared" si="9"/>
        <v>0</v>
      </c>
      <c r="DS47" s="124">
        <f t="shared" si="9"/>
        <v>0</v>
      </c>
      <c r="DT47" s="124">
        <f t="shared" si="9"/>
        <v>0</v>
      </c>
      <c r="DU47" s="124">
        <f t="shared" si="9"/>
        <v>0</v>
      </c>
      <c r="DV47" s="124">
        <f t="shared" ref="DV47:EP47" si="10">SUM(DV50:DV89)</f>
        <v>1</v>
      </c>
      <c r="DW47" s="124">
        <f t="shared" si="10"/>
        <v>0</v>
      </c>
      <c r="DX47" s="124">
        <f t="shared" si="10"/>
        <v>0</v>
      </c>
      <c r="DY47" s="124">
        <f t="shared" si="10"/>
        <v>0</v>
      </c>
      <c r="DZ47" s="124">
        <f t="shared" si="10"/>
        <v>0</v>
      </c>
      <c r="EA47" s="124">
        <f t="shared" si="10"/>
        <v>0</v>
      </c>
      <c r="EB47" s="124">
        <f t="shared" si="10"/>
        <v>0</v>
      </c>
      <c r="EC47" s="124">
        <f t="shared" si="10"/>
        <v>0</v>
      </c>
      <c r="ED47" s="124">
        <f t="shared" si="10"/>
        <v>0</v>
      </c>
      <c r="EE47" s="124">
        <f t="shared" si="10"/>
        <v>1</v>
      </c>
      <c r="EF47" s="124">
        <f t="shared" si="10"/>
        <v>0</v>
      </c>
      <c r="EG47" s="124">
        <f t="shared" si="10"/>
        <v>0</v>
      </c>
      <c r="EH47" s="124">
        <f t="shared" si="10"/>
        <v>0</v>
      </c>
      <c r="EI47" s="124">
        <f t="shared" si="10"/>
        <v>0</v>
      </c>
      <c r="EJ47" s="124">
        <f t="shared" si="10"/>
        <v>0</v>
      </c>
      <c r="EK47" s="124">
        <f t="shared" si="10"/>
        <v>0</v>
      </c>
      <c r="EL47" s="124">
        <f t="shared" si="10"/>
        <v>0</v>
      </c>
      <c r="EM47" s="124">
        <f t="shared" si="10"/>
        <v>0</v>
      </c>
      <c r="EN47" s="124">
        <f t="shared" si="10"/>
        <v>0</v>
      </c>
      <c r="EO47" s="124">
        <f t="shared" si="10"/>
        <v>0</v>
      </c>
      <c r="EP47" s="124">
        <f t="shared" si="10"/>
        <v>0</v>
      </c>
      <c r="EQ47" s="124">
        <f t="shared" ref="EQ47:EX47" si="11">SUM(EQ50:EQ89)</f>
        <v>0</v>
      </c>
      <c r="ER47" s="124">
        <f t="shared" si="11"/>
        <v>0</v>
      </c>
      <c r="ES47" s="124">
        <f t="shared" si="11"/>
        <v>0</v>
      </c>
      <c r="ET47" s="124">
        <f t="shared" si="11"/>
        <v>0</v>
      </c>
      <c r="EU47" s="124">
        <f t="shared" si="11"/>
        <v>0</v>
      </c>
      <c r="EV47" s="124">
        <f t="shared" si="11"/>
        <v>0</v>
      </c>
      <c r="EW47" s="124">
        <f t="shared" si="11"/>
        <v>0</v>
      </c>
      <c r="EX47" s="124">
        <f t="shared" si="11"/>
        <v>0</v>
      </c>
      <c r="EY47" s="134"/>
      <c r="EZ47" s="134"/>
      <c r="FA47" s="134"/>
      <c r="FB47" s="1672" t="s">
        <v>969</v>
      </c>
      <c r="FC47" s="1670"/>
    </row>
    <row r="48" spans="1:159" s="90" customFormat="1" ht="70.5" customHeight="1">
      <c r="A48" s="1646"/>
      <c r="B48" s="1652"/>
      <c r="C48" s="1666"/>
      <c r="D48" s="1668"/>
      <c r="E48" s="1608"/>
      <c r="F48" s="1608"/>
      <c r="G48" s="1608"/>
      <c r="H48" s="1608"/>
      <c r="I48" s="1608"/>
      <c r="J48" s="1608"/>
      <c r="K48" s="1608"/>
      <c r="L48" s="1608"/>
      <c r="M48" s="1608"/>
      <c r="N48" s="1608"/>
      <c r="O48" s="1608"/>
      <c r="P48" s="1608"/>
      <c r="Q48" s="1608"/>
      <c r="R48" s="1608"/>
      <c r="S48" s="120">
        <v>43466</v>
      </c>
      <c r="T48" s="120">
        <v>43467</v>
      </c>
      <c r="U48" s="120">
        <v>43468</v>
      </c>
      <c r="V48" s="120">
        <v>43469</v>
      </c>
      <c r="W48" s="120">
        <v>43470</v>
      </c>
      <c r="X48" s="120">
        <v>43471</v>
      </c>
      <c r="Y48" s="120">
        <v>43472</v>
      </c>
      <c r="Z48" s="120">
        <v>43473</v>
      </c>
      <c r="AA48" s="120">
        <v>43474</v>
      </c>
      <c r="AB48" s="120">
        <v>43475</v>
      </c>
      <c r="AC48" s="120">
        <v>43476</v>
      </c>
      <c r="AD48" s="120">
        <v>43477</v>
      </c>
      <c r="AE48" s="120">
        <v>43478</v>
      </c>
      <c r="AF48" s="120">
        <v>43479</v>
      </c>
      <c r="AG48" s="120">
        <v>43480</v>
      </c>
      <c r="AH48" s="120">
        <v>43481</v>
      </c>
      <c r="AI48" s="120">
        <v>43482</v>
      </c>
      <c r="AJ48" s="120">
        <v>43483</v>
      </c>
      <c r="AK48" s="120">
        <v>43484</v>
      </c>
      <c r="AL48" s="120">
        <v>43485</v>
      </c>
      <c r="AM48" s="120">
        <v>43486</v>
      </c>
      <c r="AN48" s="120">
        <v>43487</v>
      </c>
      <c r="AO48" s="120">
        <v>43488</v>
      </c>
      <c r="AP48" s="120">
        <v>43489</v>
      </c>
      <c r="AQ48" s="120">
        <v>43490</v>
      </c>
      <c r="AR48" s="120">
        <v>43491</v>
      </c>
      <c r="AS48" s="120">
        <v>43492</v>
      </c>
      <c r="AT48" s="120">
        <v>43493</v>
      </c>
      <c r="AU48" s="120">
        <v>43494</v>
      </c>
      <c r="AV48" s="120">
        <v>43495</v>
      </c>
      <c r="AW48" s="120">
        <v>43496</v>
      </c>
      <c r="AX48" s="120">
        <v>43497</v>
      </c>
      <c r="AY48" s="120">
        <v>43498</v>
      </c>
      <c r="AZ48" s="120">
        <v>43499</v>
      </c>
      <c r="BA48" s="120">
        <v>43500</v>
      </c>
      <c r="BB48" s="120">
        <v>43501</v>
      </c>
      <c r="BC48" s="120">
        <v>43502</v>
      </c>
      <c r="BD48" s="120">
        <v>43503</v>
      </c>
      <c r="BE48" s="120">
        <v>43504</v>
      </c>
      <c r="BF48" s="120">
        <v>43505</v>
      </c>
      <c r="BG48" s="120">
        <v>43506</v>
      </c>
      <c r="BH48" s="120">
        <v>43507</v>
      </c>
      <c r="BI48" s="120">
        <v>43508</v>
      </c>
      <c r="BJ48" s="120">
        <v>43509</v>
      </c>
      <c r="BK48" s="120">
        <v>43510</v>
      </c>
      <c r="BL48" s="120">
        <v>43511</v>
      </c>
      <c r="BM48" s="120">
        <v>43512</v>
      </c>
      <c r="BN48" s="120">
        <v>43513</v>
      </c>
      <c r="BO48" s="120">
        <v>43514</v>
      </c>
      <c r="BP48" s="120">
        <v>43515</v>
      </c>
      <c r="BQ48" s="120">
        <v>43516</v>
      </c>
      <c r="BR48" s="120">
        <v>43517</v>
      </c>
      <c r="BS48" s="120">
        <v>43518</v>
      </c>
      <c r="BT48" s="120">
        <v>43519</v>
      </c>
      <c r="BU48" s="120">
        <v>43520</v>
      </c>
      <c r="BV48" s="120">
        <v>43521</v>
      </c>
      <c r="BW48" s="120">
        <v>43522</v>
      </c>
      <c r="BX48" s="120">
        <v>43523</v>
      </c>
      <c r="BY48" s="120">
        <v>43524</v>
      </c>
      <c r="BZ48" s="120">
        <v>43525</v>
      </c>
      <c r="CA48" s="120">
        <v>43526</v>
      </c>
      <c r="CB48" s="120">
        <v>43527</v>
      </c>
      <c r="CC48" s="120">
        <v>43528</v>
      </c>
      <c r="CD48" s="120">
        <v>43529</v>
      </c>
      <c r="CE48" s="120">
        <v>43530</v>
      </c>
      <c r="CF48" s="120">
        <v>43531</v>
      </c>
      <c r="CG48" s="120">
        <v>43532</v>
      </c>
      <c r="CH48" s="120">
        <v>43533</v>
      </c>
      <c r="CI48" s="120">
        <v>43534</v>
      </c>
      <c r="CJ48" s="120">
        <v>43535</v>
      </c>
      <c r="CK48" s="120">
        <v>43536</v>
      </c>
      <c r="CL48" s="120">
        <v>43537</v>
      </c>
      <c r="CM48" s="120">
        <v>43538</v>
      </c>
      <c r="CN48" s="120">
        <v>43539</v>
      </c>
      <c r="CO48" s="120">
        <v>43540</v>
      </c>
      <c r="CP48" s="120">
        <v>43541</v>
      </c>
      <c r="CQ48" s="120">
        <v>43542</v>
      </c>
      <c r="CR48" s="120">
        <v>43543</v>
      </c>
      <c r="CS48" s="120">
        <v>43544</v>
      </c>
      <c r="CT48" s="120">
        <v>43545</v>
      </c>
      <c r="CU48" s="120">
        <v>43546</v>
      </c>
      <c r="CV48" s="120">
        <v>43547</v>
      </c>
      <c r="CW48" s="120">
        <v>43548</v>
      </c>
      <c r="CX48" s="120">
        <v>43549</v>
      </c>
      <c r="CY48" s="120">
        <v>43550</v>
      </c>
      <c r="CZ48" s="120">
        <v>43551</v>
      </c>
      <c r="DA48" s="120">
        <v>43552</v>
      </c>
      <c r="DB48" s="120">
        <v>43553</v>
      </c>
      <c r="DC48" s="120">
        <v>43554</v>
      </c>
      <c r="DD48" s="120">
        <v>43555</v>
      </c>
      <c r="DE48" s="120">
        <v>43556</v>
      </c>
      <c r="DF48" s="120">
        <v>43557</v>
      </c>
      <c r="DG48" s="120">
        <v>43558</v>
      </c>
      <c r="DH48" s="120">
        <v>43559</v>
      </c>
      <c r="DI48" s="120">
        <v>43560</v>
      </c>
      <c r="DJ48" s="120">
        <v>43561</v>
      </c>
      <c r="DK48" s="120">
        <v>43562</v>
      </c>
      <c r="DL48" s="120">
        <v>43563</v>
      </c>
      <c r="DM48" s="120">
        <v>43564</v>
      </c>
      <c r="DN48" s="120">
        <v>43565</v>
      </c>
      <c r="DO48" s="120">
        <v>43566</v>
      </c>
      <c r="DP48" s="120">
        <v>43567</v>
      </c>
      <c r="DQ48" s="120">
        <v>43568</v>
      </c>
      <c r="DR48" s="120">
        <v>43569</v>
      </c>
      <c r="DS48" s="120">
        <v>43570</v>
      </c>
      <c r="DT48" s="120">
        <v>43571</v>
      </c>
      <c r="DU48" s="120">
        <v>43572</v>
      </c>
      <c r="DV48" s="120">
        <v>43573</v>
      </c>
      <c r="DW48" s="120">
        <v>43574</v>
      </c>
      <c r="DX48" s="120">
        <v>43575</v>
      </c>
      <c r="DY48" s="120">
        <v>43576</v>
      </c>
      <c r="DZ48" s="120">
        <v>43577</v>
      </c>
      <c r="EA48" s="120">
        <v>43578</v>
      </c>
      <c r="EB48" s="120">
        <v>43579</v>
      </c>
      <c r="EC48" s="120">
        <v>43580</v>
      </c>
      <c r="ED48" s="120">
        <v>43581</v>
      </c>
      <c r="EE48" s="120">
        <v>43582</v>
      </c>
      <c r="EF48" s="120">
        <v>43583</v>
      </c>
      <c r="EG48" s="120">
        <v>43584</v>
      </c>
      <c r="EH48" s="120">
        <v>43585</v>
      </c>
      <c r="EI48" s="120">
        <v>43586</v>
      </c>
      <c r="EJ48" s="120">
        <v>43587</v>
      </c>
      <c r="EK48" s="120">
        <v>43588</v>
      </c>
      <c r="EL48" s="120">
        <v>43589</v>
      </c>
      <c r="EM48" s="120">
        <v>43590</v>
      </c>
      <c r="EN48" s="120">
        <v>43591</v>
      </c>
      <c r="EO48" s="120">
        <v>43592</v>
      </c>
      <c r="EP48" s="120">
        <v>43593</v>
      </c>
      <c r="EQ48" s="120">
        <v>43594</v>
      </c>
      <c r="ER48" s="120">
        <v>43595</v>
      </c>
      <c r="ES48" s="120">
        <v>43596</v>
      </c>
      <c r="ET48" s="120">
        <v>43597</v>
      </c>
      <c r="EU48" s="120">
        <v>43598</v>
      </c>
      <c r="EV48" s="120">
        <v>43599</v>
      </c>
      <c r="EW48" s="120">
        <v>43600</v>
      </c>
      <c r="EX48" s="120">
        <v>43601</v>
      </c>
      <c r="EY48" s="135" t="s">
        <v>841</v>
      </c>
      <c r="EZ48" s="136" t="s">
        <v>838</v>
      </c>
      <c r="FA48" s="137" t="s">
        <v>32</v>
      </c>
      <c r="FB48" s="1673"/>
      <c r="FC48" s="1671"/>
    </row>
    <row r="49" spans="1:159" s="91" customFormat="1" ht="24" customHeight="1">
      <c r="A49" s="104"/>
      <c r="B49" s="104"/>
      <c r="C49" s="104"/>
      <c r="D49" s="105"/>
      <c r="E49" s="106"/>
      <c r="F49" s="106"/>
      <c r="G49" s="106"/>
      <c r="H49" s="106"/>
      <c r="I49" s="963"/>
      <c r="J49" s="963"/>
      <c r="K49" s="963"/>
      <c r="L49" s="106"/>
      <c r="M49" s="963"/>
      <c r="N49" s="106"/>
      <c r="O49" s="106"/>
      <c r="P49" s="106"/>
      <c r="Q49" s="106"/>
      <c r="R49" s="106"/>
      <c r="S49" s="125"/>
      <c r="T49" s="125"/>
      <c r="U49" s="964"/>
      <c r="V49" s="964"/>
      <c r="W49" s="964"/>
      <c r="X49" s="964"/>
      <c r="Y49" s="964"/>
      <c r="Z49" s="964"/>
      <c r="AA49" s="964"/>
      <c r="AB49" s="964"/>
      <c r="AC49" s="964"/>
      <c r="AD49" s="964"/>
      <c r="AE49" s="964"/>
      <c r="AF49" s="964"/>
      <c r="AG49" s="964"/>
      <c r="AH49" s="964"/>
      <c r="AI49" s="964"/>
      <c r="AJ49" s="964"/>
      <c r="AK49" s="964"/>
      <c r="AL49" s="964"/>
      <c r="AM49" s="964"/>
      <c r="AN49" s="964"/>
      <c r="AO49" s="964"/>
      <c r="AP49" s="964"/>
      <c r="AQ49" s="964"/>
      <c r="AR49" s="964"/>
      <c r="AS49" s="964"/>
      <c r="AT49" s="964"/>
      <c r="AU49" s="964"/>
      <c r="AV49" s="964"/>
      <c r="AW49" s="125"/>
      <c r="AX49" s="964"/>
      <c r="AY49" s="964"/>
      <c r="AZ49" s="964"/>
      <c r="BA49" s="964"/>
      <c r="BB49" s="964"/>
      <c r="BC49" s="964"/>
      <c r="BD49" s="964"/>
      <c r="BE49" s="964"/>
      <c r="BF49" s="964"/>
      <c r="BG49" s="964"/>
      <c r="BH49" s="964"/>
      <c r="BI49" s="964"/>
      <c r="BJ49" s="964"/>
      <c r="BK49" s="125"/>
      <c r="BL49" s="964"/>
      <c r="BM49" s="964"/>
      <c r="BN49" s="964"/>
      <c r="BO49" s="964"/>
      <c r="BP49" s="964"/>
      <c r="BQ49" s="964"/>
      <c r="BR49" s="964"/>
      <c r="BS49" s="964"/>
      <c r="BT49" s="964"/>
      <c r="BU49" s="964"/>
      <c r="BV49" s="964"/>
      <c r="BW49" s="964"/>
      <c r="BX49" s="964"/>
      <c r="BY49" s="964"/>
      <c r="BZ49" s="964"/>
      <c r="CA49" s="964"/>
      <c r="CB49" s="964"/>
      <c r="CC49" s="964"/>
      <c r="CD49" s="964"/>
      <c r="CE49" s="964"/>
      <c r="CF49" s="964"/>
      <c r="CG49" s="964"/>
      <c r="CH49" s="964"/>
      <c r="CI49" s="964"/>
      <c r="CJ49" s="964"/>
      <c r="CK49" s="964"/>
      <c r="CL49" s="964"/>
      <c r="CM49" s="964"/>
      <c r="CN49" s="964"/>
      <c r="CO49" s="964"/>
      <c r="CP49" s="964"/>
      <c r="CQ49" s="964"/>
      <c r="CR49" s="964"/>
      <c r="CS49" s="964"/>
      <c r="CT49" s="125"/>
      <c r="CU49" s="964"/>
      <c r="CV49" s="964"/>
      <c r="CW49" s="964"/>
      <c r="CX49" s="964"/>
      <c r="CY49" s="964"/>
      <c r="CZ49" s="964"/>
      <c r="DA49" s="964"/>
      <c r="DB49" s="964"/>
      <c r="DC49" s="964"/>
      <c r="DD49" s="964"/>
      <c r="DE49" s="964"/>
      <c r="DF49" s="964"/>
      <c r="DG49" s="964"/>
      <c r="DH49" s="964"/>
      <c r="DI49" s="964"/>
      <c r="DJ49" s="964"/>
      <c r="DK49" s="964"/>
      <c r="DL49" s="964"/>
      <c r="DM49" s="964"/>
      <c r="DN49" s="964"/>
      <c r="DO49" s="964"/>
      <c r="DP49" s="964"/>
      <c r="DQ49" s="964"/>
      <c r="DR49" s="964"/>
      <c r="DS49" s="964"/>
      <c r="DT49" s="964"/>
      <c r="DU49" s="964"/>
      <c r="DV49" s="125"/>
      <c r="DW49" s="125"/>
      <c r="DX49" s="964"/>
      <c r="DY49" s="964"/>
      <c r="DZ49" s="964"/>
      <c r="EA49" s="964"/>
      <c r="EB49" s="964"/>
      <c r="EC49" s="964"/>
      <c r="ED49" s="964"/>
      <c r="EE49" s="964"/>
      <c r="EF49" s="964"/>
      <c r="EG49" s="964"/>
      <c r="EH49" s="964"/>
      <c r="EI49" s="964"/>
      <c r="EJ49" s="964"/>
      <c r="EK49" s="964"/>
      <c r="EL49" s="964"/>
      <c r="EM49" s="964"/>
      <c r="EN49" s="964"/>
      <c r="EO49" s="964"/>
      <c r="EP49" s="964"/>
      <c r="EQ49" s="125"/>
      <c r="ER49" s="964"/>
      <c r="ES49" s="964"/>
      <c r="ET49" s="964"/>
      <c r="EU49" s="964"/>
      <c r="EV49" s="964"/>
      <c r="EW49" s="964"/>
      <c r="EX49" s="125"/>
      <c r="EY49" s="138"/>
      <c r="EZ49" s="138"/>
      <c r="FA49" s="138"/>
      <c r="FB49" s="149"/>
      <c r="FC49" s="150"/>
    </row>
    <row r="50" spans="1:159" s="17" customFormat="1" ht="75.75" customHeight="1">
      <c r="A50" s="56">
        <v>1</v>
      </c>
      <c r="B50" s="1653" t="s">
        <v>889</v>
      </c>
      <c r="C50" s="107" t="s">
        <v>843</v>
      </c>
      <c r="D50" s="108" t="s">
        <v>1077</v>
      </c>
      <c r="E50" s="72">
        <f>SUM(I50:M50)</f>
        <v>0</v>
      </c>
      <c r="F50" s="798">
        <v>0</v>
      </c>
      <c r="G50" s="798">
        <v>0</v>
      </c>
      <c r="H50" s="798">
        <v>0</v>
      </c>
      <c r="I50" s="798">
        <f>SUM(S50:AW50)</f>
        <v>0</v>
      </c>
      <c r="J50" s="798">
        <f>SUM(AX50:BY50)</f>
        <v>0</v>
      </c>
      <c r="K50" s="798">
        <f>SUM(BZ50:DD50)</f>
        <v>0</v>
      </c>
      <c r="L50" s="798">
        <f>SUM(DE50:EH50)</f>
        <v>0</v>
      </c>
      <c r="M50" s="798">
        <f>SUM(EI50:EX50)</f>
        <v>0</v>
      </c>
      <c r="N50" s="798">
        <f>SUM(ED50:EJ50)</f>
        <v>0</v>
      </c>
      <c r="O50" s="798">
        <f>SUM(EK50:EQ50)</f>
        <v>0</v>
      </c>
      <c r="P50" s="798">
        <f>SUM(ER50:EX50)</f>
        <v>0</v>
      </c>
      <c r="Q50" s="798"/>
      <c r="R50" s="72"/>
      <c r="S50" s="778"/>
      <c r="T50" s="778"/>
      <c r="U50" s="953"/>
      <c r="V50" s="953"/>
      <c r="W50" s="953"/>
      <c r="X50" s="953"/>
      <c r="Y50" s="778"/>
      <c r="Z50" s="778"/>
      <c r="AA50" s="778"/>
      <c r="AB50" s="778"/>
      <c r="AC50" s="778"/>
      <c r="AD50" s="778"/>
      <c r="AE50" s="778"/>
      <c r="AF50" s="778"/>
      <c r="AG50" s="778"/>
      <c r="AH50" s="778"/>
      <c r="AI50" s="778"/>
      <c r="AJ50" s="778"/>
      <c r="AK50" s="778"/>
      <c r="AL50" s="778"/>
      <c r="AM50" s="778"/>
      <c r="AN50" s="778"/>
      <c r="AO50" s="778"/>
      <c r="AP50" s="778"/>
      <c r="AQ50" s="778"/>
      <c r="AR50" s="778"/>
      <c r="AS50" s="778"/>
      <c r="AT50" s="778"/>
      <c r="AU50" s="778"/>
      <c r="AV50" s="778"/>
      <c r="AW50" s="1085"/>
      <c r="AX50" s="778"/>
      <c r="AY50" s="778"/>
      <c r="AZ50" s="778"/>
      <c r="BA50" s="778"/>
      <c r="BB50" s="778"/>
      <c r="BC50" s="778"/>
      <c r="BD50" s="778"/>
      <c r="BE50" s="778"/>
      <c r="BF50" s="778"/>
      <c r="BG50" s="778"/>
      <c r="BH50" s="778"/>
      <c r="BI50" s="778"/>
      <c r="BJ50" s="778"/>
      <c r="BK50" s="1116"/>
      <c r="BL50" s="778"/>
      <c r="BM50" s="778"/>
      <c r="BN50" s="778"/>
      <c r="BO50" s="778"/>
      <c r="BP50" s="778"/>
      <c r="BQ50" s="778"/>
      <c r="BR50" s="778"/>
      <c r="BS50" s="778"/>
      <c r="BT50" s="778"/>
      <c r="BU50" s="778"/>
      <c r="BV50" s="778"/>
      <c r="BW50" s="778"/>
      <c r="BX50" s="778"/>
      <c r="BY50" s="778"/>
      <c r="BZ50" s="778"/>
      <c r="CA50" s="778"/>
      <c r="CB50" s="778"/>
      <c r="CC50" s="778"/>
      <c r="CD50" s="778"/>
      <c r="CE50" s="778"/>
      <c r="CF50" s="778"/>
      <c r="CG50" s="778"/>
      <c r="CH50" s="778"/>
      <c r="CI50" s="778"/>
      <c r="CJ50" s="778"/>
      <c r="CK50" s="778"/>
      <c r="CL50" s="778"/>
      <c r="CM50" s="778"/>
      <c r="CN50" s="778"/>
      <c r="CO50" s="778"/>
      <c r="CP50" s="778"/>
      <c r="CQ50" s="778"/>
      <c r="CR50" s="778"/>
      <c r="CS50" s="778"/>
      <c r="CT50" s="1282"/>
      <c r="CU50" s="778"/>
      <c r="CV50" s="778"/>
      <c r="CW50" s="778"/>
      <c r="CX50" s="778"/>
      <c r="CY50" s="778"/>
      <c r="CZ50" s="778"/>
      <c r="DA50" s="778"/>
      <c r="DB50" s="778"/>
      <c r="DC50" s="778"/>
      <c r="DD50" s="778"/>
      <c r="DE50" s="778"/>
      <c r="DF50" s="778"/>
      <c r="DG50" s="778"/>
      <c r="DH50" s="778"/>
      <c r="DI50" s="778"/>
      <c r="DJ50" s="778"/>
      <c r="DK50" s="778"/>
      <c r="DL50" s="778"/>
      <c r="DM50" s="778"/>
      <c r="DN50" s="778"/>
      <c r="DO50" s="778"/>
      <c r="DP50" s="778"/>
      <c r="DQ50" s="778"/>
      <c r="DR50" s="778"/>
      <c r="DS50" s="778"/>
      <c r="DT50" s="778"/>
      <c r="DU50" s="778"/>
      <c r="DV50" s="1413"/>
      <c r="DW50" s="1413"/>
      <c r="DX50" s="778"/>
      <c r="DY50" s="778"/>
      <c r="DZ50" s="778"/>
      <c r="EA50" s="778"/>
      <c r="EB50" s="778"/>
      <c r="EC50" s="778"/>
      <c r="ED50" s="778"/>
      <c r="EE50" s="778"/>
      <c r="EF50" s="778"/>
      <c r="EG50" s="778"/>
      <c r="EH50" s="778"/>
      <c r="EI50" s="778"/>
      <c r="EJ50" s="778"/>
      <c r="EK50" s="778"/>
      <c r="EL50" s="778"/>
      <c r="EM50" s="778"/>
      <c r="EN50" s="778"/>
      <c r="EO50" s="778"/>
      <c r="EP50" s="778"/>
      <c r="EQ50" s="1491"/>
      <c r="ER50" s="778"/>
      <c r="ES50" s="778"/>
      <c r="ET50" s="778"/>
      <c r="EU50" s="778"/>
      <c r="EV50" s="778"/>
      <c r="EW50" s="778"/>
      <c r="EX50" s="56"/>
      <c r="EY50" s="139" t="s">
        <v>1078</v>
      </c>
      <c r="EZ50" s="139"/>
      <c r="FA50" s="140"/>
      <c r="FB50" s="4"/>
      <c r="FC50" s="151" t="s">
        <v>861</v>
      </c>
    </row>
    <row r="51" spans="1:159" s="17" customFormat="1" ht="75.75" customHeight="1">
      <c r="A51" s="748"/>
      <c r="B51" s="1654"/>
      <c r="C51" s="759" t="s">
        <v>843</v>
      </c>
      <c r="D51" s="799" t="s">
        <v>1245</v>
      </c>
      <c r="E51" s="72">
        <f t="shared" ref="E51:E89" si="12">SUM(I51:M51)</f>
        <v>0</v>
      </c>
      <c r="F51" s="750">
        <v>1</v>
      </c>
      <c r="G51" s="750">
        <v>0</v>
      </c>
      <c r="H51" s="750">
        <v>1</v>
      </c>
      <c r="I51" s="798">
        <f t="shared" ref="I51:I89" si="13">SUM(S51:AW51)</f>
        <v>0</v>
      </c>
      <c r="J51" s="798">
        <f t="shared" ref="J51:J52" si="14">SUM(AX51:BY51)</f>
        <v>0</v>
      </c>
      <c r="K51" s="798">
        <f t="shared" ref="K51:K89" si="15">SUM(BZ51:DD51)</f>
        <v>0</v>
      </c>
      <c r="L51" s="798">
        <f t="shared" ref="L51:L89" si="16">SUM(DE51:EH51)</f>
        <v>0</v>
      </c>
      <c r="M51" s="798">
        <f t="shared" ref="M51:M89" si="17">SUM(EI51:EX51)</f>
        <v>0</v>
      </c>
      <c r="N51" s="798">
        <f t="shared" ref="N51:N89" si="18">SUM(ED51:EJ51)</f>
        <v>0</v>
      </c>
      <c r="O51" s="798">
        <f t="shared" ref="O51:O89" si="19">SUM(EK51:EQ51)</f>
        <v>0</v>
      </c>
      <c r="P51" s="798">
        <f t="shared" ref="P51:P89" si="20">SUM(ER51:EX51)</f>
        <v>0</v>
      </c>
      <c r="Q51" s="798"/>
      <c r="R51" s="72"/>
      <c r="S51" s="748"/>
      <c r="T51" s="748"/>
      <c r="U51" s="55"/>
      <c r="V51" s="55"/>
      <c r="W51" s="55"/>
      <c r="X51" s="55"/>
      <c r="Y51" s="748"/>
      <c r="Z51" s="748"/>
      <c r="AA51" s="748"/>
      <c r="AB51" s="748"/>
      <c r="AC51" s="748"/>
      <c r="AD51" s="748"/>
      <c r="AE51" s="748"/>
      <c r="AF51" s="748"/>
      <c r="AG51" s="748"/>
      <c r="AH51" s="748"/>
      <c r="AI51" s="748"/>
      <c r="AJ51" s="748"/>
      <c r="AK51" s="748"/>
      <c r="AL51" s="748"/>
      <c r="AM51" s="748"/>
      <c r="AN51" s="748"/>
      <c r="AO51" s="748"/>
      <c r="AP51" s="748"/>
      <c r="AQ51" s="748"/>
      <c r="AR51" s="748"/>
      <c r="AS51" s="748"/>
      <c r="AT51" s="748"/>
      <c r="AU51" s="748"/>
      <c r="AV51" s="748"/>
      <c r="AW51" s="748"/>
      <c r="AX51" s="748"/>
      <c r="AY51" s="748"/>
      <c r="AZ51" s="748"/>
      <c r="BA51" s="748"/>
      <c r="BB51" s="748"/>
      <c r="BC51" s="748"/>
      <c r="BD51" s="748"/>
      <c r="BE51" s="748"/>
      <c r="BF51" s="748"/>
      <c r="BG51" s="748"/>
      <c r="BH51" s="748"/>
      <c r="BI51" s="748"/>
      <c r="BJ51" s="748"/>
      <c r="BK51" s="748"/>
      <c r="BL51" s="748"/>
      <c r="BM51" s="748"/>
      <c r="BN51" s="748"/>
      <c r="BO51" s="748"/>
      <c r="BP51" s="748"/>
      <c r="BQ51" s="748"/>
      <c r="BR51" s="748"/>
      <c r="BS51" s="748"/>
      <c r="BT51" s="748"/>
      <c r="BU51" s="748"/>
      <c r="BV51" s="748"/>
      <c r="BW51" s="748"/>
      <c r="BX51" s="748"/>
      <c r="BY51" s="748"/>
      <c r="BZ51" s="748"/>
      <c r="CA51" s="748"/>
      <c r="CB51" s="748"/>
      <c r="CC51" s="748"/>
      <c r="CD51" s="748"/>
      <c r="CE51" s="748"/>
      <c r="CF51" s="748"/>
      <c r="CG51" s="748"/>
      <c r="CH51" s="748"/>
      <c r="CI51" s="748"/>
      <c r="CJ51" s="748"/>
      <c r="CK51" s="748"/>
      <c r="CL51" s="748"/>
      <c r="CM51" s="748"/>
      <c r="CN51" s="748"/>
      <c r="CO51" s="748"/>
      <c r="CP51" s="748"/>
      <c r="CQ51" s="748"/>
      <c r="CR51" s="748"/>
      <c r="CS51" s="748"/>
      <c r="CT51" s="748"/>
      <c r="CU51" s="748"/>
      <c r="CV51" s="748"/>
      <c r="CW51" s="748"/>
      <c r="CX51" s="748"/>
      <c r="CY51" s="748"/>
      <c r="CZ51" s="748"/>
      <c r="DA51" s="748"/>
      <c r="DB51" s="748"/>
      <c r="DC51" s="748"/>
      <c r="DD51" s="748"/>
      <c r="DE51" s="748"/>
      <c r="DF51" s="748"/>
      <c r="DG51" s="748"/>
      <c r="DH51" s="748"/>
      <c r="DI51" s="748"/>
      <c r="DJ51" s="748"/>
      <c r="DK51" s="748"/>
      <c r="DL51" s="748"/>
      <c r="DM51" s="748"/>
      <c r="DN51" s="748"/>
      <c r="DO51" s="748"/>
      <c r="DP51" s="748"/>
      <c r="DQ51" s="748"/>
      <c r="DR51" s="748"/>
      <c r="DS51" s="748"/>
      <c r="DT51" s="748"/>
      <c r="DU51" s="748"/>
      <c r="DV51" s="748"/>
      <c r="DW51" s="748"/>
      <c r="DX51" s="748"/>
      <c r="DY51" s="748"/>
      <c r="DZ51" s="748"/>
      <c r="EA51" s="748"/>
      <c r="EB51" s="748"/>
      <c r="EC51" s="748"/>
      <c r="ED51" s="748"/>
      <c r="EE51" s="748"/>
      <c r="EF51" s="748"/>
      <c r="EG51" s="748"/>
      <c r="EH51" s="748"/>
      <c r="EI51" s="748"/>
      <c r="EJ51" s="748"/>
      <c r="EK51" s="748"/>
      <c r="EL51" s="748"/>
      <c r="EM51" s="748"/>
      <c r="EN51" s="748"/>
      <c r="EO51" s="748"/>
      <c r="EP51" s="748"/>
      <c r="EQ51" s="748"/>
      <c r="ER51" s="748"/>
      <c r="ES51" s="748"/>
      <c r="ET51" s="748"/>
      <c r="EU51" s="748"/>
      <c r="EV51" s="748"/>
      <c r="EW51" s="748"/>
      <c r="EX51" s="748"/>
      <c r="EY51" s="800" t="s">
        <v>1079</v>
      </c>
      <c r="EZ51" s="800" t="s">
        <v>1080</v>
      </c>
      <c r="FA51" s="801"/>
      <c r="FB51" s="802"/>
      <c r="FC51" s="756" t="s">
        <v>847</v>
      </c>
    </row>
    <row r="52" spans="1:159" s="17" customFormat="1" ht="75.75" customHeight="1">
      <c r="A52" s="778"/>
      <c r="B52" s="1655"/>
      <c r="C52" s="109" t="s">
        <v>843</v>
      </c>
      <c r="D52" s="909" t="s">
        <v>1224</v>
      </c>
      <c r="E52" s="72">
        <f t="shared" si="12"/>
        <v>0</v>
      </c>
      <c r="F52" s="798">
        <f t="shared" ref="F52:G52" si="21">SUM(Q52:BO52)</f>
        <v>0</v>
      </c>
      <c r="G52" s="798">
        <f t="shared" si="21"/>
        <v>0</v>
      </c>
      <c r="H52" s="798">
        <f>SUM(S52:EX52)</f>
        <v>0</v>
      </c>
      <c r="I52" s="798">
        <f t="shared" si="13"/>
        <v>0</v>
      </c>
      <c r="J52" s="798">
        <f t="shared" si="14"/>
        <v>0</v>
      </c>
      <c r="K52" s="798">
        <f t="shared" si="15"/>
        <v>0</v>
      </c>
      <c r="L52" s="798">
        <f t="shared" si="16"/>
        <v>0</v>
      </c>
      <c r="M52" s="798">
        <f t="shared" si="17"/>
        <v>0</v>
      </c>
      <c r="N52" s="798">
        <f t="shared" si="18"/>
        <v>0</v>
      </c>
      <c r="O52" s="798">
        <f t="shared" si="19"/>
        <v>0</v>
      </c>
      <c r="P52" s="798">
        <f t="shared" si="20"/>
        <v>0</v>
      </c>
      <c r="Q52" s="798"/>
      <c r="R52" s="72"/>
      <c r="S52" s="778"/>
      <c r="T52" s="778"/>
      <c r="U52" s="953"/>
      <c r="V52" s="953"/>
      <c r="W52" s="953"/>
      <c r="X52" s="953"/>
      <c r="Y52" s="778"/>
      <c r="Z52" s="778"/>
      <c r="AA52" s="778"/>
      <c r="AB52" s="778"/>
      <c r="AC52" s="778"/>
      <c r="AD52" s="778"/>
      <c r="AE52" s="778"/>
      <c r="AF52" s="778"/>
      <c r="AG52" s="778"/>
      <c r="AH52" s="778"/>
      <c r="AI52" s="778"/>
      <c r="AJ52" s="778"/>
      <c r="AK52" s="778"/>
      <c r="AL52" s="778"/>
      <c r="AM52" s="778"/>
      <c r="AN52" s="778"/>
      <c r="AO52" s="778"/>
      <c r="AP52" s="778"/>
      <c r="AQ52" s="778"/>
      <c r="AR52" s="778"/>
      <c r="AS52" s="778"/>
      <c r="AT52" s="778"/>
      <c r="AU52" s="778"/>
      <c r="AV52" s="778"/>
      <c r="AW52" s="778"/>
      <c r="AX52" s="778"/>
      <c r="AY52" s="778"/>
      <c r="AZ52" s="778"/>
      <c r="BA52" s="778"/>
      <c r="BB52" s="778"/>
      <c r="BC52" s="778"/>
      <c r="BD52" s="778"/>
      <c r="BE52" s="778"/>
      <c r="BF52" s="778"/>
      <c r="BG52" s="778"/>
      <c r="BH52" s="778"/>
      <c r="BI52" s="778"/>
      <c r="BJ52" s="778"/>
      <c r="BK52" s="778"/>
      <c r="BL52" s="778"/>
      <c r="BM52" s="778"/>
      <c r="BN52" s="778"/>
      <c r="BO52" s="778"/>
      <c r="BP52" s="778"/>
      <c r="BQ52" s="778"/>
      <c r="BR52" s="778"/>
      <c r="BS52" s="778"/>
      <c r="BT52" s="778"/>
      <c r="BU52" s="778"/>
      <c r="BV52" s="778"/>
      <c r="BW52" s="778"/>
      <c r="BX52" s="778"/>
      <c r="BY52" s="778"/>
      <c r="BZ52" s="778"/>
      <c r="CA52" s="778"/>
      <c r="CB52" s="778"/>
      <c r="CC52" s="778"/>
      <c r="CD52" s="778"/>
      <c r="CE52" s="778"/>
      <c r="CF52" s="778"/>
      <c r="CG52" s="778"/>
      <c r="CH52" s="778"/>
      <c r="CI52" s="778"/>
      <c r="CJ52" s="778"/>
      <c r="CK52" s="778"/>
      <c r="CL52" s="778"/>
      <c r="CM52" s="778"/>
      <c r="CN52" s="778"/>
      <c r="CO52" s="778"/>
      <c r="CP52" s="778"/>
      <c r="CQ52" s="778"/>
      <c r="CR52" s="778"/>
      <c r="CS52" s="778"/>
      <c r="CT52" s="778"/>
      <c r="CU52" s="778"/>
      <c r="CV52" s="778"/>
      <c r="CW52" s="778"/>
      <c r="CX52" s="778"/>
      <c r="CY52" s="778"/>
      <c r="CZ52" s="778"/>
      <c r="DA52" s="778"/>
      <c r="DB52" s="778"/>
      <c r="DC52" s="778"/>
      <c r="DD52" s="778"/>
      <c r="DE52" s="778"/>
      <c r="DF52" s="778"/>
      <c r="DG52" s="778"/>
      <c r="DH52" s="778"/>
      <c r="DI52" s="778"/>
      <c r="DJ52" s="778"/>
      <c r="DK52" s="778"/>
      <c r="DL52" s="778"/>
      <c r="DM52" s="778"/>
      <c r="DN52" s="778"/>
      <c r="DO52" s="778"/>
      <c r="DP52" s="778"/>
      <c r="DQ52" s="778"/>
      <c r="DR52" s="778"/>
      <c r="DS52" s="778"/>
      <c r="DT52" s="778"/>
      <c r="DU52" s="778"/>
      <c r="DV52" s="778"/>
      <c r="DW52" s="778"/>
      <c r="DX52" s="778"/>
      <c r="DY52" s="778"/>
      <c r="DZ52" s="778"/>
      <c r="EA52" s="778"/>
      <c r="EB52" s="778"/>
      <c r="EC52" s="778"/>
      <c r="ED52" s="778"/>
      <c r="EE52" s="778"/>
      <c r="EF52" s="778"/>
      <c r="EG52" s="778"/>
      <c r="EH52" s="778"/>
      <c r="EI52" s="778"/>
      <c r="EJ52" s="778"/>
      <c r="EK52" s="778"/>
      <c r="EL52" s="778"/>
      <c r="EM52" s="778"/>
      <c r="EN52" s="778"/>
      <c r="EO52" s="778"/>
      <c r="EP52" s="778"/>
      <c r="EQ52" s="778"/>
      <c r="ER52" s="778"/>
      <c r="ES52" s="778"/>
      <c r="ET52" s="778"/>
      <c r="EU52" s="778"/>
      <c r="EV52" s="778"/>
      <c r="EW52" s="778"/>
      <c r="EX52" s="778"/>
      <c r="EY52" s="910"/>
      <c r="EZ52" s="910"/>
      <c r="FA52" s="911"/>
      <c r="FB52" s="912"/>
      <c r="FC52" s="906"/>
    </row>
    <row r="53" spans="1:159" s="17" customFormat="1" ht="75.75" customHeight="1">
      <c r="A53" s="832"/>
      <c r="B53" s="1653"/>
      <c r="C53" s="107" t="s">
        <v>843</v>
      </c>
      <c r="D53" s="833" t="s">
        <v>1173</v>
      </c>
      <c r="E53" s="72">
        <f t="shared" si="12"/>
        <v>0</v>
      </c>
      <c r="F53" s="72">
        <v>1</v>
      </c>
      <c r="G53" s="798">
        <v>0</v>
      </c>
      <c r="H53" s="750">
        <v>0</v>
      </c>
      <c r="I53" s="798">
        <f t="shared" si="13"/>
        <v>0</v>
      </c>
      <c r="J53" s="798">
        <f t="shared" ref="J53:J89" si="22">SUM(AX53:BY53)</f>
        <v>0</v>
      </c>
      <c r="K53" s="798">
        <f t="shared" si="15"/>
        <v>0</v>
      </c>
      <c r="L53" s="798">
        <f t="shared" si="16"/>
        <v>0</v>
      </c>
      <c r="M53" s="798">
        <f t="shared" si="17"/>
        <v>0</v>
      </c>
      <c r="N53" s="798">
        <f t="shared" si="18"/>
        <v>0</v>
      </c>
      <c r="O53" s="798">
        <f t="shared" si="19"/>
        <v>0</v>
      </c>
      <c r="P53" s="798">
        <f t="shared" si="20"/>
        <v>0</v>
      </c>
      <c r="Q53" s="798"/>
      <c r="R53" s="72"/>
      <c r="S53" s="778"/>
      <c r="T53" s="778"/>
      <c r="U53" s="953"/>
      <c r="V53" s="953"/>
      <c r="W53" s="953"/>
      <c r="X53" s="953"/>
      <c r="Y53" s="778"/>
      <c r="Z53" s="778"/>
      <c r="AA53" s="778"/>
      <c r="AB53" s="778"/>
      <c r="AC53" s="778"/>
      <c r="AD53" s="778"/>
      <c r="AE53" s="778"/>
      <c r="AF53" s="778"/>
      <c r="AG53" s="778"/>
      <c r="AH53" s="778"/>
      <c r="AI53" s="778"/>
      <c r="AJ53" s="778"/>
      <c r="AK53" s="778"/>
      <c r="AL53" s="778"/>
      <c r="AM53" s="778"/>
      <c r="AN53" s="778"/>
      <c r="AO53" s="778"/>
      <c r="AP53" s="778"/>
      <c r="AQ53" s="778"/>
      <c r="AR53" s="778"/>
      <c r="AS53" s="778"/>
      <c r="AT53" s="778"/>
      <c r="AU53" s="778"/>
      <c r="AV53" s="778"/>
      <c r="AW53" s="1085"/>
      <c r="AX53" s="778"/>
      <c r="AY53" s="778"/>
      <c r="AZ53" s="778"/>
      <c r="BA53" s="778"/>
      <c r="BB53" s="778"/>
      <c r="BC53" s="778"/>
      <c r="BD53" s="778"/>
      <c r="BE53" s="778"/>
      <c r="BF53" s="778"/>
      <c r="BG53" s="778"/>
      <c r="BH53" s="778"/>
      <c r="BI53" s="778"/>
      <c r="BJ53" s="778"/>
      <c r="BK53" s="1116"/>
      <c r="BL53" s="778"/>
      <c r="BM53" s="778"/>
      <c r="BN53" s="778"/>
      <c r="BO53" s="778"/>
      <c r="BP53" s="778"/>
      <c r="BQ53" s="778"/>
      <c r="BR53" s="778"/>
      <c r="BS53" s="778"/>
      <c r="BT53" s="778"/>
      <c r="BU53" s="778"/>
      <c r="BV53" s="778"/>
      <c r="BW53" s="778"/>
      <c r="BX53" s="778"/>
      <c r="BY53" s="778"/>
      <c r="BZ53" s="778"/>
      <c r="CA53" s="778"/>
      <c r="CB53" s="778"/>
      <c r="CC53" s="778"/>
      <c r="CD53" s="778"/>
      <c r="CE53" s="778"/>
      <c r="CF53" s="778"/>
      <c r="CG53" s="778"/>
      <c r="CH53" s="778"/>
      <c r="CI53" s="778"/>
      <c r="CJ53" s="778"/>
      <c r="CK53" s="778"/>
      <c r="CL53" s="778"/>
      <c r="CM53" s="778"/>
      <c r="CN53" s="778"/>
      <c r="CO53" s="778"/>
      <c r="CP53" s="778"/>
      <c r="CQ53" s="778"/>
      <c r="CR53" s="778"/>
      <c r="CS53" s="778"/>
      <c r="CT53" s="1282"/>
      <c r="CU53" s="778"/>
      <c r="CV53" s="778"/>
      <c r="CW53" s="778"/>
      <c r="CX53" s="778"/>
      <c r="CY53" s="778"/>
      <c r="CZ53" s="778"/>
      <c r="DA53" s="778"/>
      <c r="DB53" s="778"/>
      <c r="DC53" s="778"/>
      <c r="DD53" s="778"/>
      <c r="DE53" s="778"/>
      <c r="DF53" s="778"/>
      <c r="DG53" s="778"/>
      <c r="DH53" s="778"/>
      <c r="DI53" s="778"/>
      <c r="DJ53" s="778"/>
      <c r="DK53" s="778"/>
      <c r="DL53" s="778"/>
      <c r="DM53" s="778"/>
      <c r="DN53" s="778"/>
      <c r="DO53" s="778"/>
      <c r="DP53" s="778"/>
      <c r="DQ53" s="778"/>
      <c r="DR53" s="778"/>
      <c r="DS53" s="778"/>
      <c r="DT53" s="778"/>
      <c r="DU53" s="778"/>
      <c r="DV53" s="1413"/>
      <c r="DW53" s="1413"/>
      <c r="DX53" s="778"/>
      <c r="DY53" s="778"/>
      <c r="DZ53" s="778"/>
      <c r="EA53" s="778"/>
      <c r="EB53" s="778"/>
      <c r="EC53" s="778"/>
      <c r="ED53" s="778"/>
      <c r="EE53" s="778"/>
      <c r="EF53" s="778"/>
      <c r="EG53" s="778"/>
      <c r="EH53" s="778"/>
      <c r="EI53" s="778"/>
      <c r="EJ53" s="778"/>
      <c r="EK53" s="778"/>
      <c r="EL53" s="778"/>
      <c r="EM53" s="778"/>
      <c r="EN53" s="778"/>
      <c r="EO53" s="778"/>
      <c r="EP53" s="778"/>
      <c r="EQ53" s="1491"/>
      <c r="ER53" s="778"/>
      <c r="ES53" s="778"/>
      <c r="ET53" s="778"/>
      <c r="EU53" s="778"/>
      <c r="EV53" s="778"/>
      <c r="EW53" s="778"/>
      <c r="EX53" s="832"/>
      <c r="EY53" s="139"/>
      <c r="EZ53" s="139" t="s">
        <v>1172</v>
      </c>
      <c r="FA53" s="140"/>
      <c r="FB53" s="831"/>
      <c r="FC53" s="156" t="s">
        <v>1171</v>
      </c>
    </row>
    <row r="54" spans="1:159" s="17" customFormat="1" ht="75.75" customHeight="1">
      <c r="A54" s="748"/>
      <c r="B54" s="1654"/>
      <c r="C54" s="759" t="s">
        <v>843</v>
      </c>
      <c r="D54" s="799" t="s">
        <v>1081</v>
      </c>
      <c r="E54" s="750">
        <f t="shared" si="12"/>
        <v>1</v>
      </c>
      <c r="F54" s="750">
        <v>1</v>
      </c>
      <c r="G54" s="750">
        <v>1</v>
      </c>
      <c r="H54" s="750">
        <v>0</v>
      </c>
      <c r="I54" s="750">
        <f t="shared" si="13"/>
        <v>0</v>
      </c>
      <c r="J54" s="750">
        <f t="shared" si="22"/>
        <v>0</v>
      </c>
      <c r="K54" s="750">
        <f t="shared" si="15"/>
        <v>0</v>
      </c>
      <c r="L54" s="750">
        <f t="shared" si="16"/>
        <v>1</v>
      </c>
      <c r="M54" s="750">
        <f t="shared" si="17"/>
        <v>0</v>
      </c>
      <c r="N54" s="798">
        <f t="shared" si="18"/>
        <v>1</v>
      </c>
      <c r="O54" s="798">
        <f t="shared" si="19"/>
        <v>0</v>
      </c>
      <c r="P54" s="798">
        <f t="shared" si="20"/>
        <v>0</v>
      </c>
      <c r="Q54" s="750"/>
      <c r="R54" s="750"/>
      <c r="S54" s="748"/>
      <c r="T54" s="748"/>
      <c r="U54" s="55"/>
      <c r="V54" s="55"/>
      <c r="W54" s="55"/>
      <c r="X54" s="55"/>
      <c r="Y54" s="748"/>
      <c r="Z54" s="748"/>
      <c r="AA54" s="748"/>
      <c r="AB54" s="748"/>
      <c r="AC54" s="748"/>
      <c r="AD54" s="748"/>
      <c r="AE54" s="748"/>
      <c r="AF54" s="748"/>
      <c r="AG54" s="748"/>
      <c r="AH54" s="748"/>
      <c r="AI54" s="748"/>
      <c r="AJ54" s="748"/>
      <c r="AK54" s="748"/>
      <c r="AL54" s="748"/>
      <c r="AM54" s="748"/>
      <c r="AN54" s="748"/>
      <c r="AO54" s="748"/>
      <c r="AP54" s="748"/>
      <c r="AQ54" s="748"/>
      <c r="AR54" s="748"/>
      <c r="AS54" s="748"/>
      <c r="AT54" s="748"/>
      <c r="AU54" s="748"/>
      <c r="AV54" s="748"/>
      <c r="AW54" s="748"/>
      <c r="AX54" s="748"/>
      <c r="AY54" s="748"/>
      <c r="AZ54" s="748"/>
      <c r="BA54" s="748"/>
      <c r="BB54" s="748"/>
      <c r="BC54" s="748"/>
      <c r="BD54" s="748"/>
      <c r="BE54" s="748"/>
      <c r="BF54" s="748"/>
      <c r="BG54" s="748"/>
      <c r="BH54" s="748"/>
      <c r="BI54" s="748"/>
      <c r="BJ54" s="748"/>
      <c r="BK54" s="748"/>
      <c r="BL54" s="748"/>
      <c r="BM54" s="748"/>
      <c r="BN54" s="748"/>
      <c r="BO54" s="748"/>
      <c r="BP54" s="748"/>
      <c r="BQ54" s="748"/>
      <c r="BR54" s="748"/>
      <c r="BS54" s="748"/>
      <c r="BT54" s="748"/>
      <c r="BU54" s="748"/>
      <c r="BV54" s="748"/>
      <c r="BW54" s="748"/>
      <c r="BX54" s="748"/>
      <c r="BY54" s="748"/>
      <c r="BZ54" s="748"/>
      <c r="CA54" s="748"/>
      <c r="CB54" s="748"/>
      <c r="CC54" s="748"/>
      <c r="CD54" s="748"/>
      <c r="CE54" s="748"/>
      <c r="CF54" s="748"/>
      <c r="CG54" s="748"/>
      <c r="CH54" s="748"/>
      <c r="CI54" s="748"/>
      <c r="CJ54" s="748"/>
      <c r="CK54" s="748"/>
      <c r="CL54" s="748"/>
      <c r="CM54" s="748"/>
      <c r="CN54" s="748"/>
      <c r="CO54" s="748"/>
      <c r="CP54" s="748"/>
      <c r="CQ54" s="748"/>
      <c r="CR54" s="748"/>
      <c r="CS54" s="748"/>
      <c r="CT54" s="748"/>
      <c r="CU54" s="748"/>
      <c r="CV54" s="748"/>
      <c r="CW54" s="748"/>
      <c r="CX54" s="748"/>
      <c r="CY54" s="748"/>
      <c r="CZ54" s="748"/>
      <c r="DA54" s="748"/>
      <c r="DB54" s="748"/>
      <c r="DC54" s="748"/>
      <c r="DD54" s="748"/>
      <c r="DE54" s="748"/>
      <c r="DF54" s="748"/>
      <c r="DG54" s="748"/>
      <c r="DH54" s="748"/>
      <c r="DI54" s="748"/>
      <c r="DJ54" s="748"/>
      <c r="DK54" s="748"/>
      <c r="DL54" s="748"/>
      <c r="DM54" s="748"/>
      <c r="DN54" s="748"/>
      <c r="DO54" s="748"/>
      <c r="DP54" s="748"/>
      <c r="DQ54" s="748"/>
      <c r="DR54" s="748"/>
      <c r="DS54" s="748"/>
      <c r="DT54" s="748"/>
      <c r="DU54" s="748"/>
      <c r="DV54" s="748"/>
      <c r="DW54" s="748"/>
      <c r="DX54" s="748"/>
      <c r="DY54" s="748"/>
      <c r="DZ54" s="748"/>
      <c r="EA54" s="748"/>
      <c r="EB54" s="748"/>
      <c r="EC54" s="748"/>
      <c r="ED54" s="748"/>
      <c r="EE54" s="748">
        <v>1</v>
      </c>
      <c r="EF54" s="748"/>
      <c r="EG54" s="748"/>
      <c r="EH54" s="748"/>
      <c r="EI54" s="748"/>
      <c r="EJ54" s="748"/>
      <c r="EK54" s="748"/>
      <c r="EL54" s="748"/>
      <c r="EM54" s="748"/>
      <c r="EN54" s="748"/>
      <c r="EO54" s="748"/>
      <c r="EP54" s="748"/>
      <c r="EQ54" s="748"/>
      <c r="ER54" s="748"/>
      <c r="ES54" s="748"/>
      <c r="ET54" s="748"/>
      <c r="EU54" s="748"/>
      <c r="EV54" s="748"/>
      <c r="EW54" s="748"/>
      <c r="EX54" s="748"/>
      <c r="EY54" s="800"/>
      <c r="EZ54" s="834" t="s">
        <v>1181</v>
      </c>
      <c r="FA54" s="801"/>
      <c r="FB54" s="802"/>
      <c r="FC54" s="756" t="s">
        <v>1154</v>
      </c>
    </row>
    <row r="55" spans="1:159" s="17" customFormat="1" ht="75.75" customHeight="1">
      <c r="A55" s="55"/>
      <c r="B55" s="1656" t="s">
        <v>1082</v>
      </c>
      <c r="C55" s="109" t="s">
        <v>843</v>
      </c>
      <c r="D55" s="110" t="s">
        <v>1083</v>
      </c>
      <c r="E55" s="72">
        <f t="shared" si="12"/>
        <v>0</v>
      </c>
      <c r="F55" s="72">
        <v>0</v>
      </c>
      <c r="G55" s="798">
        <v>0</v>
      </c>
      <c r="H55" s="750">
        <v>0</v>
      </c>
      <c r="I55" s="798">
        <f t="shared" si="13"/>
        <v>0</v>
      </c>
      <c r="J55" s="798">
        <f t="shared" si="22"/>
        <v>0</v>
      </c>
      <c r="K55" s="798">
        <f t="shared" si="15"/>
        <v>0</v>
      </c>
      <c r="L55" s="798">
        <f t="shared" si="16"/>
        <v>0</v>
      </c>
      <c r="M55" s="798">
        <f t="shared" si="17"/>
        <v>0</v>
      </c>
      <c r="N55" s="798">
        <f t="shared" si="18"/>
        <v>0</v>
      </c>
      <c r="O55" s="798">
        <f t="shared" si="19"/>
        <v>0</v>
      </c>
      <c r="P55" s="798">
        <f t="shared" si="20"/>
        <v>0</v>
      </c>
      <c r="Q55" s="798"/>
      <c r="R55" s="72"/>
      <c r="S55" s="748"/>
      <c r="T55" s="748"/>
      <c r="U55" s="55"/>
      <c r="V55" s="55"/>
      <c r="W55" s="55"/>
      <c r="X55" s="55"/>
      <c r="Y55" s="748"/>
      <c r="Z55" s="748"/>
      <c r="AA55" s="748"/>
      <c r="AB55" s="748"/>
      <c r="AC55" s="748"/>
      <c r="AD55" s="748"/>
      <c r="AE55" s="748"/>
      <c r="AF55" s="748"/>
      <c r="AG55" s="748"/>
      <c r="AH55" s="748"/>
      <c r="AI55" s="748"/>
      <c r="AJ55" s="748"/>
      <c r="AK55" s="748"/>
      <c r="AL55" s="748"/>
      <c r="AM55" s="748"/>
      <c r="AN55" s="748"/>
      <c r="AO55" s="748"/>
      <c r="AP55" s="748"/>
      <c r="AQ55" s="748"/>
      <c r="AR55" s="748"/>
      <c r="AS55" s="748"/>
      <c r="AT55" s="748"/>
      <c r="AU55" s="748"/>
      <c r="AV55" s="748"/>
      <c r="AW55" s="55"/>
      <c r="AX55" s="748"/>
      <c r="AY55" s="748"/>
      <c r="AZ55" s="748"/>
      <c r="BA55" s="748"/>
      <c r="BB55" s="748"/>
      <c r="BC55" s="748"/>
      <c r="BD55" s="748"/>
      <c r="BE55" s="748"/>
      <c r="BF55" s="748"/>
      <c r="BG55" s="748"/>
      <c r="BH55" s="748"/>
      <c r="BI55" s="748"/>
      <c r="BJ55" s="748"/>
      <c r="BK55" s="55"/>
      <c r="BL55" s="748"/>
      <c r="BM55" s="748"/>
      <c r="BN55" s="748"/>
      <c r="BO55" s="748"/>
      <c r="BP55" s="748"/>
      <c r="BQ55" s="748"/>
      <c r="BR55" s="748"/>
      <c r="BS55" s="748"/>
      <c r="BT55" s="748"/>
      <c r="BU55" s="748"/>
      <c r="BV55" s="748"/>
      <c r="BW55" s="748"/>
      <c r="BX55" s="748"/>
      <c r="BY55" s="748"/>
      <c r="BZ55" s="748"/>
      <c r="CA55" s="748"/>
      <c r="CB55" s="748"/>
      <c r="CC55" s="748"/>
      <c r="CD55" s="748"/>
      <c r="CE55" s="748"/>
      <c r="CF55" s="748"/>
      <c r="CG55" s="748"/>
      <c r="CH55" s="748"/>
      <c r="CI55" s="748"/>
      <c r="CJ55" s="748"/>
      <c r="CK55" s="748"/>
      <c r="CL55" s="748"/>
      <c r="CM55" s="748"/>
      <c r="CN55" s="748"/>
      <c r="CO55" s="748"/>
      <c r="CP55" s="748"/>
      <c r="CQ55" s="748"/>
      <c r="CR55" s="748"/>
      <c r="CS55" s="748"/>
      <c r="CT55" s="55"/>
      <c r="CU55" s="748"/>
      <c r="CV55" s="748"/>
      <c r="CW55" s="748"/>
      <c r="CX55" s="748"/>
      <c r="CY55" s="748"/>
      <c r="CZ55" s="748"/>
      <c r="DA55" s="748"/>
      <c r="DB55" s="748"/>
      <c r="DC55" s="748"/>
      <c r="DD55" s="748"/>
      <c r="DE55" s="748"/>
      <c r="DF55" s="748"/>
      <c r="DG55" s="748"/>
      <c r="DH55" s="748"/>
      <c r="DI55" s="748"/>
      <c r="DJ55" s="748"/>
      <c r="DK55" s="748"/>
      <c r="DL55" s="748"/>
      <c r="DM55" s="748"/>
      <c r="DN55" s="748"/>
      <c r="DO55" s="748"/>
      <c r="DP55" s="748"/>
      <c r="DQ55" s="748"/>
      <c r="DR55" s="748"/>
      <c r="DS55" s="748"/>
      <c r="DT55" s="748"/>
      <c r="DU55" s="748"/>
      <c r="DV55" s="55"/>
      <c r="DW55" s="55"/>
      <c r="DX55" s="748"/>
      <c r="DY55" s="748"/>
      <c r="DZ55" s="748"/>
      <c r="EA55" s="748"/>
      <c r="EB55" s="748"/>
      <c r="EC55" s="748"/>
      <c r="ED55" s="748"/>
      <c r="EE55" s="748"/>
      <c r="EF55" s="748"/>
      <c r="EG55" s="748"/>
      <c r="EH55" s="748"/>
      <c r="EI55" s="748"/>
      <c r="EJ55" s="748"/>
      <c r="EK55" s="748"/>
      <c r="EL55" s="748"/>
      <c r="EM55" s="748"/>
      <c r="EN55" s="748"/>
      <c r="EO55" s="748"/>
      <c r="EP55" s="748"/>
      <c r="EQ55" s="55"/>
      <c r="ER55" s="748"/>
      <c r="ES55" s="748"/>
      <c r="ET55" s="748"/>
      <c r="EU55" s="748"/>
      <c r="EV55" s="748"/>
      <c r="EW55" s="748"/>
      <c r="EX55" s="55"/>
      <c r="EY55" s="141"/>
      <c r="EZ55" s="141"/>
      <c r="FA55" s="142"/>
      <c r="FB55" s="3"/>
      <c r="FC55" s="152" t="s">
        <v>1075</v>
      </c>
    </row>
    <row r="56" spans="1:159" s="17" customFormat="1" ht="75.75" customHeight="1">
      <c r="A56" s="103"/>
      <c r="B56" s="1657"/>
      <c r="C56" s="111" t="s">
        <v>843</v>
      </c>
      <c r="D56" s="112" t="s">
        <v>1084</v>
      </c>
      <c r="E56" s="72">
        <f t="shared" si="12"/>
        <v>0</v>
      </c>
      <c r="F56" s="72">
        <v>0</v>
      </c>
      <c r="G56" s="798">
        <v>0</v>
      </c>
      <c r="H56" s="750">
        <v>0</v>
      </c>
      <c r="I56" s="798">
        <f t="shared" si="13"/>
        <v>0</v>
      </c>
      <c r="J56" s="798">
        <f t="shared" si="22"/>
        <v>0</v>
      </c>
      <c r="K56" s="798">
        <f t="shared" si="15"/>
        <v>0</v>
      </c>
      <c r="L56" s="798">
        <f t="shared" si="16"/>
        <v>0</v>
      </c>
      <c r="M56" s="798">
        <f t="shared" si="17"/>
        <v>0</v>
      </c>
      <c r="N56" s="798">
        <f t="shared" si="18"/>
        <v>0</v>
      </c>
      <c r="O56" s="798">
        <f t="shared" si="19"/>
        <v>0</v>
      </c>
      <c r="P56" s="798">
        <f t="shared" si="20"/>
        <v>0</v>
      </c>
      <c r="Q56" s="798"/>
      <c r="R56" s="72"/>
      <c r="S56" s="937"/>
      <c r="T56" s="937"/>
      <c r="U56" s="954"/>
      <c r="V56" s="954"/>
      <c r="W56" s="954"/>
      <c r="X56" s="954"/>
      <c r="Y56" s="971"/>
      <c r="Z56" s="977"/>
      <c r="AA56" s="983"/>
      <c r="AB56" s="983"/>
      <c r="AC56" s="983"/>
      <c r="AD56" s="983"/>
      <c r="AE56" s="983"/>
      <c r="AF56" s="983"/>
      <c r="AG56" s="990"/>
      <c r="AH56" s="996"/>
      <c r="AI56" s="1003"/>
      <c r="AJ56" s="1003"/>
      <c r="AK56" s="1003"/>
      <c r="AL56" s="1009"/>
      <c r="AM56" s="1024"/>
      <c r="AN56" s="1029"/>
      <c r="AO56" s="1037"/>
      <c r="AP56" s="1051"/>
      <c r="AQ56" s="1060"/>
      <c r="AR56" s="1060"/>
      <c r="AS56" s="1065"/>
      <c r="AT56" s="1070"/>
      <c r="AU56" s="1075"/>
      <c r="AV56" s="1079"/>
      <c r="AW56" s="1086"/>
      <c r="AX56" s="1086"/>
      <c r="AY56" s="1086"/>
      <c r="AZ56" s="1086"/>
      <c r="BA56" s="1086"/>
      <c r="BB56" s="1086"/>
      <c r="BC56" s="1086"/>
      <c r="BD56" s="1086"/>
      <c r="BE56" s="1086"/>
      <c r="BF56" s="1086"/>
      <c r="BG56" s="1086"/>
      <c r="BH56" s="1086"/>
      <c r="BI56" s="1105"/>
      <c r="BJ56" s="1110"/>
      <c r="BK56" s="1117"/>
      <c r="BL56" s="1117"/>
      <c r="BM56" s="1117"/>
      <c r="BN56" s="1123"/>
      <c r="BO56" s="1128"/>
      <c r="BP56" s="1128"/>
      <c r="BQ56" s="1135"/>
      <c r="BR56" s="1145"/>
      <c r="BS56" s="1145"/>
      <c r="BT56" s="1145"/>
      <c r="BU56" s="1150"/>
      <c r="BV56" s="1156"/>
      <c r="BW56" s="1161"/>
      <c r="BX56" s="1161"/>
      <c r="BY56" s="1168"/>
      <c r="BZ56" s="1168"/>
      <c r="CA56" s="1168"/>
      <c r="CB56" s="1182"/>
      <c r="CC56" s="1186"/>
      <c r="CD56" s="1192"/>
      <c r="CE56" s="1197"/>
      <c r="CF56" s="1206"/>
      <c r="CG56" s="1206"/>
      <c r="CH56" s="1206"/>
      <c r="CI56" s="1215"/>
      <c r="CJ56" s="1222"/>
      <c r="CK56" s="1227"/>
      <c r="CL56" s="1240"/>
      <c r="CM56" s="1249"/>
      <c r="CN56" s="1249"/>
      <c r="CO56" s="1249"/>
      <c r="CP56" s="1256"/>
      <c r="CQ56" s="1261"/>
      <c r="CR56" s="1268"/>
      <c r="CS56" s="1273"/>
      <c r="CT56" s="1283"/>
      <c r="CU56" s="1283"/>
      <c r="CV56" s="1283"/>
      <c r="CW56" s="1291"/>
      <c r="CX56" s="1296"/>
      <c r="CY56" s="1303"/>
      <c r="CZ56" s="1310"/>
      <c r="DA56" s="1315"/>
      <c r="DB56" s="1315"/>
      <c r="DC56" s="1315"/>
      <c r="DD56" s="1324"/>
      <c r="DE56" s="1330"/>
      <c r="DF56" s="1335"/>
      <c r="DG56" s="1342"/>
      <c r="DH56" s="1342"/>
      <c r="DI56" s="1342"/>
      <c r="DJ56" s="1350"/>
      <c r="DK56" s="1356"/>
      <c r="DL56" s="1362"/>
      <c r="DM56" s="1367"/>
      <c r="DN56" s="1373"/>
      <c r="DO56" s="1386"/>
      <c r="DP56" s="1386"/>
      <c r="DQ56" s="1386"/>
      <c r="DR56" s="1386"/>
      <c r="DS56" s="1395"/>
      <c r="DT56" s="1402"/>
      <c r="DU56" s="1407"/>
      <c r="DV56" s="1414"/>
      <c r="DW56" s="1414"/>
      <c r="DX56" s="1414"/>
      <c r="DY56" s="1426"/>
      <c r="DZ56" s="1431"/>
      <c r="EA56" s="1437"/>
      <c r="EB56" s="1443"/>
      <c r="EC56" s="1450"/>
      <c r="ED56" s="1450"/>
      <c r="EE56" s="1456"/>
      <c r="EF56" s="1456"/>
      <c r="EG56" s="1456"/>
      <c r="EH56" s="1456"/>
      <c r="EI56" s="1456"/>
      <c r="EJ56" s="1456"/>
      <c r="EK56" s="1456"/>
      <c r="EL56" s="1460"/>
      <c r="EM56" s="1465"/>
      <c r="EN56" s="1470"/>
      <c r="EO56" s="1476"/>
      <c r="EP56" s="1482"/>
      <c r="EQ56" s="1492"/>
      <c r="ER56" s="1492"/>
      <c r="ES56" s="1492"/>
      <c r="ET56" s="1498"/>
      <c r="EU56" s="1504"/>
      <c r="EV56" s="1515"/>
      <c r="EW56" s="1520"/>
      <c r="EX56" s="102"/>
      <c r="EY56" s="143"/>
      <c r="EZ56" s="143"/>
      <c r="FA56" s="144"/>
      <c r="FB56" s="153"/>
      <c r="FC56" s="154"/>
    </row>
    <row r="57" spans="1:159" s="92" customFormat="1" ht="156" customHeight="1">
      <c r="A57" s="55">
        <v>2</v>
      </c>
      <c r="B57" s="113" t="s">
        <v>886</v>
      </c>
      <c r="C57" s="107" t="s">
        <v>843</v>
      </c>
      <c r="D57" s="763" t="s">
        <v>1228</v>
      </c>
      <c r="E57" s="72">
        <f t="shared" si="12"/>
        <v>0</v>
      </c>
      <c r="F57" s="750">
        <v>3</v>
      </c>
      <c r="G57" s="750">
        <v>0</v>
      </c>
      <c r="H57" s="750">
        <v>3</v>
      </c>
      <c r="I57" s="798">
        <f t="shared" si="13"/>
        <v>0</v>
      </c>
      <c r="J57" s="798">
        <f t="shared" si="22"/>
        <v>0</v>
      </c>
      <c r="K57" s="798">
        <f t="shared" si="15"/>
        <v>0</v>
      </c>
      <c r="L57" s="798">
        <f t="shared" si="16"/>
        <v>0</v>
      </c>
      <c r="M57" s="798">
        <f t="shared" si="17"/>
        <v>0</v>
      </c>
      <c r="N57" s="798">
        <f t="shared" si="18"/>
        <v>0</v>
      </c>
      <c r="O57" s="798">
        <f t="shared" si="19"/>
        <v>0</v>
      </c>
      <c r="P57" s="798">
        <f t="shared" si="20"/>
        <v>0</v>
      </c>
      <c r="Q57" s="798"/>
      <c r="R57" s="72"/>
      <c r="S57" s="749"/>
      <c r="T57" s="749"/>
      <c r="U57" s="126"/>
      <c r="V57" s="126"/>
      <c r="W57" s="126"/>
      <c r="X57" s="126"/>
      <c r="Y57" s="749"/>
      <c r="Z57" s="749"/>
      <c r="AA57" s="749"/>
      <c r="AB57" s="749"/>
      <c r="AC57" s="749"/>
      <c r="AD57" s="749"/>
      <c r="AE57" s="749"/>
      <c r="AF57" s="749"/>
      <c r="AG57" s="749"/>
      <c r="AH57" s="749"/>
      <c r="AI57" s="749"/>
      <c r="AJ57" s="749"/>
      <c r="AK57" s="749"/>
      <c r="AL57" s="749"/>
      <c r="AM57" s="749"/>
      <c r="AN57" s="749"/>
      <c r="AO57" s="749"/>
      <c r="AP57" s="749"/>
      <c r="AQ57" s="749"/>
      <c r="AR57" s="749"/>
      <c r="AS57" s="749"/>
      <c r="AT57" s="749"/>
      <c r="AU57" s="749"/>
      <c r="AV57" s="749"/>
      <c r="AW57" s="749"/>
      <c r="AX57" s="749"/>
      <c r="AY57" s="749"/>
      <c r="AZ57" s="749"/>
      <c r="BA57" s="749"/>
      <c r="BB57" s="749"/>
      <c r="BC57" s="749"/>
      <c r="BD57" s="749"/>
      <c r="BE57" s="749"/>
      <c r="BF57" s="749"/>
      <c r="BG57" s="749"/>
      <c r="BH57" s="749"/>
      <c r="BI57" s="749"/>
      <c r="BJ57" s="749"/>
      <c r="BK57" s="749"/>
      <c r="BL57" s="749"/>
      <c r="BM57" s="749"/>
      <c r="BN57" s="749"/>
      <c r="BO57" s="749"/>
      <c r="BP57" s="749"/>
      <c r="BQ57" s="749"/>
      <c r="BR57" s="749"/>
      <c r="BS57" s="749"/>
      <c r="BT57" s="749"/>
      <c r="BU57" s="749"/>
      <c r="BV57" s="749"/>
      <c r="BW57" s="749"/>
      <c r="BX57" s="749"/>
      <c r="BY57" s="749"/>
      <c r="BZ57" s="749"/>
      <c r="CA57" s="749"/>
      <c r="CB57" s="749"/>
      <c r="CC57" s="749"/>
      <c r="CD57" s="749"/>
      <c r="CE57" s="749"/>
      <c r="CF57" s="749"/>
      <c r="CG57" s="749"/>
      <c r="CH57" s="749"/>
      <c r="CI57" s="749"/>
      <c r="CJ57" s="749"/>
      <c r="CK57" s="749"/>
      <c r="CL57" s="749"/>
      <c r="CM57" s="749"/>
      <c r="CN57" s="749"/>
      <c r="CO57" s="749"/>
      <c r="CP57" s="749"/>
      <c r="CQ57" s="749"/>
      <c r="CR57" s="749"/>
      <c r="CS57" s="749"/>
      <c r="CT57" s="749"/>
      <c r="CU57" s="749"/>
      <c r="CV57" s="749"/>
      <c r="CW57" s="749"/>
      <c r="CX57" s="749"/>
      <c r="CY57" s="749"/>
      <c r="CZ57" s="749"/>
      <c r="DA57" s="749"/>
      <c r="DB57" s="749"/>
      <c r="DC57" s="749"/>
      <c r="DD57" s="749"/>
      <c r="DE57" s="749"/>
      <c r="DF57" s="749"/>
      <c r="DG57" s="749"/>
      <c r="DH57" s="749"/>
      <c r="DI57" s="749"/>
      <c r="DJ57" s="749"/>
      <c r="DK57" s="749"/>
      <c r="DL57" s="749"/>
      <c r="DM57" s="749"/>
      <c r="DN57" s="749"/>
      <c r="DO57" s="749"/>
      <c r="DP57" s="749"/>
      <c r="DQ57" s="749"/>
      <c r="DR57" s="749"/>
      <c r="DS57" s="749"/>
      <c r="DT57" s="749"/>
      <c r="DU57" s="749"/>
      <c r="DV57" s="749"/>
      <c r="DW57" s="749"/>
      <c r="DX57" s="749"/>
      <c r="DY57" s="749"/>
      <c r="DZ57" s="749"/>
      <c r="EA57" s="749"/>
      <c r="EB57" s="749"/>
      <c r="EC57" s="749"/>
      <c r="ED57" s="749"/>
      <c r="EE57" s="749"/>
      <c r="EF57" s="749"/>
      <c r="EG57" s="749"/>
      <c r="EH57" s="749"/>
      <c r="EI57" s="749"/>
      <c r="EJ57" s="749"/>
      <c r="EK57" s="749"/>
      <c r="EL57" s="749"/>
      <c r="EM57" s="749"/>
      <c r="EN57" s="749"/>
      <c r="EO57" s="749"/>
      <c r="EP57" s="749"/>
      <c r="EQ57" s="749"/>
      <c r="ER57" s="749"/>
      <c r="ES57" s="749"/>
      <c r="ET57" s="749"/>
      <c r="EU57" s="749"/>
      <c r="EV57" s="749"/>
      <c r="EW57" s="749"/>
      <c r="EX57" s="749"/>
      <c r="EY57" s="145" t="s">
        <v>1229</v>
      </c>
      <c r="EZ57" s="145" t="s">
        <v>1230</v>
      </c>
      <c r="FA57" s="146"/>
      <c r="FB57" s="155"/>
      <c r="FC57" s="151" t="s">
        <v>1085</v>
      </c>
    </row>
    <row r="58" spans="1:159" s="92" customFormat="1" ht="53.25" customHeight="1">
      <c r="A58" s="55"/>
      <c r="B58" s="1658" t="s">
        <v>1086</v>
      </c>
      <c r="C58" s="107" t="s">
        <v>843</v>
      </c>
      <c r="D58" s="114" t="s">
        <v>1087</v>
      </c>
      <c r="E58" s="72">
        <f t="shared" si="12"/>
        <v>0</v>
      </c>
      <c r="F58" s="72">
        <f>SUM(S58:EX58)</f>
        <v>0</v>
      </c>
      <c r="G58" s="798">
        <v>0</v>
      </c>
      <c r="H58" s="798">
        <v>0</v>
      </c>
      <c r="I58" s="798">
        <v>0</v>
      </c>
      <c r="J58" s="798">
        <f t="shared" si="22"/>
        <v>0</v>
      </c>
      <c r="K58" s="798">
        <f t="shared" si="15"/>
        <v>0</v>
      </c>
      <c r="L58" s="798">
        <f t="shared" si="16"/>
        <v>0</v>
      </c>
      <c r="M58" s="798">
        <f t="shared" si="17"/>
        <v>0</v>
      </c>
      <c r="N58" s="798">
        <f t="shared" si="18"/>
        <v>0</v>
      </c>
      <c r="O58" s="798">
        <f t="shared" si="19"/>
        <v>0</v>
      </c>
      <c r="P58" s="798">
        <f t="shared" si="20"/>
        <v>0</v>
      </c>
      <c r="Q58" s="798"/>
      <c r="R58" s="72"/>
      <c r="S58" s="749"/>
      <c r="T58" s="749"/>
      <c r="U58" s="126"/>
      <c r="V58" s="126"/>
      <c r="W58" s="126"/>
      <c r="X58" s="126"/>
      <c r="Y58" s="749"/>
      <c r="Z58" s="749"/>
      <c r="AA58" s="749"/>
      <c r="AB58" s="749"/>
      <c r="AC58" s="749"/>
      <c r="AD58" s="749"/>
      <c r="AE58" s="749"/>
      <c r="AF58" s="749"/>
      <c r="AG58" s="749"/>
      <c r="AH58" s="749"/>
      <c r="AI58" s="749"/>
      <c r="AJ58" s="749"/>
      <c r="AK58" s="749"/>
      <c r="AL58" s="749"/>
      <c r="AM58" s="749"/>
      <c r="AN58" s="749"/>
      <c r="AO58" s="749"/>
      <c r="AP58" s="749"/>
      <c r="AQ58" s="749"/>
      <c r="AR58" s="749"/>
      <c r="AS58" s="749"/>
      <c r="AT58" s="749"/>
      <c r="AU58" s="749"/>
      <c r="AV58" s="749"/>
      <c r="AW58" s="126"/>
      <c r="AX58" s="749"/>
      <c r="AY58" s="749"/>
      <c r="AZ58" s="749"/>
      <c r="BA58" s="749"/>
      <c r="BB58" s="749"/>
      <c r="BC58" s="749"/>
      <c r="BD58" s="749"/>
      <c r="BE58" s="749"/>
      <c r="BF58" s="749"/>
      <c r="BG58" s="749"/>
      <c r="BH58" s="749"/>
      <c r="BI58" s="749"/>
      <c r="BJ58" s="749"/>
      <c r="BK58" s="126"/>
      <c r="BL58" s="749"/>
      <c r="BM58" s="749"/>
      <c r="BN58" s="749"/>
      <c r="BO58" s="749"/>
      <c r="BP58" s="749"/>
      <c r="BQ58" s="749"/>
      <c r="BR58" s="749"/>
      <c r="BS58" s="749"/>
      <c r="BT58" s="749"/>
      <c r="BU58" s="749"/>
      <c r="BV58" s="749"/>
      <c r="BW58" s="749"/>
      <c r="BX58" s="749"/>
      <c r="BY58" s="749"/>
      <c r="BZ58" s="749"/>
      <c r="CA58" s="749"/>
      <c r="CB58" s="749"/>
      <c r="CC58" s="749"/>
      <c r="CD58" s="749"/>
      <c r="CE58" s="749"/>
      <c r="CF58" s="749"/>
      <c r="CG58" s="749"/>
      <c r="CH58" s="749"/>
      <c r="CI58" s="749"/>
      <c r="CJ58" s="749"/>
      <c r="CK58" s="749"/>
      <c r="CL58" s="749"/>
      <c r="CM58" s="749"/>
      <c r="CN58" s="749"/>
      <c r="CO58" s="749"/>
      <c r="CP58" s="749"/>
      <c r="CQ58" s="749"/>
      <c r="CR58" s="749"/>
      <c r="CS58" s="749"/>
      <c r="CT58" s="126"/>
      <c r="CU58" s="749"/>
      <c r="CV58" s="749"/>
      <c r="CW58" s="749"/>
      <c r="CX58" s="749"/>
      <c r="CY58" s="749"/>
      <c r="CZ58" s="749"/>
      <c r="DA58" s="749"/>
      <c r="DB58" s="749"/>
      <c r="DC58" s="749"/>
      <c r="DD58" s="749"/>
      <c r="DE58" s="749"/>
      <c r="DF58" s="749"/>
      <c r="DG58" s="749"/>
      <c r="DH58" s="749"/>
      <c r="DI58" s="749"/>
      <c r="DJ58" s="749"/>
      <c r="DK58" s="749"/>
      <c r="DL58" s="749"/>
      <c r="DM58" s="749"/>
      <c r="DN58" s="749"/>
      <c r="DO58" s="749"/>
      <c r="DP58" s="749"/>
      <c r="DQ58" s="749"/>
      <c r="DR58" s="749"/>
      <c r="DS58" s="749"/>
      <c r="DT58" s="749"/>
      <c r="DU58" s="749"/>
      <c r="DV58" s="126"/>
      <c r="DW58" s="126"/>
      <c r="DX58" s="749"/>
      <c r="DY58" s="749"/>
      <c r="DZ58" s="749"/>
      <c r="EA58" s="749"/>
      <c r="EB58" s="749"/>
      <c r="EC58" s="749"/>
      <c r="ED58" s="749"/>
      <c r="EE58" s="749"/>
      <c r="EF58" s="749"/>
      <c r="EG58" s="749"/>
      <c r="EH58" s="749"/>
      <c r="EI58" s="749"/>
      <c r="EJ58" s="749"/>
      <c r="EK58" s="749"/>
      <c r="EL58" s="749"/>
      <c r="EM58" s="749"/>
      <c r="EN58" s="749"/>
      <c r="EO58" s="749"/>
      <c r="EP58" s="749"/>
      <c r="EQ58" s="126"/>
      <c r="ER58" s="749"/>
      <c r="ES58" s="749"/>
      <c r="ET58" s="749"/>
      <c r="EU58" s="749"/>
      <c r="EV58" s="749"/>
      <c r="EW58" s="749"/>
      <c r="EX58" s="126"/>
      <c r="EY58" s="145"/>
      <c r="EZ58" s="145"/>
      <c r="FA58" s="146"/>
      <c r="FB58" s="155"/>
      <c r="FC58" s="151"/>
    </row>
    <row r="59" spans="1:159" s="92" customFormat="1" ht="70.5" customHeight="1">
      <c r="A59" s="56"/>
      <c r="B59" s="1659"/>
      <c r="C59" s="107" t="s">
        <v>843</v>
      </c>
      <c r="D59" s="116" t="s">
        <v>1088</v>
      </c>
      <c r="E59" s="72">
        <f t="shared" si="12"/>
        <v>0</v>
      </c>
      <c r="F59" s="72">
        <f>SUM(S59:EX59)</f>
        <v>0</v>
      </c>
      <c r="G59" s="798">
        <v>0</v>
      </c>
      <c r="H59" s="798">
        <v>0</v>
      </c>
      <c r="I59" s="798">
        <v>0</v>
      </c>
      <c r="J59" s="798">
        <f t="shared" si="22"/>
        <v>0</v>
      </c>
      <c r="K59" s="798">
        <f t="shared" si="15"/>
        <v>0</v>
      </c>
      <c r="L59" s="798">
        <f t="shared" si="16"/>
        <v>0</v>
      </c>
      <c r="M59" s="798">
        <f t="shared" si="17"/>
        <v>0</v>
      </c>
      <c r="N59" s="798">
        <f t="shared" si="18"/>
        <v>0</v>
      </c>
      <c r="O59" s="798">
        <f t="shared" si="19"/>
        <v>0</v>
      </c>
      <c r="P59" s="798">
        <f t="shared" si="20"/>
        <v>0</v>
      </c>
      <c r="Q59" s="798"/>
      <c r="R59" s="72"/>
      <c r="S59" s="779"/>
      <c r="T59" s="779"/>
      <c r="U59" s="127"/>
      <c r="V59" s="127"/>
      <c r="W59" s="127"/>
      <c r="X59" s="127"/>
      <c r="Y59" s="779"/>
      <c r="Z59" s="779"/>
      <c r="AA59" s="779"/>
      <c r="AB59" s="779"/>
      <c r="AC59" s="779"/>
      <c r="AD59" s="779"/>
      <c r="AE59" s="779"/>
      <c r="AF59" s="779"/>
      <c r="AG59" s="779"/>
      <c r="AH59" s="779"/>
      <c r="AI59" s="779"/>
      <c r="AJ59" s="779"/>
      <c r="AK59" s="779"/>
      <c r="AL59" s="779"/>
      <c r="AM59" s="779"/>
      <c r="AN59" s="779"/>
      <c r="AO59" s="779"/>
      <c r="AP59" s="779"/>
      <c r="AQ59" s="779"/>
      <c r="AR59" s="779"/>
      <c r="AS59" s="779"/>
      <c r="AT59" s="779"/>
      <c r="AU59" s="779"/>
      <c r="AV59" s="779"/>
      <c r="AW59" s="127"/>
      <c r="AX59" s="779"/>
      <c r="AY59" s="779"/>
      <c r="AZ59" s="779"/>
      <c r="BA59" s="779"/>
      <c r="BB59" s="779"/>
      <c r="BC59" s="779"/>
      <c r="BD59" s="779"/>
      <c r="BE59" s="779"/>
      <c r="BF59" s="779"/>
      <c r="BG59" s="779"/>
      <c r="BH59" s="779"/>
      <c r="BI59" s="779"/>
      <c r="BJ59" s="779"/>
      <c r="BK59" s="127"/>
      <c r="BL59" s="779"/>
      <c r="BM59" s="779"/>
      <c r="BN59" s="779"/>
      <c r="BO59" s="779"/>
      <c r="BP59" s="779"/>
      <c r="BQ59" s="779"/>
      <c r="BR59" s="779"/>
      <c r="BS59" s="779"/>
      <c r="BT59" s="779"/>
      <c r="BU59" s="779"/>
      <c r="BV59" s="779"/>
      <c r="BW59" s="779"/>
      <c r="BX59" s="779"/>
      <c r="BY59" s="779"/>
      <c r="BZ59" s="779"/>
      <c r="CA59" s="779"/>
      <c r="CB59" s="779"/>
      <c r="CC59" s="779"/>
      <c r="CD59" s="779"/>
      <c r="CE59" s="779"/>
      <c r="CF59" s="779"/>
      <c r="CG59" s="779"/>
      <c r="CH59" s="779"/>
      <c r="CI59" s="779"/>
      <c r="CJ59" s="779"/>
      <c r="CK59" s="779"/>
      <c r="CL59" s="779"/>
      <c r="CM59" s="779"/>
      <c r="CN59" s="779"/>
      <c r="CO59" s="779"/>
      <c r="CP59" s="779"/>
      <c r="CQ59" s="779"/>
      <c r="CR59" s="779"/>
      <c r="CS59" s="779"/>
      <c r="CT59" s="127"/>
      <c r="CU59" s="779"/>
      <c r="CV59" s="779"/>
      <c r="CW59" s="779"/>
      <c r="CX59" s="779"/>
      <c r="CY59" s="779"/>
      <c r="CZ59" s="779"/>
      <c r="DA59" s="779"/>
      <c r="DB59" s="779"/>
      <c r="DC59" s="779"/>
      <c r="DD59" s="779"/>
      <c r="DE59" s="779"/>
      <c r="DF59" s="779"/>
      <c r="DG59" s="779"/>
      <c r="DH59" s="779"/>
      <c r="DI59" s="779"/>
      <c r="DJ59" s="779"/>
      <c r="DK59" s="779"/>
      <c r="DL59" s="779"/>
      <c r="DM59" s="779"/>
      <c r="DN59" s="779"/>
      <c r="DO59" s="779"/>
      <c r="DP59" s="779"/>
      <c r="DQ59" s="779"/>
      <c r="DR59" s="779"/>
      <c r="DS59" s="779"/>
      <c r="DT59" s="779"/>
      <c r="DU59" s="779"/>
      <c r="DV59" s="127"/>
      <c r="DW59" s="127"/>
      <c r="DX59" s="779"/>
      <c r="DY59" s="779"/>
      <c r="DZ59" s="779"/>
      <c r="EA59" s="779"/>
      <c r="EB59" s="779"/>
      <c r="EC59" s="779"/>
      <c r="ED59" s="779"/>
      <c r="EE59" s="779"/>
      <c r="EF59" s="779"/>
      <c r="EG59" s="779"/>
      <c r="EH59" s="779"/>
      <c r="EI59" s="779"/>
      <c r="EJ59" s="779"/>
      <c r="EK59" s="779"/>
      <c r="EL59" s="779"/>
      <c r="EM59" s="779"/>
      <c r="EN59" s="779"/>
      <c r="EO59" s="779"/>
      <c r="EP59" s="779"/>
      <c r="EQ59" s="127"/>
      <c r="ER59" s="779"/>
      <c r="ES59" s="779"/>
      <c r="ET59" s="779"/>
      <c r="EU59" s="779"/>
      <c r="EV59" s="779"/>
      <c r="EW59" s="779"/>
      <c r="EX59" s="127"/>
      <c r="EY59" s="145" t="s">
        <v>1089</v>
      </c>
      <c r="EZ59" s="145" t="s">
        <v>1090</v>
      </c>
      <c r="FA59" s="146" t="s">
        <v>1091</v>
      </c>
      <c r="FB59" s="155"/>
      <c r="FC59" s="156" t="s">
        <v>847</v>
      </c>
    </row>
    <row r="60" spans="1:159" s="92" customFormat="1" ht="70.5" customHeight="1">
      <c r="A60" s="55"/>
      <c r="B60" s="1660"/>
      <c r="C60" s="109" t="s">
        <v>843</v>
      </c>
      <c r="D60" s="117" t="s">
        <v>1092</v>
      </c>
      <c r="E60" s="72">
        <f t="shared" si="12"/>
        <v>0</v>
      </c>
      <c r="F60" s="72">
        <v>0</v>
      </c>
      <c r="G60" s="72">
        <v>0</v>
      </c>
      <c r="H60" s="72">
        <v>0</v>
      </c>
      <c r="I60" s="798">
        <f t="shared" si="13"/>
        <v>0</v>
      </c>
      <c r="J60" s="798">
        <f t="shared" si="22"/>
        <v>0</v>
      </c>
      <c r="K60" s="798">
        <f t="shared" si="15"/>
        <v>0</v>
      </c>
      <c r="L60" s="798">
        <f t="shared" si="16"/>
        <v>0</v>
      </c>
      <c r="M60" s="798">
        <f t="shared" si="17"/>
        <v>0</v>
      </c>
      <c r="N60" s="798">
        <f t="shared" si="18"/>
        <v>0</v>
      </c>
      <c r="O60" s="798">
        <f t="shared" si="19"/>
        <v>0</v>
      </c>
      <c r="P60" s="798">
        <f t="shared" si="20"/>
        <v>0</v>
      </c>
      <c r="Q60" s="798"/>
      <c r="R60" s="72"/>
      <c r="S60" s="749"/>
      <c r="T60" s="749"/>
      <c r="U60" s="126"/>
      <c r="V60" s="126"/>
      <c r="W60" s="126"/>
      <c r="X60" s="126"/>
      <c r="Y60" s="749"/>
      <c r="Z60" s="749"/>
      <c r="AA60" s="749"/>
      <c r="AB60" s="749"/>
      <c r="AC60" s="749"/>
      <c r="AD60" s="749"/>
      <c r="AE60" s="749"/>
      <c r="AF60" s="749"/>
      <c r="AG60" s="749"/>
      <c r="AH60" s="749"/>
      <c r="AI60" s="749"/>
      <c r="AJ60" s="749"/>
      <c r="AK60" s="749"/>
      <c r="AL60" s="749"/>
      <c r="AM60" s="749"/>
      <c r="AN60" s="749"/>
      <c r="AO60" s="749"/>
      <c r="AP60" s="749"/>
      <c r="AQ60" s="749"/>
      <c r="AR60" s="749"/>
      <c r="AS60" s="749"/>
      <c r="AT60" s="749"/>
      <c r="AU60" s="749"/>
      <c r="AV60" s="749"/>
      <c r="AW60" s="126"/>
      <c r="AX60" s="749"/>
      <c r="AY60" s="749"/>
      <c r="AZ60" s="749"/>
      <c r="BA60" s="749"/>
      <c r="BB60" s="749"/>
      <c r="BC60" s="749"/>
      <c r="BD60" s="749"/>
      <c r="BE60" s="749"/>
      <c r="BF60" s="749"/>
      <c r="BG60" s="749"/>
      <c r="BH60" s="749"/>
      <c r="BI60" s="749"/>
      <c r="BJ60" s="749"/>
      <c r="BK60" s="126"/>
      <c r="BL60" s="749"/>
      <c r="BM60" s="749"/>
      <c r="BN60" s="749"/>
      <c r="BO60" s="749"/>
      <c r="BP60" s="749"/>
      <c r="BQ60" s="749"/>
      <c r="BR60" s="749"/>
      <c r="BS60" s="749"/>
      <c r="BT60" s="749"/>
      <c r="BU60" s="749"/>
      <c r="BV60" s="749"/>
      <c r="BW60" s="749"/>
      <c r="BX60" s="749"/>
      <c r="BY60" s="749"/>
      <c r="BZ60" s="749"/>
      <c r="CA60" s="749"/>
      <c r="CB60" s="749"/>
      <c r="CC60" s="749"/>
      <c r="CD60" s="749"/>
      <c r="CE60" s="749"/>
      <c r="CF60" s="749"/>
      <c r="CG60" s="749"/>
      <c r="CH60" s="749"/>
      <c r="CI60" s="749"/>
      <c r="CJ60" s="749"/>
      <c r="CK60" s="749"/>
      <c r="CL60" s="749"/>
      <c r="CM60" s="749"/>
      <c r="CN60" s="749"/>
      <c r="CO60" s="749"/>
      <c r="CP60" s="749"/>
      <c r="CQ60" s="749"/>
      <c r="CR60" s="749"/>
      <c r="CS60" s="749"/>
      <c r="CT60" s="126"/>
      <c r="CU60" s="749"/>
      <c r="CV60" s="749"/>
      <c r="CW60" s="749"/>
      <c r="CX60" s="749"/>
      <c r="CY60" s="749"/>
      <c r="CZ60" s="749"/>
      <c r="DA60" s="749"/>
      <c r="DB60" s="749"/>
      <c r="DC60" s="749"/>
      <c r="DD60" s="749"/>
      <c r="DE60" s="749"/>
      <c r="DF60" s="749"/>
      <c r="DG60" s="749"/>
      <c r="DH60" s="749"/>
      <c r="DI60" s="749"/>
      <c r="DJ60" s="749"/>
      <c r="DK60" s="749"/>
      <c r="DL60" s="749"/>
      <c r="DM60" s="749"/>
      <c r="DN60" s="749"/>
      <c r="DO60" s="749"/>
      <c r="DP60" s="749"/>
      <c r="DQ60" s="749"/>
      <c r="DR60" s="749"/>
      <c r="DS60" s="749"/>
      <c r="DT60" s="749"/>
      <c r="DU60" s="749"/>
      <c r="DV60" s="126"/>
      <c r="DW60" s="126"/>
      <c r="DX60" s="749"/>
      <c r="DY60" s="749"/>
      <c r="DZ60" s="749"/>
      <c r="EA60" s="749"/>
      <c r="EB60" s="749"/>
      <c r="EC60" s="749"/>
      <c r="ED60" s="749"/>
      <c r="EE60" s="749"/>
      <c r="EF60" s="749"/>
      <c r="EG60" s="749"/>
      <c r="EH60" s="749"/>
      <c r="EI60" s="749"/>
      <c r="EJ60" s="749"/>
      <c r="EK60" s="749"/>
      <c r="EL60" s="749"/>
      <c r="EM60" s="749"/>
      <c r="EN60" s="749"/>
      <c r="EO60" s="749"/>
      <c r="EP60" s="749"/>
      <c r="EQ60" s="126"/>
      <c r="ER60" s="749"/>
      <c r="ES60" s="749"/>
      <c r="ET60" s="749"/>
      <c r="EU60" s="749"/>
      <c r="EV60" s="749"/>
      <c r="EW60" s="749"/>
      <c r="EX60" s="126"/>
      <c r="EY60" s="145" t="s">
        <v>1093</v>
      </c>
      <c r="EZ60" s="145"/>
      <c r="FA60" s="146"/>
      <c r="FB60" s="155"/>
      <c r="FC60" s="156"/>
    </row>
    <row r="61" spans="1:159" s="92" customFormat="1" ht="70.5" customHeight="1">
      <c r="A61" s="966"/>
      <c r="B61" s="1659"/>
      <c r="C61" s="109" t="s">
        <v>843</v>
      </c>
      <c r="D61" s="118" t="s">
        <v>1377</v>
      </c>
      <c r="E61" s="72">
        <f t="shared" si="12"/>
        <v>1</v>
      </c>
      <c r="F61" s="750">
        <v>0</v>
      </c>
      <c r="G61" s="750">
        <v>0</v>
      </c>
      <c r="H61" s="750">
        <v>0</v>
      </c>
      <c r="I61" s="750">
        <v>0</v>
      </c>
      <c r="J61" s="750">
        <v>0</v>
      </c>
      <c r="K61" s="798">
        <f t="shared" si="15"/>
        <v>1</v>
      </c>
      <c r="L61" s="798">
        <f t="shared" si="16"/>
        <v>0</v>
      </c>
      <c r="M61" s="798">
        <f t="shared" si="17"/>
        <v>0</v>
      </c>
      <c r="N61" s="798">
        <f t="shared" si="18"/>
        <v>0</v>
      </c>
      <c r="O61" s="798">
        <f t="shared" si="19"/>
        <v>0</v>
      </c>
      <c r="P61" s="798">
        <f t="shared" si="20"/>
        <v>0</v>
      </c>
      <c r="Q61" s="798"/>
      <c r="R61" s="72"/>
      <c r="S61" s="965"/>
      <c r="T61" s="965"/>
      <c r="U61" s="965"/>
      <c r="V61" s="965"/>
      <c r="W61" s="965"/>
      <c r="X61" s="965"/>
      <c r="Y61" s="965"/>
      <c r="Z61" s="965"/>
      <c r="AA61" s="965"/>
      <c r="AB61" s="965"/>
      <c r="AC61" s="965"/>
      <c r="AD61" s="965"/>
      <c r="AE61" s="965"/>
      <c r="AF61" s="965"/>
      <c r="AG61" s="965"/>
      <c r="AH61" s="965"/>
      <c r="AI61" s="965"/>
      <c r="AJ61" s="965"/>
      <c r="AK61" s="965"/>
      <c r="AL61" s="965"/>
      <c r="AM61" s="965"/>
      <c r="AN61" s="965"/>
      <c r="AO61" s="965"/>
      <c r="AP61" s="965"/>
      <c r="AQ61" s="965"/>
      <c r="AR61" s="965"/>
      <c r="AS61" s="965"/>
      <c r="AT61" s="965"/>
      <c r="AU61" s="965"/>
      <c r="AV61" s="965"/>
      <c r="AW61" s="965"/>
      <c r="AX61" s="965"/>
      <c r="AY61" s="965"/>
      <c r="AZ61" s="965"/>
      <c r="BA61" s="965"/>
      <c r="BB61" s="965"/>
      <c r="BC61" s="965"/>
      <c r="BD61" s="965"/>
      <c r="BE61" s="965"/>
      <c r="BF61" s="965"/>
      <c r="BG61" s="965"/>
      <c r="BH61" s="965"/>
      <c r="BI61" s="965"/>
      <c r="BJ61" s="965"/>
      <c r="BK61" s="965"/>
      <c r="BL61" s="965"/>
      <c r="BM61" s="965"/>
      <c r="BN61" s="965"/>
      <c r="BO61" s="965"/>
      <c r="BP61" s="965"/>
      <c r="BQ61" s="965"/>
      <c r="BR61" s="965"/>
      <c r="BS61" s="965"/>
      <c r="BT61" s="965"/>
      <c r="BU61" s="965"/>
      <c r="BV61" s="965"/>
      <c r="BW61" s="965"/>
      <c r="BX61" s="965"/>
      <c r="BY61" s="965"/>
      <c r="BZ61" s="965"/>
      <c r="CA61" s="965"/>
      <c r="CB61" s="965"/>
      <c r="CC61" s="965"/>
      <c r="CD61" s="965"/>
      <c r="CE61" s="965"/>
      <c r="CF61" s="965"/>
      <c r="CG61" s="965"/>
      <c r="CH61" s="965"/>
      <c r="CI61" s="965"/>
      <c r="CJ61" s="965"/>
      <c r="CK61" s="965"/>
      <c r="CL61" s="965"/>
      <c r="CM61" s="965"/>
      <c r="CN61" s="965"/>
      <c r="CO61" s="965"/>
      <c r="CP61" s="965"/>
      <c r="CQ61" s="965"/>
      <c r="CR61" s="965"/>
      <c r="CS61" s="965"/>
      <c r="CT61" s="965"/>
      <c r="CU61" s="749"/>
      <c r="CV61" s="749"/>
      <c r="CW61" s="749"/>
      <c r="CX61" s="749"/>
      <c r="CY61" s="749">
        <v>1</v>
      </c>
      <c r="CZ61" s="749"/>
      <c r="DA61" s="749"/>
      <c r="DB61" s="749"/>
      <c r="DC61" s="749"/>
      <c r="DD61" s="749"/>
      <c r="DE61" s="749"/>
      <c r="DF61" s="749"/>
      <c r="DG61" s="749"/>
      <c r="DH61" s="749"/>
      <c r="DI61" s="749"/>
      <c r="DJ61" s="749"/>
      <c r="DK61" s="749"/>
      <c r="DL61" s="749"/>
      <c r="DM61" s="749"/>
      <c r="DN61" s="749"/>
      <c r="DO61" s="749"/>
      <c r="DP61" s="749"/>
      <c r="DQ61" s="749"/>
      <c r="DR61" s="749"/>
      <c r="DS61" s="749"/>
      <c r="DT61" s="749"/>
      <c r="DU61" s="749"/>
      <c r="DV61" s="749"/>
      <c r="DW61" s="749"/>
      <c r="DX61" s="749"/>
      <c r="DY61" s="749"/>
      <c r="DZ61" s="749"/>
      <c r="EA61" s="749"/>
      <c r="EB61" s="749"/>
      <c r="EC61" s="749"/>
      <c r="ED61" s="749"/>
      <c r="EE61" s="749"/>
      <c r="EF61" s="749"/>
      <c r="EG61" s="749"/>
      <c r="EH61" s="749"/>
      <c r="EI61" s="749"/>
      <c r="EJ61" s="749"/>
      <c r="EK61" s="749"/>
      <c r="EL61" s="749"/>
      <c r="EM61" s="749"/>
      <c r="EN61" s="749"/>
      <c r="EO61" s="749"/>
      <c r="EP61" s="749"/>
      <c r="EQ61" s="749"/>
      <c r="ER61" s="749"/>
      <c r="ES61" s="749"/>
      <c r="ET61" s="749"/>
      <c r="EU61" s="749"/>
      <c r="EV61" s="749"/>
      <c r="EW61" s="749"/>
      <c r="EX61" s="749"/>
      <c r="EY61" s="839"/>
      <c r="EZ61" s="839"/>
      <c r="FA61" s="1297"/>
      <c r="FB61" s="1298"/>
      <c r="FC61" s="756" t="s">
        <v>1378</v>
      </c>
    </row>
    <row r="62" spans="1:159" s="92" customFormat="1" ht="53.25" customHeight="1">
      <c r="A62" s="103"/>
      <c r="B62" s="1659"/>
      <c r="C62" s="111" t="s">
        <v>843</v>
      </c>
      <c r="D62" s="118" t="s">
        <v>1094</v>
      </c>
      <c r="E62" s="72">
        <f t="shared" si="12"/>
        <v>0</v>
      </c>
      <c r="F62" s="72">
        <v>0</v>
      </c>
      <c r="G62" s="72">
        <v>0</v>
      </c>
      <c r="H62" s="72">
        <v>0</v>
      </c>
      <c r="I62" s="798">
        <f t="shared" si="13"/>
        <v>0</v>
      </c>
      <c r="J62" s="798">
        <f t="shared" si="22"/>
        <v>0</v>
      </c>
      <c r="K62" s="798">
        <f t="shared" si="15"/>
        <v>0</v>
      </c>
      <c r="L62" s="798">
        <f t="shared" si="16"/>
        <v>0</v>
      </c>
      <c r="M62" s="798">
        <f t="shared" si="17"/>
        <v>0</v>
      </c>
      <c r="N62" s="798">
        <f t="shared" si="18"/>
        <v>0</v>
      </c>
      <c r="O62" s="798">
        <f t="shared" si="19"/>
        <v>0</v>
      </c>
      <c r="P62" s="798">
        <f t="shared" si="20"/>
        <v>0</v>
      </c>
      <c r="Q62" s="798"/>
      <c r="R62" s="72"/>
      <c r="S62" s="132"/>
      <c r="T62" s="132"/>
      <c r="U62" s="965"/>
      <c r="V62" s="965"/>
      <c r="W62" s="965"/>
      <c r="X62" s="965"/>
      <c r="Y62" s="965"/>
      <c r="Z62" s="965"/>
      <c r="AA62" s="965"/>
      <c r="AB62" s="965"/>
      <c r="AC62" s="965"/>
      <c r="AD62" s="965"/>
      <c r="AE62" s="965"/>
      <c r="AF62" s="965"/>
      <c r="AG62" s="965"/>
      <c r="AH62" s="965"/>
      <c r="AI62" s="965"/>
      <c r="AJ62" s="965"/>
      <c r="AK62" s="965"/>
      <c r="AL62" s="965"/>
      <c r="AM62" s="965"/>
      <c r="AN62" s="965"/>
      <c r="AO62" s="965"/>
      <c r="AP62" s="965"/>
      <c r="AQ62" s="965"/>
      <c r="AR62" s="965"/>
      <c r="AS62" s="965"/>
      <c r="AT62" s="965"/>
      <c r="AU62" s="965"/>
      <c r="AV62" s="965"/>
      <c r="AW62" s="132"/>
      <c r="AX62" s="965"/>
      <c r="AY62" s="965"/>
      <c r="AZ62" s="965"/>
      <c r="BA62" s="965"/>
      <c r="BB62" s="965"/>
      <c r="BC62" s="965"/>
      <c r="BD62" s="965"/>
      <c r="BE62" s="965"/>
      <c r="BF62" s="965"/>
      <c r="BG62" s="965"/>
      <c r="BH62" s="965"/>
      <c r="BI62" s="965"/>
      <c r="BJ62" s="965"/>
      <c r="BK62" s="132"/>
      <c r="BL62" s="965"/>
      <c r="BM62" s="965"/>
      <c r="BN62" s="965"/>
      <c r="BO62" s="965"/>
      <c r="BP62" s="965"/>
      <c r="BQ62" s="965"/>
      <c r="BR62" s="965"/>
      <c r="BS62" s="965"/>
      <c r="BT62" s="965"/>
      <c r="BU62" s="965"/>
      <c r="BV62" s="965"/>
      <c r="BW62" s="965"/>
      <c r="BX62" s="965"/>
      <c r="BY62" s="965"/>
      <c r="BZ62" s="965"/>
      <c r="CA62" s="965"/>
      <c r="CB62" s="965"/>
      <c r="CC62" s="965"/>
      <c r="CD62" s="965"/>
      <c r="CE62" s="965"/>
      <c r="CF62" s="965"/>
      <c r="CG62" s="965"/>
      <c r="CH62" s="965"/>
      <c r="CI62" s="965"/>
      <c r="CJ62" s="965"/>
      <c r="CK62" s="965"/>
      <c r="CL62" s="965"/>
      <c r="CM62" s="965"/>
      <c r="CN62" s="965"/>
      <c r="CO62" s="965"/>
      <c r="CP62" s="965"/>
      <c r="CQ62" s="965"/>
      <c r="CR62" s="965"/>
      <c r="CS62" s="965"/>
      <c r="CT62" s="132"/>
      <c r="CU62" s="965"/>
      <c r="CV62" s="965"/>
      <c r="CW62" s="965"/>
      <c r="CX62" s="965"/>
      <c r="CY62" s="965"/>
      <c r="CZ62" s="965"/>
      <c r="DA62" s="965"/>
      <c r="DB62" s="965"/>
      <c r="DC62" s="965"/>
      <c r="DD62" s="965"/>
      <c r="DE62" s="965"/>
      <c r="DF62" s="965"/>
      <c r="DG62" s="965"/>
      <c r="DH62" s="965"/>
      <c r="DI62" s="965"/>
      <c r="DJ62" s="965"/>
      <c r="DK62" s="965"/>
      <c r="DL62" s="965"/>
      <c r="DM62" s="965"/>
      <c r="DN62" s="965"/>
      <c r="DO62" s="965"/>
      <c r="DP62" s="965"/>
      <c r="DQ62" s="965"/>
      <c r="DR62" s="965"/>
      <c r="DS62" s="965"/>
      <c r="DT62" s="965"/>
      <c r="DU62" s="965"/>
      <c r="DV62" s="132"/>
      <c r="DW62" s="132"/>
      <c r="DX62" s="965"/>
      <c r="DY62" s="965"/>
      <c r="DZ62" s="965"/>
      <c r="EA62" s="965"/>
      <c r="EB62" s="965"/>
      <c r="EC62" s="965"/>
      <c r="ED62" s="965"/>
      <c r="EE62" s="965"/>
      <c r="EF62" s="965"/>
      <c r="EG62" s="965"/>
      <c r="EH62" s="965"/>
      <c r="EI62" s="965"/>
      <c r="EJ62" s="965"/>
      <c r="EK62" s="965"/>
      <c r="EL62" s="965"/>
      <c r="EM62" s="965"/>
      <c r="EN62" s="965"/>
      <c r="EO62" s="965"/>
      <c r="EP62" s="965"/>
      <c r="EQ62" s="132"/>
      <c r="ER62" s="965"/>
      <c r="ES62" s="965"/>
      <c r="ET62" s="965"/>
      <c r="EU62" s="965"/>
      <c r="EV62" s="965"/>
      <c r="EW62" s="965"/>
      <c r="EX62" s="132"/>
      <c r="EY62" s="145" t="s">
        <v>1095</v>
      </c>
      <c r="EZ62" s="145" t="s">
        <v>1096</v>
      </c>
      <c r="FA62" s="146"/>
      <c r="FB62" s="155"/>
      <c r="FC62" s="151"/>
    </row>
    <row r="63" spans="1:159" s="92" customFormat="1" ht="53.25" customHeight="1">
      <c r="A63" s="55"/>
      <c r="B63" s="1661"/>
      <c r="C63" s="107" t="s">
        <v>973</v>
      </c>
      <c r="D63" s="114" t="s">
        <v>1097</v>
      </c>
      <c r="E63" s="72">
        <f t="shared" si="12"/>
        <v>0</v>
      </c>
      <c r="F63" s="72">
        <v>0</v>
      </c>
      <c r="G63" s="72">
        <v>0</v>
      </c>
      <c r="H63" s="72">
        <v>0</v>
      </c>
      <c r="I63" s="798">
        <f t="shared" si="13"/>
        <v>0</v>
      </c>
      <c r="J63" s="798">
        <f t="shared" si="22"/>
        <v>0</v>
      </c>
      <c r="K63" s="798">
        <f t="shared" si="15"/>
        <v>0</v>
      </c>
      <c r="L63" s="798">
        <f t="shared" si="16"/>
        <v>0</v>
      </c>
      <c r="M63" s="798">
        <f t="shared" si="17"/>
        <v>0</v>
      </c>
      <c r="N63" s="798">
        <f t="shared" si="18"/>
        <v>0</v>
      </c>
      <c r="O63" s="798">
        <f t="shared" si="19"/>
        <v>0</v>
      </c>
      <c r="P63" s="798">
        <f t="shared" si="20"/>
        <v>0</v>
      </c>
      <c r="Q63" s="798"/>
      <c r="R63" s="72"/>
      <c r="S63" s="749"/>
      <c r="T63" s="749"/>
      <c r="U63" s="126"/>
      <c r="V63" s="126"/>
      <c r="W63" s="126"/>
      <c r="X63" s="126"/>
      <c r="Y63" s="749"/>
      <c r="Z63" s="749"/>
      <c r="AA63" s="749"/>
      <c r="AB63" s="749"/>
      <c r="AC63" s="749"/>
      <c r="AD63" s="749"/>
      <c r="AE63" s="749"/>
      <c r="AF63" s="749"/>
      <c r="AG63" s="749"/>
      <c r="AH63" s="749"/>
      <c r="AI63" s="749"/>
      <c r="AJ63" s="749"/>
      <c r="AK63" s="749"/>
      <c r="AL63" s="749"/>
      <c r="AM63" s="749"/>
      <c r="AN63" s="749"/>
      <c r="AO63" s="749"/>
      <c r="AP63" s="749"/>
      <c r="AQ63" s="749"/>
      <c r="AR63" s="749"/>
      <c r="AS63" s="749"/>
      <c r="AT63" s="749"/>
      <c r="AU63" s="749"/>
      <c r="AV63" s="749"/>
      <c r="AW63" s="126"/>
      <c r="AX63" s="749"/>
      <c r="AY63" s="749"/>
      <c r="AZ63" s="749"/>
      <c r="BA63" s="749"/>
      <c r="BB63" s="749"/>
      <c r="BC63" s="749"/>
      <c r="BD63" s="749"/>
      <c r="BE63" s="749"/>
      <c r="BF63" s="749"/>
      <c r="BG63" s="749"/>
      <c r="BH63" s="749"/>
      <c r="BI63" s="749"/>
      <c r="BJ63" s="749"/>
      <c r="BK63" s="126"/>
      <c r="BL63" s="749"/>
      <c r="BM63" s="749"/>
      <c r="BN63" s="749"/>
      <c r="BO63" s="749"/>
      <c r="BP63" s="749"/>
      <c r="BQ63" s="749"/>
      <c r="BR63" s="749"/>
      <c r="BS63" s="749"/>
      <c r="BT63" s="749"/>
      <c r="BU63" s="749"/>
      <c r="BV63" s="749"/>
      <c r="BW63" s="749"/>
      <c r="BX63" s="749"/>
      <c r="BY63" s="749"/>
      <c r="BZ63" s="749"/>
      <c r="CA63" s="749"/>
      <c r="CB63" s="749"/>
      <c r="CC63" s="749"/>
      <c r="CD63" s="749"/>
      <c r="CE63" s="749"/>
      <c r="CF63" s="749"/>
      <c r="CG63" s="749"/>
      <c r="CH63" s="749"/>
      <c r="CI63" s="749"/>
      <c r="CJ63" s="749"/>
      <c r="CK63" s="749"/>
      <c r="CL63" s="749"/>
      <c r="CM63" s="749"/>
      <c r="CN63" s="749"/>
      <c r="CO63" s="749"/>
      <c r="CP63" s="749"/>
      <c r="CQ63" s="749"/>
      <c r="CR63" s="749"/>
      <c r="CS63" s="749"/>
      <c r="CT63" s="126"/>
      <c r="CU63" s="749"/>
      <c r="CV63" s="749"/>
      <c r="CW63" s="749"/>
      <c r="CX63" s="749"/>
      <c r="CY63" s="749"/>
      <c r="CZ63" s="749"/>
      <c r="DA63" s="749"/>
      <c r="DB63" s="749"/>
      <c r="DC63" s="749"/>
      <c r="DD63" s="749"/>
      <c r="DE63" s="749"/>
      <c r="DF63" s="749"/>
      <c r="DG63" s="749"/>
      <c r="DH63" s="749"/>
      <c r="DI63" s="749"/>
      <c r="DJ63" s="749"/>
      <c r="DK63" s="749"/>
      <c r="DL63" s="749"/>
      <c r="DM63" s="749"/>
      <c r="DN63" s="749"/>
      <c r="DO63" s="749"/>
      <c r="DP63" s="749"/>
      <c r="DQ63" s="749"/>
      <c r="DR63" s="749"/>
      <c r="DS63" s="749"/>
      <c r="DT63" s="749"/>
      <c r="DU63" s="749"/>
      <c r="DV63" s="126"/>
      <c r="DW63" s="126"/>
      <c r="DX63" s="749"/>
      <c r="DY63" s="749"/>
      <c r="DZ63" s="749"/>
      <c r="EA63" s="749"/>
      <c r="EB63" s="749"/>
      <c r="EC63" s="749"/>
      <c r="ED63" s="749"/>
      <c r="EE63" s="749"/>
      <c r="EF63" s="749"/>
      <c r="EG63" s="749"/>
      <c r="EH63" s="749"/>
      <c r="EI63" s="749"/>
      <c r="EJ63" s="749"/>
      <c r="EK63" s="749"/>
      <c r="EL63" s="749"/>
      <c r="EM63" s="749"/>
      <c r="EN63" s="749"/>
      <c r="EO63" s="749"/>
      <c r="EP63" s="749"/>
      <c r="EQ63" s="126"/>
      <c r="ER63" s="749"/>
      <c r="ES63" s="749"/>
      <c r="ET63" s="749"/>
      <c r="EU63" s="749"/>
      <c r="EV63" s="749"/>
      <c r="EW63" s="749"/>
      <c r="EX63" s="126"/>
      <c r="EY63" s="145" t="s">
        <v>1098</v>
      </c>
      <c r="EZ63" s="145"/>
      <c r="FA63" s="146"/>
      <c r="FB63" s="155"/>
      <c r="FC63" s="156" t="s">
        <v>1099</v>
      </c>
    </row>
    <row r="64" spans="1:159" s="92" customFormat="1" ht="56.25" customHeight="1">
      <c r="A64" s="55">
        <v>3</v>
      </c>
      <c r="B64" s="113" t="s">
        <v>958</v>
      </c>
      <c r="C64" s="107" t="s">
        <v>843</v>
      </c>
      <c r="D64" s="114" t="s">
        <v>1100</v>
      </c>
      <c r="E64" s="72">
        <f t="shared" si="12"/>
        <v>0</v>
      </c>
      <c r="F64" s="72">
        <v>0</v>
      </c>
      <c r="G64" s="72">
        <v>0</v>
      </c>
      <c r="H64" s="72">
        <v>0</v>
      </c>
      <c r="I64" s="798">
        <f t="shared" si="13"/>
        <v>0</v>
      </c>
      <c r="J64" s="798">
        <f t="shared" si="22"/>
        <v>0</v>
      </c>
      <c r="K64" s="798">
        <f t="shared" si="15"/>
        <v>0</v>
      </c>
      <c r="L64" s="798">
        <f t="shared" si="16"/>
        <v>0</v>
      </c>
      <c r="M64" s="798">
        <f t="shared" si="17"/>
        <v>0</v>
      </c>
      <c r="N64" s="798">
        <f t="shared" si="18"/>
        <v>0</v>
      </c>
      <c r="O64" s="798">
        <f t="shared" si="19"/>
        <v>0</v>
      </c>
      <c r="P64" s="798">
        <f t="shared" si="20"/>
        <v>0</v>
      </c>
      <c r="Q64" s="798"/>
      <c r="R64" s="72"/>
      <c r="S64" s="749"/>
      <c r="T64" s="749"/>
      <c r="U64" s="126"/>
      <c r="V64" s="126"/>
      <c r="W64" s="126"/>
      <c r="X64" s="126"/>
      <c r="Y64" s="749"/>
      <c r="Z64" s="749"/>
      <c r="AA64" s="749"/>
      <c r="AB64" s="749"/>
      <c r="AC64" s="749"/>
      <c r="AD64" s="749"/>
      <c r="AE64" s="749"/>
      <c r="AF64" s="749"/>
      <c r="AG64" s="749"/>
      <c r="AH64" s="749"/>
      <c r="AI64" s="749"/>
      <c r="AJ64" s="749"/>
      <c r="AK64" s="749"/>
      <c r="AL64" s="749"/>
      <c r="AM64" s="749"/>
      <c r="AN64" s="749"/>
      <c r="AO64" s="749"/>
      <c r="AP64" s="749"/>
      <c r="AQ64" s="749"/>
      <c r="AR64" s="749"/>
      <c r="AS64" s="749"/>
      <c r="AT64" s="749"/>
      <c r="AU64" s="749"/>
      <c r="AV64" s="749"/>
      <c r="AW64" s="126"/>
      <c r="AX64" s="749"/>
      <c r="AY64" s="749"/>
      <c r="AZ64" s="749"/>
      <c r="BA64" s="749"/>
      <c r="BB64" s="749"/>
      <c r="BC64" s="749"/>
      <c r="BD64" s="749"/>
      <c r="BE64" s="749"/>
      <c r="BF64" s="749"/>
      <c r="BG64" s="749"/>
      <c r="BH64" s="749"/>
      <c r="BI64" s="749"/>
      <c r="BJ64" s="749"/>
      <c r="BK64" s="126"/>
      <c r="BL64" s="749"/>
      <c r="BM64" s="749"/>
      <c r="BN64" s="749"/>
      <c r="BO64" s="749"/>
      <c r="BP64" s="749"/>
      <c r="BQ64" s="749"/>
      <c r="BR64" s="749"/>
      <c r="BS64" s="749"/>
      <c r="BT64" s="749"/>
      <c r="BU64" s="749"/>
      <c r="BV64" s="749"/>
      <c r="BW64" s="749"/>
      <c r="BX64" s="749"/>
      <c r="BY64" s="749"/>
      <c r="BZ64" s="749"/>
      <c r="CA64" s="749"/>
      <c r="CB64" s="749"/>
      <c r="CC64" s="749"/>
      <c r="CD64" s="749"/>
      <c r="CE64" s="749"/>
      <c r="CF64" s="749"/>
      <c r="CG64" s="749"/>
      <c r="CH64" s="749"/>
      <c r="CI64" s="749"/>
      <c r="CJ64" s="749"/>
      <c r="CK64" s="749"/>
      <c r="CL64" s="749"/>
      <c r="CM64" s="749"/>
      <c r="CN64" s="749"/>
      <c r="CO64" s="749"/>
      <c r="CP64" s="749"/>
      <c r="CQ64" s="749"/>
      <c r="CR64" s="749"/>
      <c r="CS64" s="749"/>
      <c r="CT64" s="126"/>
      <c r="CU64" s="749"/>
      <c r="CV64" s="749"/>
      <c r="CW64" s="749"/>
      <c r="CX64" s="749"/>
      <c r="CY64" s="749"/>
      <c r="CZ64" s="749"/>
      <c r="DA64" s="749"/>
      <c r="DB64" s="749"/>
      <c r="DC64" s="749"/>
      <c r="DD64" s="749"/>
      <c r="DE64" s="749"/>
      <c r="DF64" s="749"/>
      <c r="DG64" s="749"/>
      <c r="DH64" s="749"/>
      <c r="DI64" s="749"/>
      <c r="DJ64" s="749"/>
      <c r="DK64" s="749"/>
      <c r="DL64" s="749"/>
      <c r="DM64" s="749"/>
      <c r="DN64" s="749"/>
      <c r="DO64" s="749"/>
      <c r="DP64" s="749"/>
      <c r="DQ64" s="749"/>
      <c r="DR64" s="749"/>
      <c r="DS64" s="749"/>
      <c r="DT64" s="749"/>
      <c r="DU64" s="749"/>
      <c r="DV64" s="126"/>
      <c r="DW64" s="126"/>
      <c r="DX64" s="749"/>
      <c r="DY64" s="749"/>
      <c r="DZ64" s="749"/>
      <c r="EA64" s="749"/>
      <c r="EB64" s="749"/>
      <c r="EC64" s="749"/>
      <c r="ED64" s="749"/>
      <c r="EE64" s="749"/>
      <c r="EF64" s="749"/>
      <c r="EG64" s="749"/>
      <c r="EH64" s="749"/>
      <c r="EI64" s="749"/>
      <c r="EJ64" s="749"/>
      <c r="EK64" s="749"/>
      <c r="EL64" s="749"/>
      <c r="EM64" s="749"/>
      <c r="EN64" s="749"/>
      <c r="EO64" s="749"/>
      <c r="EP64" s="749"/>
      <c r="EQ64" s="126"/>
      <c r="ER64" s="749"/>
      <c r="ES64" s="749"/>
      <c r="ET64" s="749"/>
      <c r="EU64" s="749"/>
      <c r="EV64" s="749"/>
      <c r="EW64" s="749"/>
      <c r="EX64" s="126"/>
      <c r="EY64" s="147"/>
      <c r="EZ64" s="145" t="s">
        <v>1101</v>
      </c>
      <c r="FA64" s="145"/>
      <c r="FB64" s="157"/>
      <c r="FC64" s="156" t="s">
        <v>847</v>
      </c>
    </row>
    <row r="65" spans="1:159" s="92" customFormat="1" ht="56.25" customHeight="1">
      <c r="A65" s="778"/>
      <c r="B65" s="1662" t="s">
        <v>995</v>
      </c>
      <c r="C65" s="905" t="s">
        <v>843</v>
      </c>
      <c r="D65" s="763" t="s">
        <v>1102</v>
      </c>
      <c r="E65" s="72">
        <f t="shared" si="12"/>
        <v>0</v>
      </c>
      <c r="F65" s="750">
        <v>0</v>
      </c>
      <c r="G65" s="750">
        <v>0</v>
      </c>
      <c r="H65" s="750">
        <v>0</v>
      </c>
      <c r="I65" s="750">
        <f t="shared" si="13"/>
        <v>0</v>
      </c>
      <c r="J65" s="798">
        <f t="shared" si="22"/>
        <v>0</v>
      </c>
      <c r="K65" s="798">
        <f t="shared" si="15"/>
        <v>0</v>
      </c>
      <c r="L65" s="798">
        <f t="shared" si="16"/>
        <v>0</v>
      </c>
      <c r="M65" s="798">
        <f t="shared" si="17"/>
        <v>0</v>
      </c>
      <c r="N65" s="798">
        <f t="shared" si="18"/>
        <v>0</v>
      </c>
      <c r="O65" s="798">
        <f t="shared" si="19"/>
        <v>0</v>
      </c>
      <c r="P65" s="798">
        <f t="shared" si="20"/>
        <v>0</v>
      </c>
      <c r="Q65" s="798"/>
      <c r="R65" s="72"/>
      <c r="S65" s="779"/>
      <c r="T65" s="779"/>
      <c r="U65" s="127"/>
      <c r="V65" s="127"/>
      <c r="W65" s="127"/>
      <c r="X65" s="127"/>
      <c r="Y65" s="779"/>
      <c r="Z65" s="779"/>
      <c r="AA65" s="779"/>
      <c r="AB65" s="779"/>
      <c r="AC65" s="779"/>
      <c r="AD65" s="779"/>
      <c r="AE65" s="779"/>
      <c r="AF65" s="779"/>
      <c r="AG65" s="779"/>
      <c r="AH65" s="779"/>
      <c r="AI65" s="779"/>
      <c r="AJ65" s="779"/>
      <c r="AK65" s="779"/>
      <c r="AL65" s="779"/>
      <c r="AM65" s="779"/>
      <c r="AN65" s="779"/>
      <c r="AO65" s="779"/>
      <c r="AP65" s="779"/>
      <c r="AQ65" s="749"/>
      <c r="AR65" s="749"/>
      <c r="AS65" s="749"/>
      <c r="AT65" s="749"/>
      <c r="AU65" s="749"/>
      <c r="AV65" s="749"/>
      <c r="AW65" s="749"/>
      <c r="AX65" s="749"/>
      <c r="AY65" s="779"/>
      <c r="AZ65" s="779"/>
      <c r="BA65" s="779"/>
      <c r="BB65" s="779"/>
      <c r="BC65" s="779"/>
      <c r="BD65" s="779"/>
      <c r="BE65" s="779"/>
      <c r="BF65" s="779"/>
      <c r="BG65" s="779"/>
      <c r="BH65" s="749"/>
      <c r="BI65" s="749"/>
      <c r="BJ65" s="749"/>
      <c r="BK65" s="749"/>
      <c r="BL65" s="749"/>
      <c r="BM65" s="749"/>
      <c r="BN65" s="749"/>
      <c r="BO65" s="749"/>
      <c r="BP65" s="749"/>
      <c r="BQ65" s="749"/>
      <c r="BR65" s="749"/>
      <c r="BS65" s="749"/>
      <c r="BT65" s="749"/>
      <c r="BU65" s="749"/>
      <c r="BV65" s="749"/>
      <c r="BW65" s="749"/>
      <c r="BX65" s="749"/>
      <c r="BY65" s="749"/>
      <c r="BZ65" s="749"/>
      <c r="CA65" s="749"/>
      <c r="CB65" s="749"/>
      <c r="CC65" s="749"/>
      <c r="CD65" s="749"/>
      <c r="CE65" s="749"/>
      <c r="CF65" s="749"/>
      <c r="CG65" s="749"/>
      <c r="CH65" s="749"/>
      <c r="CI65" s="749"/>
      <c r="CJ65" s="749"/>
      <c r="CK65" s="749"/>
      <c r="CL65" s="749"/>
      <c r="CM65" s="749"/>
      <c r="CN65" s="749"/>
      <c r="CO65" s="749"/>
      <c r="CP65" s="749"/>
      <c r="CQ65" s="749"/>
      <c r="CR65" s="749"/>
      <c r="CS65" s="749"/>
      <c r="CT65" s="749"/>
      <c r="CU65" s="749"/>
      <c r="CV65" s="749"/>
      <c r="CW65" s="749"/>
      <c r="CX65" s="749"/>
      <c r="CY65" s="749"/>
      <c r="CZ65" s="749"/>
      <c r="DA65" s="749"/>
      <c r="DB65" s="749"/>
      <c r="DC65" s="749"/>
      <c r="DD65" s="749"/>
      <c r="DE65" s="749"/>
      <c r="DF65" s="749"/>
      <c r="DG65" s="749"/>
      <c r="DH65" s="749"/>
      <c r="DI65" s="749"/>
      <c r="DJ65" s="749"/>
      <c r="DK65" s="749"/>
      <c r="DL65" s="749"/>
      <c r="DM65" s="749"/>
      <c r="DN65" s="749"/>
      <c r="DO65" s="749"/>
      <c r="DP65" s="749"/>
      <c r="DQ65" s="749"/>
      <c r="DR65" s="749"/>
      <c r="DS65" s="749"/>
      <c r="DT65" s="749"/>
      <c r="DU65" s="749"/>
      <c r="DV65" s="749"/>
      <c r="DW65" s="749"/>
      <c r="DX65" s="749"/>
      <c r="DY65" s="749"/>
      <c r="DZ65" s="749"/>
      <c r="EA65" s="749"/>
      <c r="EB65" s="749"/>
      <c r="EC65" s="749"/>
      <c r="ED65" s="749"/>
      <c r="EE65" s="749"/>
      <c r="EF65" s="749"/>
      <c r="EG65" s="749"/>
      <c r="EH65" s="749"/>
      <c r="EI65" s="749"/>
      <c r="EJ65" s="749"/>
      <c r="EK65" s="749"/>
      <c r="EL65" s="749"/>
      <c r="EM65" s="749"/>
      <c r="EN65" s="749"/>
      <c r="EO65" s="749"/>
      <c r="EP65" s="749"/>
      <c r="EQ65" s="749"/>
      <c r="ER65" s="749"/>
      <c r="ES65" s="749"/>
      <c r="ET65" s="749"/>
      <c r="EU65" s="749"/>
      <c r="EV65" s="749"/>
      <c r="EW65" s="749"/>
      <c r="EX65" s="749"/>
      <c r="EY65" s="839" t="s">
        <v>1103</v>
      </c>
      <c r="EZ65" s="839"/>
      <c r="FA65" s="839"/>
      <c r="FB65" s="840"/>
      <c r="FC65" s="756" t="s">
        <v>847</v>
      </c>
    </row>
    <row r="66" spans="1:159" s="92" customFormat="1" ht="85.5" customHeight="1">
      <c r="A66" s="748"/>
      <c r="B66" s="1663"/>
      <c r="C66" s="759" t="s">
        <v>848</v>
      </c>
      <c r="D66" s="763" t="s">
        <v>1104</v>
      </c>
      <c r="E66" s="72">
        <f t="shared" si="12"/>
        <v>0</v>
      </c>
      <c r="F66" s="750">
        <v>2</v>
      </c>
      <c r="G66" s="750">
        <v>0</v>
      </c>
      <c r="H66" s="750">
        <v>2</v>
      </c>
      <c r="I66" s="798">
        <f t="shared" si="13"/>
        <v>0</v>
      </c>
      <c r="J66" s="798">
        <f t="shared" si="22"/>
        <v>0</v>
      </c>
      <c r="K66" s="798">
        <f t="shared" si="15"/>
        <v>0</v>
      </c>
      <c r="L66" s="798">
        <f t="shared" si="16"/>
        <v>0</v>
      </c>
      <c r="M66" s="798">
        <f t="shared" si="17"/>
        <v>0</v>
      </c>
      <c r="N66" s="798">
        <f t="shared" si="18"/>
        <v>0</v>
      </c>
      <c r="O66" s="798">
        <f t="shared" si="19"/>
        <v>0</v>
      </c>
      <c r="P66" s="798">
        <f t="shared" si="20"/>
        <v>0</v>
      </c>
      <c r="Q66" s="798"/>
      <c r="R66" s="72"/>
      <c r="S66" s="749"/>
      <c r="T66" s="749"/>
      <c r="U66" s="126"/>
      <c r="V66" s="126"/>
      <c r="W66" s="126"/>
      <c r="X66" s="126"/>
      <c r="Y66" s="749"/>
      <c r="Z66" s="749"/>
      <c r="AA66" s="749"/>
      <c r="AB66" s="749"/>
      <c r="AC66" s="749"/>
      <c r="AD66" s="749"/>
      <c r="AE66" s="749"/>
      <c r="AF66" s="749"/>
      <c r="AG66" s="749"/>
      <c r="AH66" s="749"/>
      <c r="AI66" s="749"/>
      <c r="AJ66" s="749"/>
      <c r="AK66" s="749"/>
      <c r="AL66" s="749"/>
      <c r="AM66" s="749"/>
      <c r="AN66" s="749"/>
      <c r="AO66" s="749"/>
      <c r="AP66" s="749"/>
      <c r="AQ66" s="749"/>
      <c r="AR66" s="749"/>
      <c r="AS66" s="749"/>
      <c r="AT66" s="749"/>
      <c r="AU66" s="749"/>
      <c r="AV66" s="749"/>
      <c r="AW66" s="749"/>
      <c r="AX66" s="749"/>
      <c r="AY66" s="749"/>
      <c r="AZ66" s="749"/>
      <c r="BA66" s="749"/>
      <c r="BB66" s="749"/>
      <c r="BC66" s="749"/>
      <c r="BD66" s="749"/>
      <c r="BE66" s="749"/>
      <c r="BF66" s="749"/>
      <c r="BG66" s="749"/>
      <c r="BH66" s="749"/>
      <c r="BI66" s="749"/>
      <c r="BJ66" s="749"/>
      <c r="BK66" s="749"/>
      <c r="BL66" s="749"/>
      <c r="BM66" s="749"/>
      <c r="BN66" s="749"/>
      <c r="BO66" s="749"/>
      <c r="BP66" s="749"/>
      <c r="BQ66" s="749"/>
      <c r="BR66" s="749"/>
      <c r="BS66" s="749"/>
      <c r="BT66" s="749"/>
      <c r="BU66" s="749"/>
      <c r="BV66" s="749"/>
      <c r="BW66" s="749"/>
      <c r="BX66" s="749"/>
      <c r="BY66" s="749"/>
      <c r="BZ66" s="749"/>
      <c r="CA66" s="749"/>
      <c r="CB66" s="749"/>
      <c r="CC66" s="749"/>
      <c r="CD66" s="749"/>
      <c r="CE66" s="749"/>
      <c r="CF66" s="749"/>
      <c r="CG66" s="749"/>
      <c r="CH66" s="749"/>
      <c r="CI66" s="749"/>
      <c r="CJ66" s="749"/>
      <c r="CK66" s="749"/>
      <c r="CL66" s="749"/>
      <c r="CM66" s="749"/>
      <c r="CN66" s="749"/>
      <c r="CO66" s="749"/>
      <c r="CP66" s="749"/>
      <c r="CQ66" s="749"/>
      <c r="CR66" s="749"/>
      <c r="CS66" s="749"/>
      <c r="CT66" s="749"/>
      <c r="CU66" s="749"/>
      <c r="CV66" s="749"/>
      <c r="CW66" s="749"/>
      <c r="CX66" s="749"/>
      <c r="CY66" s="749"/>
      <c r="CZ66" s="749"/>
      <c r="DA66" s="749"/>
      <c r="DB66" s="749"/>
      <c r="DC66" s="749"/>
      <c r="DD66" s="749"/>
      <c r="DE66" s="749"/>
      <c r="DF66" s="749"/>
      <c r="DG66" s="749"/>
      <c r="DH66" s="749"/>
      <c r="DI66" s="749"/>
      <c r="DJ66" s="749"/>
      <c r="DK66" s="749"/>
      <c r="DL66" s="749"/>
      <c r="DM66" s="749"/>
      <c r="DN66" s="749"/>
      <c r="DO66" s="749"/>
      <c r="DP66" s="749"/>
      <c r="DQ66" s="749"/>
      <c r="DR66" s="749"/>
      <c r="DS66" s="749"/>
      <c r="DT66" s="749"/>
      <c r="DU66" s="749"/>
      <c r="DV66" s="749"/>
      <c r="DW66" s="749"/>
      <c r="DX66" s="749"/>
      <c r="DY66" s="749"/>
      <c r="DZ66" s="749"/>
      <c r="EA66" s="749"/>
      <c r="EB66" s="749"/>
      <c r="EC66" s="749"/>
      <c r="ED66" s="749"/>
      <c r="EE66" s="749"/>
      <c r="EF66" s="749"/>
      <c r="EG66" s="749"/>
      <c r="EH66" s="749"/>
      <c r="EI66" s="749"/>
      <c r="EJ66" s="749"/>
      <c r="EK66" s="749"/>
      <c r="EL66" s="749"/>
      <c r="EM66" s="749"/>
      <c r="EN66" s="749"/>
      <c r="EO66" s="749"/>
      <c r="EP66" s="749"/>
      <c r="EQ66" s="749"/>
      <c r="ER66" s="749"/>
      <c r="ES66" s="749"/>
      <c r="ET66" s="749"/>
      <c r="EU66" s="749"/>
      <c r="EV66" s="749"/>
      <c r="EW66" s="749"/>
      <c r="EX66" s="749"/>
      <c r="EY66" s="839" t="s">
        <v>1220</v>
      </c>
      <c r="EZ66" s="839" t="s">
        <v>1221</v>
      </c>
      <c r="FA66" s="839" t="s">
        <v>1222</v>
      </c>
      <c r="FB66" s="840"/>
      <c r="FC66" s="756" t="s">
        <v>1219</v>
      </c>
    </row>
    <row r="67" spans="1:159" s="92" customFormat="1" ht="85.5" customHeight="1">
      <c r="A67" s="748"/>
      <c r="B67" s="1663"/>
      <c r="C67" s="759"/>
      <c r="D67" s="763" t="s">
        <v>1408</v>
      </c>
      <c r="E67" s="72">
        <f t="shared" si="12"/>
        <v>2</v>
      </c>
      <c r="F67" s="750">
        <v>0</v>
      </c>
      <c r="G67" s="750">
        <v>0</v>
      </c>
      <c r="H67" s="750">
        <v>0</v>
      </c>
      <c r="I67" s="750">
        <v>0</v>
      </c>
      <c r="J67" s="750">
        <v>0</v>
      </c>
      <c r="K67" s="798">
        <f t="shared" si="15"/>
        <v>0</v>
      </c>
      <c r="L67" s="798">
        <f t="shared" si="16"/>
        <v>2</v>
      </c>
      <c r="M67" s="798">
        <f t="shared" si="17"/>
        <v>0</v>
      </c>
      <c r="N67" s="798">
        <f t="shared" si="18"/>
        <v>0</v>
      </c>
      <c r="O67" s="798">
        <f t="shared" si="19"/>
        <v>0</v>
      </c>
      <c r="P67" s="798">
        <f t="shared" si="20"/>
        <v>0</v>
      </c>
      <c r="Q67" s="798"/>
      <c r="R67" s="750"/>
      <c r="S67" s="749"/>
      <c r="T67" s="749"/>
      <c r="U67" s="749"/>
      <c r="V67" s="749"/>
      <c r="W67" s="749"/>
      <c r="X67" s="749"/>
      <c r="Y67" s="749"/>
      <c r="Z67" s="749"/>
      <c r="AA67" s="749"/>
      <c r="AB67" s="749"/>
      <c r="AC67" s="749"/>
      <c r="AD67" s="749"/>
      <c r="AE67" s="749"/>
      <c r="AF67" s="749"/>
      <c r="AG67" s="749"/>
      <c r="AH67" s="749"/>
      <c r="AI67" s="749"/>
      <c r="AJ67" s="749"/>
      <c r="AK67" s="749"/>
      <c r="AL67" s="749"/>
      <c r="AM67" s="749"/>
      <c r="AN67" s="749"/>
      <c r="AO67" s="749"/>
      <c r="AP67" s="749"/>
      <c r="AQ67" s="749"/>
      <c r="AR67" s="749"/>
      <c r="AS67" s="749"/>
      <c r="AT67" s="749"/>
      <c r="AU67" s="749"/>
      <c r="AV67" s="749"/>
      <c r="AW67" s="749"/>
      <c r="AX67" s="749"/>
      <c r="AY67" s="749"/>
      <c r="AZ67" s="749"/>
      <c r="BA67" s="749"/>
      <c r="BB67" s="749"/>
      <c r="BC67" s="749"/>
      <c r="BD67" s="749"/>
      <c r="BE67" s="749"/>
      <c r="BF67" s="749"/>
      <c r="BG67" s="749"/>
      <c r="BH67" s="749"/>
      <c r="BI67" s="749"/>
      <c r="BJ67" s="749"/>
      <c r="BK67" s="749"/>
      <c r="BL67" s="749"/>
      <c r="BM67" s="749"/>
      <c r="BN67" s="749"/>
      <c r="BO67" s="749"/>
      <c r="BP67" s="749"/>
      <c r="BQ67" s="749"/>
      <c r="BR67" s="749"/>
      <c r="BS67" s="749"/>
      <c r="BT67" s="749"/>
      <c r="BU67" s="749"/>
      <c r="BV67" s="749"/>
      <c r="BW67" s="749"/>
      <c r="BX67" s="749"/>
      <c r="BY67" s="749"/>
      <c r="BZ67" s="749"/>
      <c r="CA67" s="749"/>
      <c r="CB67" s="749"/>
      <c r="CC67" s="749"/>
      <c r="CD67" s="749"/>
      <c r="CE67" s="749"/>
      <c r="CF67" s="749"/>
      <c r="CG67" s="749"/>
      <c r="CH67" s="749"/>
      <c r="CI67" s="749"/>
      <c r="CJ67" s="749"/>
      <c r="CK67" s="749"/>
      <c r="CL67" s="749"/>
      <c r="CM67" s="749"/>
      <c r="CN67" s="749"/>
      <c r="CO67" s="749"/>
      <c r="CP67" s="749"/>
      <c r="CQ67" s="749"/>
      <c r="CR67" s="749"/>
      <c r="CS67" s="749"/>
      <c r="CT67" s="749"/>
      <c r="CU67" s="749"/>
      <c r="CV67" s="749"/>
      <c r="CW67" s="749"/>
      <c r="CX67" s="749"/>
      <c r="CY67" s="749"/>
      <c r="CZ67" s="749"/>
      <c r="DA67" s="749"/>
      <c r="DB67" s="749"/>
      <c r="DC67" s="749"/>
      <c r="DD67" s="749"/>
      <c r="DE67" s="749"/>
      <c r="DF67" s="749"/>
      <c r="DG67" s="749"/>
      <c r="DH67" s="749"/>
      <c r="DI67" s="749"/>
      <c r="DJ67" s="749"/>
      <c r="DK67" s="749"/>
      <c r="DL67" s="749"/>
      <c r="DM67" s="749"/>
      <c r="DN67" s="749"/>
      <c r="DO67" s="749"/>
      <c r="DP67" s="749">
        <v>2</v>
      </c>
      <c r="DQ67" s="749"/>
      <c r="DR67" s="749"/>
      <c r="DS67" s="749"/>
      <c r="DT67" s="749"/>
      <c r="DU67" s="749"/>
      <c r="DV67" s="749"/>
      <c r="DW67" s="749"/>
      <c r="DX67" s="749"/>
      <c r="DY67" s="749"/>
      <c r="DZ67" s="749"/>
      <c r="EA67" s="749"/>
      <c r="EB67" s="749"/>
      <c r="EC67" s="749"/>
      <c r="ED67" s="749"/>
      <c r="EE67" s="749"/>
      <c r="EF67" s="749"/>
      <c r="EG67" s="749"/>
      <c r="EH67" s="749"/>
      <c r="EI67" s="749"/>
      <c r="EJ67" s="749"/>
      <c r="EK67" s="749"/>
      <c r="EL67" s="749"/>
      <c r="EM67" s="749"/>
      <c r="EN67" s="749"/>
      <c r="EO67" s="749"/>
      <c r="EP67" s="749"/>
      <c r="EQ67" s="749"/>
      <c r="ER67" s="749"/>
      <c r="ES67" s="749"/>
      <c r="ET67" s="749"/>
      <c r="EU67" s="749"/>
      <c r="EV67" s="749"/>
      <c r="EW67" s="749"/>
      <c r="EX67" s="749"/>
      <c r="EY67" s="839"/>
      <c r="EZ67" s="839" t="s">
        <v>1413</v>
      </c>
      <c r="FA67" s="839"/>
      <c r="FB67" s="840"/>
      <c r="FC67" s="756" t="s">
        <v>1414</v>
      </c>
    </row>
    <row r="68" spans="1:159" s="92" customFormat="1" ht="85.5" customHeight="1">
      <c r="A68" s="748"/>
      <c r="B68" s="1663"/>
      <c r="C68" s="759" t="s">
        <v>1150</v>
      </c>
      <c r="D68" s="763" t="s">
        <v>1424</v>
      </c>
      <c r="E68" s="72">
        <f t="shared" si="12"/>
        <v>1</v>
      </c>
      <c r="F68" s="750">
        <v>0</v>
      </c>
      <c r="G68" s="750">
        <v>0</v>
      </c>
      <c r="H68" s="750">
        <v>0</v>
      </c>
      <c r="I68" s="750">
        <v>0</v>
      </c>
      <c r="J68" s="750">
        <v>0</v>
      </c>
      <c r="K68" s="798">
        <f t="shared" si="15"/>
        <v>0</v>
      </c>
      <c r="L68" s="798">
        <f t="shared" si="16"/>
        <v>1</v>
      </c>
      <c r="M68" s="798">
        <f t="shared" si="17"/>
        <v>0</v>
      </c>
      <c r="N68" s="798">
        <f t="shared" si="18"/>
        <v>0</v>
      </c>
      <c r="O68" s="798">
        <f t="shared" si="19"/>
        <v>0</v>
      </c>
      <c r="P68" s="798">
        <f t="shared" si="20"/>
        <v>0</v>
      </c>
      <c r="Q68" s="798"/>
      <c r="R68" s="750"/>
      <c r="S68" s="749"/>
      <c r="T68" s="749"/>
      <c r="U68" s="749"/>
      <c r="V68" s="749"/>
      <c r="W68" s="749"/>
      <c r="X68" s="749"/>
      <c r="Y68" s="749"/>
      <c r="Z68" s="749"/>
      <c r="AA68" s="749"/>
      <c r="AB68" s="749"/>
      <c r="AC68" s="749"/>
      <c r="AD68" s="749"/>
      <c r="AE68" s="749"/>
      <c r="AF68" s="749"/>
      <c r="AG68" s="749"/>
      <c r="AH68" s="749"/>
      <c r="AI68" s="749"/>
      <c r="AJ68" s="749"/>
      <c r="AK68" s="749"/>
      <c r="AL68" s="749"/>
      <c r="AM68" s="749"/>
      <c r="AN68" s="749"/>
      <c r="AO68" s="749"/>
      <c r="AP68" s="749"/>
      <c r="AQ68" s="749"/>
      <c r="AR68" s="749"/>
      <c r="AS68" s="749"/>
      <c r="AT68" s="749"/>
      <c r="AU68" s="749"/>
      <c r="AV68" s="749"/>
      <c r="AW68" s="749"/>
      <c r="AX68" s="749"/>
      <c r="AY68" s="749"/>
      <c r="AZ68" s="749"/>
      <c r="BA68" s="749"/>
      <c r="BB68" s="749"/>
      <c r="BC68" s="749"/>
      <c r="BD68" s="749"/>
      <c r="BE68" s="749"/>
      <c r="BF68" s="749"/>
      <c r="BG68" s="749"/>
      <c r="BH68" s="749"/>
      <c r="BI68" s="749"/>
      <c r="BJ68" s="749"/>
      <c r="BK68" s="749"/>
      <c r="BL68" s="749"/>
      <c r="BM68" s="749"/>
      <c r="BN68" s="749"/>
      <c r="BO68" s="749"/>
      <c r="BP68" s="749"/>
      <c r="BQ68" s="749"/>
      <c r="BR68" s="749"/>
      <c r="BS68" s="749"/>
      <c r="BT68" s="749"/>
      <c r="BU68" s="749"/>
      <c r="BV68" s="749"/>
      <c r="BW68" s="749"/>
      <c r="BX68" s="749"/>
      <c r="BY68" s="749"/>
      <c r="BZ68" s="749"/>
      <c r="CA68" s="749"/>
      <c r="CB68" s="749"/>
      <c r="CC68" s="749"/>
      <c r="CD68" s="749"/>
      <c r="CE68" s="749"/>
      <c r="CF68" s="749"/>
      <c r="CG68" s="749"/>
      <c r="CH68" s="749"/>
      <c r="CI68" s="749"/>
      <c r="CJ68" s="749"/>
      <c r="CK68" s="749"/>
      <c r="CL68" s="749"/>
      <c r="CM68" s="749"/>
      <c r="CN68" s="749"/>
      <c r="CO68" s="749"/>
      <c r="CP68" s="749"/>
      <c r="CQ68" s="749"/>
      <c r="CR68" s="749"/>
      <c r="CS68" s="749"/>
      <c r="CT68" s="749"/>
      <c r="CU68" s="749"/>
      <c r="CV68" s="749"/>
      <c r="CW68" s="749"/>
      <c r="CX68" s="749"/>
      <c r="CY68" s="749"/>
      <c r="CZ68" s="749"/>
      <c r="DA68" s="749"/>
      <c r="DB68" s="749"/>
      <c r="DC68" s="749"/>
      <c r="DD68" s="749"/>
      <c r="DE68" s="749"/>
      <c r="DF68" s="749"/>
      <c r="DG68" s="749"/>
      <c r="DH68" s="749"/>
      <c r="DI68" s="749"/>
      <c r="DJ68" s="749"/>
      <c r="DK68" s="749"/>
      <c r="DL68" s="749"/>
      <c r="DM68" s="749"/>
      <c r="DN68" s="749"/>
      <c r="DO68" s="749"/>
      <c r="DP68" s="749"/>
      <c r="DQ68" s="749"/>
      <c r="DR68" s="749"/>
      <c r="DS68" s="749"/>
      <c r="DT68" s="749"/>
      <c r="DU68" s="749"/>
      <c r="DV68" s="749">
        <v>1</v>
      </c>
      <c r="DW68" s="749"/>
      <c r="DX68" s="749"/>
      <c r="DY68" s="749"/>
      <c r="DZ68" s="749"/>
      <c r="EA68" s="749"/>
      <c r="EB68" s="749"/>
      <c r="EC68" s="749"/>
      <c r="ED68" s="749"/>
      <c r="EE68" s="749"/>
      <c r="EF68" s="749"/>
      <c r="EG68" s="749"/>
      <c r="EH68" s="749"/>
      <c r="EI68" s="749"/>
      <c r="EJ68" s="749"/>
      <c r="EK68" s="749"/>
      <c r="EL68" s="749"/>
      <c r="EM68" s="749"/>
      <c r="EN68" s="749"/>
      <c r="EO68" s="749"/>
      <c r="EP68" s="749"/>
      <c r="EQ68" s="749"/>
      <c r="ER68" s="749"/>
      <c r="ES68" s="749"/>
      <c r="ET68" s="749"/>
      <c r="EU68" s="749"/>
      <c r="EV68" s="749"/>
      <c r="EW68" s="749"/>
      <c r="EX68" s="749"/>
      <c r="EY68" s="839"/>
      <c r="EZ68" s="839"/>
      <c r="FA68" s="839"/>
      <c r="FB68" s="840"/>
      <c r="FC68" s="756"/>
    </row>
    <row r="69" spans="1:159" s="92" customFormat="1" ht="97.5" customHeight="1">
      <c r="A69" s="748"/>
      <c r="B69" s="1663"/>
      <c r="C69" s="759" t="s">
        <v>1182</v>
      </c>
      <c r="D69" s="763" t="s">
        <v>1183</v>
      </c>
      <c r="E69" s="72">
        <f t="shared" si="12"/>
        <v>0</v>
      </c>
      <c r="F69" s="750">
        <v>0</v>
      </c>
      <c r="G69" s="798" t="e">
        <f>SUM(#REF!)</f>
        <v>#REF!</v>
      </c>
      <c r="H69" s="798">
        <f>SUM(S69:EX69)</f>
        <v>0</v>
      </c>
      <c r="I69" s="798">
        <f t="shared" si="13"/>
        <v>0</v>
      </c>
      <c r="J69" s="798">
        <f t="shared" si="22"/>
        <v>0</v>
      </c>
      <c r="K69" s="798">
        <f t="shared" si="15"/>
        <v>0</v>
      </c>
      <c r="L69" s="798">
        <f t="shared" si="16"/>
        <v>0</v>
      </c>
      <c r="M69" s="798">
        <f t="shared" si="17"/>
        <v>0</v>
      </c>
      <c r="N69" s="798">
        <f t="shared" si="18"/>
        <v>0</v>
      </c>
      <c r="O69" s="798">
        <f t="shared" si="19"/>
        <v>0</v>
      </c>
      <c r="P69" s="798">
        <f t="shared" si="20"/>
        <v>0</v>
      </c>
      <c r="Q69" s="798"/>
      <c r="R69" s="72"/>
      <c r="S69" s="749"/>
      <c r="T69" s="749"/>
      <c r="U69" s="126"/>
      <c r="V69" s="126"/>
      <c r="W69" s="126"/>
      <c r="X69" s="126"/>
      <c r="Y69" s="749"/>
      <c r="Z69" s="749"/>
      <c r="AA69" s="749"/>
      <c r="AB69" s="749"/>
      <c r="AC69" s="749"/>
      <c r="AD69" s="749"/>
      <c r="AE69" s="749"/>
      <c r="AF69" s="749"/>
      <c r="AG69" s="749"/>
      <c r="AH69" s="749"/>
      <c r="AI69" s="749"/>
      <c r="AJ69" s="749"/>
      <c r="AK69" s="749"/>
      <c r="AL69" s="749"/>
      <c r="AM69" s="749"/>
      <c r="AN69" s="749"/>
      <c r="AO69" s="749"/>
      <c r="AP69" s="749"/>
      <c r="AQ69" s="749"/>
      <c r="AR69" s="749"/>
      <c r="AS69" s="749"/>
      <c r="AT69" s="749"/>
      <c r="AU69" s="749"/>
      <c r="AV69" s="749"/>
      <c r="AW69" s="749"/>
      <c r="AX69" s="749"/>
      <c r="AY69" s="749"/>
      <c r="AZ69" s="749"/>
      <c r="BA69" s="749"/>
      <c r="BB69" s="749"/>
      <c r="BC69" s="749"/>
      <c r="BD69" s="749"/>
      <c r="BE69" s="749"/>
      <c r="BF69" s="749"/>
      <c r="BG69" s="749"/>
      <c r="BH69" s="749"/>
      <c r="BI69" s="749"/>
      <c r="BJ69" s="749"/>
      <c r="BK69" s="749"/>
      <c r="BL69" s="749"/>
      <c r="BM69" s="749"/>
      <c r="BN69" s="749"/>
      <c r="BO69" s="749"/>
      <c r="BP69" s="749"/>
      <c r="BQ69" s="749"/>
      <c r="BR69" s="749"/>
      <c r="BS69" s="749"/>
      <c r="BT69" s="749"/>
      <c r="BU69" s="749"/>
      <c r="BV69" s="749"/>
      <c r="BW69" s="749"/>
      <c r="BX69" s="749"/>
      <c r="BY69" s="749"/>
      <c r="BZ69" s="749"/>
      <c r="CA69" s="749"/>
      <c r="CB69" s="749"/>
      <c r="CC69" s="749"/>
      <c r="CD69" s="749"/>
      <c r="CE69" s="749"/>
      <c r="CF69" s="749"/>
      <c r="CG69" s="749"/>
      <c r="CH69" s="749"/>
      <c r="CI69" s="749"/>
      <c r="CJ69" s="749"/>
      <c r="CK69" s="749"/>
      <c r="CL69" s="749"/>
      <c r="CM69" s="749"/>
      <c r="CN69" s="749"/>
      <c r="CO69" s="749"/>
      <c r="CP69" s="749"/>
      <c r="CQ69" s="749"/>
      <c r="CR69" s="749"/>
      <c r="CS69" s="749"/>
      <c r="CT69" s="749"/>
      <c r="CU69" s="749"/>
      <c r="CV69" s="749"/>
      <c r="CW69" s="749"/>
      <c r="CX69" s="749"/>
      <c r="CY69" s="749"/>
      <c r="CZ69" s="749"/>
      <c r="DA69" s="749"/>
      <c r="DB69" s="749"/>
      <c r="DC69" s="749"/>
      <c r="DD69" s="749"/>
      <c r="DE69" s="749"/>
      <c r="DF69" s="749"/>
      <c r="DG69" s="749"/>
      <c r="DH69" s="749"/>
      <c r="DI69" s="749"/>
      <c r="DJ69" s="749"/>
      <c r="DK69" s="749"/>
      <c r="DL69" s="749"/>
      <c r="DM69" s="749"/>
      <c r="DN69" s="749"/>
      <c r="DO69" s="749"/>
      <c r="DP69" s="749"/>
      <c r="DQ69" s="749"/>
      <c r="DR69" s="749"/>
      <c r="DS69" s="749"/>
      <c r="DT69" s="749"/>
      <c r="DU69" s="749"/>
      <c r="DV69" s="749"/>
      <c r="DW69" s="749"/>
      <c r="DX69" s="749"/>
      <c r="DY69" s="749"/>
      <c r="DZ69" s="749"/>
      <c r="EA69" s="749"/>
      <c r="EB69" s="749"/>
      <c r="EC69" s="749"/>
      <c r="ED69" s="749"/>
      <c r="EE69" s="749"/>
      <c r="EF69" s="749"/>
      <c r="EG69" s="749"/>
      <c r="EH69" s="749"/>
      <c r="EI69" s="749"/>
      <c r="EJ69" s="749"/>
      <c r="EK69" s="749"/>
      <c r="EL69" s="749"/>
      <c r="EM69" s="749"/>
      <c r="EN69" s="749"/>
      <c r="EO69" s="749"/>
      <c r="EP69" s="749"/>
      <c r="EQ69" s="749"/>
      <c r="ER69" s="749"/>
      <c r="ES69" s="749"/>
      <c r="ET69" s="749"/>
      <c r="EU69" s="749"/>
      <c r="EV69" s="749"/>
      <c r="EW69" s="749"/>
      <c r="EX69" s="749"/>
      <c r="EY69" s="839" t="s">
        <v>1184</v>
      </c>
      <c r="EZ69" s="839"/>
      <c r="FA69" s="839"/>
      <c r="FB69" s="840"/>
      <c r="FC69" s="756" t="s">
        <v>1185</v>
      </c>
    </row>
    <row r="70" spans="1:159" s="92" customFormat="1" ht="51" customHeight="1">
      <c r="A70" s="835">
        <v>4</v>
      </c>
      <c r="B70" s="1659"/>
      <c r="C70" s="111" t="s">
        <v>843</v>
      </c>
      <c r="D70" s="836" t="s">
        <v>1105</v>
      </c>
      <c r="E70" s="72">
        <f t="shared" si="12"/>
        <v>0</v>
      </c>
      <c r="F70" s="73">
        <v>0</v>
      </c>
      <c r="G70" s="798">
        <v>0</v>
      </c>
      <c r="H70" s="750">
        <v>0</v>
      </c>
      <c r="I70" s="798">
        <f t="shared" si="13"/>
        <v>0</v>
      </c>
      <c r="J70" s="798">
        <f t="shared" si="22"/>
        <v>0</v>
      </c>
      <c r="K70" s="798">
        <f t="shared" si="15"/>
        <v>0</v>
      </c>
      <c r="L70" s="798">
        <f t="shared" si="16"/>
        <v>0</v>
      </c>
      <c r="M70" s="798">
        <f t="shared" si="17"/>
        <v>0</v>
      </c>
      <c r="N70" s="798">
        <f t="shared" si="18"/>
        <v>0</v>
      </c>
      <c r="O70" s="798">
        <f t="shared" si="19"/>
        <v>0</v>
      </c>
      <c r="P70" s="798">
        <f t="shared" si="20"/>
        <v>0</v>
      </c>
      <c r="Q70" s="798"/>
      <c r="R70" s="72"/>
      <c r="S70" s="132"/>
      <c r="T70" s="132"/>
      <c r="U70" s="965"/>
      <c r="V70" s="965"/>
      <c r="W70" s="965"/>
      <c r="X70" s="965"/>
      <c r="Y70" s="965"/>
      <c r="Z70" s="965"/>
      <c r="AA70" s="965"/>
      <c r="AB70" s="965"/>
      <c r="AC70" s="965"/>
      <c r="AD70" s="965"/>
      <c r="AE70" s="965"/>
      <c r="AF70" s="965"/>
      <c r="AG70" s="965"/>
      <c r="AH70" s="965"/>
      <c r="AI70" s="965"/>
      <c r="AJ70" s="965"/>
      <c r="AK70" s="965"/>
      <c r="AL70" s="965"/>
      <c r="AM70" s="965"/>
      <c r="AN70" s="965"/>
      <c r="AO70" s="965"/>
      <c r="AP70" s="965"/>
      <c r="AQ70" s="965"/>
      <c r="AR70" s="965"/>
      <c r="AS70" s="965"/>
      <c r="AT70" s="965"/>
      <c r="AU70" s="965"/>
      <c r="AV70" s="965"/>
      <c r="AW70" s="132"/>
      <c r="AX70" s="965"/>
      <c r="AY70" s="965"/>
      <c r="AZ70" s="965"/>
      <c r="BA70" s="965"/>
      <c r="BB70" s="965"/>
      <c r="BC70" s="965"/>
      <c r="BD70" s="965"/>
      <c r="BE70" s="965"/>
      <c r="BF70" s="965"/>
      <c r="BG70" s="965"/>
      <c r="BH70" s="965"/>
      <c r="BI70" s="965"/>
      <c r="BJ70" s="965"/>
      <c r="BK70" s="132"/>
      <c r="BL70" s="965"/>
      <c r="BM70" s="965"/>
      <c r="BN70" s="965"/>
      <c r="BO70" s="965"/>
      <c r="BP70" s="965"/>
      <c r="BQ70" s="965"/>
      <c r="BR70" s="965"/>
      <c r="BS70" s="965"/>
      <c r="BT70" s="965"/>
      <c r="BU70" s="965"/>
      <c r="BV70" s="965"/>
      <c r="BW70" s="965"/>
      <c r="BX70" s="965"/>
      <c r="BY70" s="965"/>
      <c r="BZ70" s="965"/>
      <c r="CA70" s="965"/>
      <c r="CB70" s="965"/>
      <c r="CC70" s="965"/>
      <c r="CD70" s="965"/>
      <c r="CE70" s="965"/>
      <c r="CF70" s="965"/>
      <c r="CG70" s="965"/>
      <c r="CH70" s="965"/>
      <c r="CI70" s="965"/>
      <c r="CJ70" s="965"/>
      <c r="CK70" s="965"/>
      <c r="CL70" s="965"/>
      <c r="CM70" s="965"/>
      <c r="CN70" s="965"/>
      <c r="CO70" s="965"/>
      <c r="CP70" s="965"/>
      <c r="CQ70" s="965"/>
      <c r="CR70" s="965"/>
      <c r="CS70" s="965"/>
      <c r="CT70" s="132"/>
      <c r="CU70" s="965"/>
      <c r="CV70" s="965"/>
      <c r="CW70" s="965"/>
      <c r="CX70" s="965"/>
      <c r="CY70" s="965"/>
      <c r="CZ70" s="965"/>
      <c r="DA70" s="965"/>
      <c r="DB70" s="965"/>
      <c r="DC70" s="965"/>
      <c r="DD70" s="965"/>
      <c r="DE70" s="965"/>
      <c r="DF70" s="965"/>
      <c r="DG70" s="965"/>
      <c r="DH70" s="965"/>
      <c r="DI70" s="965"/>
      <c r="DJ70" s="965"/>
      <c r="DK70" s="965"/>
      <c r="DL70" s="965"/>
      <c r="DM70" s="965"/>
      <c r="DN70" s="965"/>
      <c r="DO70" s="965"/>
      <c r="DP70" s="965"/>
      <c r="DQ70" s="965"/>
      <c r="DR70" s="965"/>
      <c r="DS70" s="965"/>
      <c r="DT70" s="965"/>
      <c r="DU70" s="965"/>
      <c r="DV70" s="132"/>
      <c r="DW70" s="132"/>
      <c r="DX70" s="965"/>
      <c r="DY70" s="965"/>
      <c r="DZ70" s="965"/>
      <c r="EA70" s="965"/>
      <c r="EB70" s="965"/>
      <c r="EC70" s="965"/>
      <c r="ED70" s="965"/>
      <c r="EE70" s="965"/>
      <c r="EF70" s="965"/>
      <c r="EG70" s="965"/>
      <c r="EH70" s="965"/>
      <c r="EI70" s="965"/>
      <c r="EJ70" s="965"/>
      <c r="EK70" s="965"/>
      <c r="EL70" s="965"/>
      <c r="EM70" s="965"/>
      <c r="EN70" s="965"/>
      <c r="EO70" s="965"/>
      <c r="EP70" s="965"/>
      <c r="EQ70" s="132"/>
      <c r="ER70" s="965"/>
      <c r="ES70" s="965"/>
      <c r="ET70" s="965"/>
      <c r="EU70" s="965"/>
      <c r="EV70" s="965"/>
      <c r="EW70" s="965"/>
      <c r="EX70" s="132"/>
      <c r="EY70" s="837" t="s">
        <v>1106</v>
      </c>
      <c r="EZ70" s="837"/>
      <c r="FA70" s="837"/>
      <c r="FB70" s="838"/>
      <c r="FC70" s="175" t="s">
        <v>861</v>
      </c>
    </row>
    <row r="71" spans="1:159" s="93" customFormat="1" ht="40.5" customHeight="1">
      <c r="A71" s="808">
        <v>5</v>
      </c>
      <c r="B71" s="1663"/>
      <c r="C71" s="809" t="s">
        <v>843</v>
      </c>
      <c r="D71" s="810" t="s">
        <v>1289</v>
      </c>
      <c r="E71" s="72">
        <f t="shared" si="12"/>
        <v>1</v>
      </c>
      <c r="F71" s="750">
        <v>0</v>
      </c>
      <c r="G71" s="798">
        <v>0</v>
      </c>
      <c r="H71" s="750">
        <v>0</v>
      </c>
      <c r="I71" s="798">
        <f t="shared" si="13"/>
        <v>1</v>
      </c>
      <c r="J71" s="798">
        <f t="shared" si="22"/>
        <v>0</v>
      </c>
      <c r="K71" s="798">
        <f t="shared" si="15"/>
        <v>0</v>
      </c>
      <c r="L71" s="798">
        <f t="shared" si="16"/>
        <v>0</v>
      </c>
      <c r="M71" s="798">
        <f t="shared" si="17"/>
        <v>0</v>
      </c>
      <c r="N71" s="798">
        <f t="shared" si="18"/>
        <v>0</v>
      </c>
      <c r="O71" s="798">
        <f t="shared" si="19"/>
        <v>0</v>
      </c>
      <c r="P71" s="798">
        <f t="shared" si="20"/>
        <v>0</v>
      </c>
      <c r="Q71" s="798"/>
      <c r="R71" s="72"/>
      <c r="S71" s="748"/>
      <c r="T71" s="748"/>
      <c r="U71" s="55"/>
      <c r="V71" s="55"/>
      <c r="W71" s="55"/>
      <c r="X71" s="55"/>
      <c r="Y71" s="748"/>
      <c r="Z71" s="748"/>
      <c r="AA71" s="748"/>
      <c r="AB71" s="748"/>
      <c r="AC71" s="748"/>
      <c r="AD71" s="748"/>
      <c r="AE71" s="748"/>
      <c r="AF71" s="748"/>
      <c r="AG71" s="748"/>
      <c r="AH71" s="748"/>
      <c r="AI71" s="748"/>
      <c r="AJ71" s="748"/>
      <c r="AK71" s="748"/>
      <c r="AL71" s="748"/>
      <c r="AM71" s="748"/>
      <c r="AN71" s="748"/>
      <c r="AO71" s="748"/>
      <c r="AP71" s="748"/>
      <c r="AQ71" s="748"/>
      <c r="AR71" s="748">
        <v>1</v>
      </c>
      <c r="AS71" s="748"/>
      <c r="AT71" s="748"/>
      <c r="AU71" s="748"/>
      <c r="AV71" s="748"/>
      <c r="AW71" s="748"/>
      <c r="AX71" s="748"/>
      <c r="AY71" s="748"/>
      <c r="AZ71" s="748"/>
      <c r="BA71" s="748"/>
      <c r="BB71" s="748"/>
      <c r="BC71" s="748"/>
      <c r="BD71" s="748"/>
      <c r="BE71" s="748"/>
      <c r="BF71" s="748"/>
      <c r="BG71" s="748"/>
      <c r="BH71" s="748"/>
      <c r="BI71" s="748"/>
      <c r="BJ71" s="748"/>
      <c r="BK71" s="748"/>
      <c r="BL71" s="748"/>
      <c r="BM71" s="748"/>
      <c r="BN71" s="748"/>
      <c r="BO71" s="748"/>
      <c r="BP71" s="748"/>
      <c r="BQ71" s="748"/>
      <c r="BR71" s="748"/>
      <c r="BS71" s="748"/>
      <c r="BT71" s="748"/>
      <c r="BU71" s="748"/>
      <c r="BV71" s="748"/>
      <c r="BW71" s="748"/>
      <c r="BX71" s="748"/>
      <c r="BY71" s="748"/>
      <c r="BZ71" s="748"/>
      <c r="CA71" s="748"/>
      <c r="CB71" s="748"/>
      <c r="CC71" s="748"/>
      <c r="CD71" s="748"/>
      <c r="CE71" s="748"/>
      <c r="CF71" s="748"/>
      <c r="CG71" s="748"/>
      <c r="CH71" s="748"/>
      <c r="CI71" s="748"/>
      <c r="CJ71" s="748"/>
      <c r="CK71" s="748"/>
      <c r="CL71" s="748"/>
      <c r="CM71" s="748"/>
      <c r="CN71" s="748"/>
      <c r="CO71" s="748"/>
      <c r="CP71" s="748"/>
      <c r="CQ71" s="748"/>
      <c r="CR71" s="748"/>
      <c r="CS71" s="748"/>
      <c r="CT71" s="748"/>
      <c r="CU71" s="748"/>
      <c r="CV71" s="748"/>
      <c r="CW71" s="748"/>
      <c r="CX71" s="748"/>
      <c r="CY71" s="748"/>
      <c r="CZ71" s="748"/>
      <c r="DA71" s="748"/>
      <c r="DB71" s="748"/>
      <c r="DC71" s="748"/>
      <c r="DD71" s="748"/>
      <c r="DE71" s="748"/>
      <c r="DF71" s="748"/>
      <c r="DG71" s="748"/>
      <c r="DH71" s="748"/>
      <c r="DI71" s="748"/>
      <c r="DJ71" s="748"/>
      <c r="DK71" s="748"/>
      <c r="DL71" s="748"/>
      <c r="DM71" s="748"/>
      <c r="DN71" s="748"/>
      <c r="DO71" s="748"/>
      <c r="DP71" s="748"/>
      <c r="DQ71" s="748"/>
      <c r="DR71" s="748"/>
      <c r="DS71" s="748"/>
      <c r="DT71" s="748"/>
      <c r="DU71" s="748"/>
      <c r="DV71" s="748"/>
      <c r="DW71" s="748"/>
      <c r="DX71" s="748"/>
      <c r="DY71" s="748"/>
      <c r="DZ71" s="748"/>
      <c r="EA71" s="748"/>
      <c r="EB71" s="748"/>
      <c r="EC71" s="748"/>
      <c r="ED71" s="748"/>
      <c r="EE71" s="748"/>
      <c r="EF71" s="748"/>
      <c r="EG71" s="748"/>
      <c r="EH71" s="748"/>
      <c r="EI71" s="748"/>
      <c r="EJ71" s="748"/>
      <c r="EK71" s="748"/>
      <c r="EL71" s="748"/>
      <c r="EM71" s="748"/>
      <c r="EN71" s="748"/>
      <c r="EO71" s="748"/>
      <c r="EP71" s="748"/>
      <c r="EQ71" s="748"/>
      <c r="ER71" s="748"/>
      <c r="ES71" s="748"/>
      <c r="ET71" s="748"/>
      <c r="EU71" s="748"/>
      <c r="EV71" s="748"/>
      <c r="EW71" s="748"/>
      <c r="EX71" s="748"/>
      <c r="EY71" s="811" t="s">
        <v>1290</v>
      </c>
      <c r="EZ71" s="165" t="s">
        <v>1291</v>
      </c>
      <c r="FA71" s="165"/>
      <c r="FB71" s="171"/>
      <c r="FC71" s="156" t="s">
        <v>847</v>
      </c>
    </row>
    <row r="72" spans="1:159" s="17" customFormat="1" ht="66" customHeight="1">
      <c r="A72" s="55">
        <v>6</v>
      </c>
      <c r="B72" s="113" t="s">
        <v>1107</v>
      </c>
      <c r="C72" s="107" t="s">
        <v>843</v>
      </c>
      <c r="D72" s="114" t="s">
        <v>1108</v>
      </c>
      <c r="E72" s="72">
        <f t="shared" si="12"/>
        <v>0</v>
      </c>
      <c r="F72" s="72">
        <v>0</v>
      </c>
      <c r="G72" s="798">
        <v>0</v>
      </c>
      <c r="H72" s="750">
        <v>0</v>
      </c>
      <c r="I72" s="798">
        <f t="shared" si="13"/>
        <v>0</v>
      </c>
      <c r="J72" s="798">
        <f t="shared" si="22"/>
        <v>0</v>
      </c>
      <c r="K72" s="798">
        <f t="shared" si="15"/>
        <v>0</v>
      </c>
      <c r="L72" s="798">
        <f t="shared" si="16"/>
        <v>0</v>
      </c>
      <c r="M72" s="798">
        <f t="shared" si="17"/>
        <v>0</v>
      </c>
      <c r="N72" s="798">
        <f t="shared" si="18"/>
        <v>0</v>
      </c>
      <c r="O72" s="798">
        <f t="shared" si="19"/>
        <v>0</v>
      </c>
      <c r="P72" s="798">
        <f t="shared" si="20"/>
        <v>0</v>
      </c>
      <c r="Q72" s="798"/>
      <c r="R72" s="72"/>
      <c r="S72" s="748"/>
      <c r="T72" s="748"/>
      <c r="U72" s="55"/>
      <c r="V72" s="55"/>
      <c r="W72" s="55"/>
      <c r="X72" s="55"/>
      <c r="Y72" s="748"/>
      <c r="Z72" s="748"/>
      <c r="AA72" s="748"/>
      <c r="AB72" s="748"/>
      <c r="AC72" s="748"/>
      <c r="AD72" s="748"/>
      <c r="AE72" s="748"/>
      <c r="AF72" s="748"/>
      <c r="AG72" s="748"/>
      <c r="AH72" s="748"/>
      <c r="AI72" s="748"/>
      <c r="AJ72" s="748"/>
      <c r="AK72" s="748"/>
      <c r="AL72" s="748"/>
      <c r="AM72" s="748"/>
      <c r="AN72" s="748"/>
      <c r="AO72" s="748"/>
      <c r="AP72" s="748"/>
      <c r="AQ72" s="748"/>
      <c r="AR72" s="748"/>
      <c r="AS72" s="748"/>
      <c r="AT72" s="748"/>
      <c r="AU72" s="748"/>
      <c r="AV72" s="748"/>
      <c r="AW72" s="55"/>
      <c r="AX72" s="748"/>
      <c r="AY72" s="748"/>
      <c r="AZ72" s="748"/>
      <c r="BA72" s="748"/>
      <c r="BB72" s="748"/>
      <c r="BC72" s="748"/>
      <c r="BD72" s="748"/>
      <c r="BE72" s="748"/>
      <c r="BF72" s="748"/>
      <c r="BG72" s="748"/>
      <c r="BH72" s="748"/>
      <c r="BI72" s="748"/>
      <c r="BJ72" s="748"/>
      <c r="BK72" s="55"/>
      <c r="BL72" s="748"/>
      <c r="BM72" s="748"/>
      <c r="BN72" s="748"/>
      <c r="BO72" s="748"/>
      <c r="BP72" s="748"/>
      <c r="BQ72" s="748"/>
      <c r="BR72" s="748"/>
      <c r="BS72" s="748"/>
      <c r="BT72" s="748"/>
      <c r="BU72" s="748"/>
      <c r="BV72" s="748"/>
      <c r="BW72" s="748"/>
      <c r="BX72" s="748"/>
      <c r="BY72" s="748"/>
      <c r="BZ72" s="748"/>
      <c r="CA72" s="748"/>
      <c r="CB72" s="748"/>
      <c r="CC72" s="748"/>
      <c r="CD72" s="748"/>
      <c r="CE72" s="748"/>
      <c r="CF72" s="748"/>
      <c r="CG72" s="748"/>
      <c r="CH72" s="748"/>
      <c r="CI72" s="748"/>
      <c r="CJ72" s="748"/>
      <c r="CK72" s="748"/>
      <c r="CL72" s="748"/>
      <c r="CM72" s="748"/>
      <c r="CN72" s="748"/>
      <c r="CO72" s="748"/>
      <c r="CP72" s="748"/>
      <c r="CQ72" s="748"/>
      <c r="CR72" s="748"/>
      <c r="CS72" s="748"/>
      <c r="CT72" s="55"/>
      <c r="CU72" s="748"/>
      <c r="CV72" s="748"/>
      <c r="CW72" s="748"/>
      <c r="CX72" s="748"/>
      <c r="CY72" s="748"/>
      <c r="CZ72" s="748"/>
      <c r="DA72" s="748"/>
      <c r="DB72" s="748"/>
      <c r="DC72" s="748"/>
      <c r="DD72" s="748"/>
      <c r="DE72" s="748"/>
      <c r="DF72" s="748"/>
      <c r="DG72" s="748"/>
      <c r="DH72" s="748"/>
      <c r="DI72" s="748"/>
      <c r="DJ72" s="748"/>
      <c r="DK72" s="748"/>
      <c r="DL72" s="748"/>
      <c r="DM72" s="748"/>
      <c r="DN72" s="748"/>
      <c r="DO72" s="748"/>
      <c r="DP72" s="748"/>
      <c r="DQ72" s="748"/>
      <c r="DR72" s="748"/>
      <c r="DS72" s="748"/>
      <c r="DT72" s="748"/>
      <c r="DU72" s="748"/>
      <c r="DV72" s="55"/>
      <c r="DW72" s="55"/>
      <c r="DX72" s="748"/>
      <c r="DY72" s="748"/>
      <c r="DZ72" s="748"/>
      <c r="EA72" s="748"/>
      <c r="EB72" s="748"/>
      <c r="EC72" s="748"/>
      <c r="ED72" s="748"/>
      <c r="EE72" s="748"/>
      <c r="EF72" s="748"/>
      <c r="EG72" s="748"/>
      <c r="EH72" s="748"/>
      <c r="EI72" s="748"/>
      <c r="EJ72" s="748"/>
      <c r="EK72" s="748"/>
      <c r="EL72" s="748"/>
      <c r="EM72" s="748"/>
      <c r="EN72" s="748"/>
      <c r="EO72" s="748"/>
      <c r="EP72" s="748"/>
      <c r="EQ72" s="55"/>
      <c r="ER72" s="748"/>
      <c r="ES72" s="748"/>
      <c r="ET72" s="748"/>
      <c r="EU72" s="748"/>
      <c r="EV72" s="748"/>
      <c r="EW72" s="748"/>
      <c r="EX72" s="55"/>
      <c r="EY72" s="141" t="s">
        <v>1109</v>
      </c>
      <c r="EZ72" s="141"/>
      <c r="FA72" s="142"/>
      <c r="FB72" s="172"/>
      <c r="FC72" s="152" t="s">
        <v>847</v>
      </c>
    </row>
    <row r="73" spans="1:159" s="17" customFormat="1" ht="66" customHeight="1">
      <c r="A73" s="748"/>
      <c r="B73" s="914" t="s">
        <v>1226</v>
      </c>
      <c r="C73" s="107" t="s">
        <v>843</v>
      </c>
      <c r="D73" s="915" t="s">
        <v>1227</v>
      </c>
      <c r="E73" s="72">
        <f t="shared" si="12"/>
        <v>1</v>
      </c>
      <c r="F73" s="750">
        <v>0</v>
      </c>
      <c r="G73" s="750">
        <v>0</v>
      </c>
      <c r="H73" s="750">
        <v>2</v>
      </c>
      <c r="I73" s="750">
        <f t="shared" si="13"/>
        <v>0</v>
      </c>
      <c r="J73" s="798">
        <f t="shared" si="22"/>
        <v>0</v>
      </c>
      <c r="K73" s="798">
        <f t="shared" si="15"/>
        <v>1</v>
      </c>
      <c r="L73" s="798">
        <f t="shared" si="16"/>
        <v>0</v>
      </c>
      <c r="M73" s="798">
        <f t="shared" si="17"/>
        <v>0</v>
      </c>
      <c r="N73" s="798">
        <f t="shared" si="18"/>
        <v>0</v>
      </c>
      <c r="O73" s="798">
        <f t="shared" si="19"/>
        <v>0</v>
      </c>
      <c r="P73" s="798">
        <f t="shared" si="20"/>
        <v>0</v>
      </c>
      <c r="Q73" s="798"/>
      <c r="R73" s="72"/>
      <c r="S73" s="748"/>
      <c r="T73" s="748"/>
      <c r="U73" s="55"/>
      <c r="V73" s="55"/>
      <c r="W73" s="55"/>
      <c r="X73" s="55"/>
      <c r="Y73" s="748"/>
      <c r="Z73" s="748"/>
      <c r="AA73" s="748"/>
      <c r="AB73" s="748"/>
      <c r="AC73" s="748"/>
      <c r="AD73" s="748"/>
      <c r="AE73" s="748"/>
      <c r="AF73" s="748"/>
      <c r="AG73" s="748"/>
      <c r="AH73" s="748"/>
      <c r="AI73" s="748"/>
      <c r="AJ73" s="748"/>
      <c r="AK73" s="748"/>
      <c r="AL73" s="748"/>
      <c r="AM73" s="748"/>
      <c r="AN73" s="748"/>
      <c r="AO73" s="748"/>
      <c r="AP73" s="748"/>
      <c r="AQ73" s="748"/>
      <c r="AR73" s="748"/>
      <c r="AS73" s="748"/>
      <c r="AT73" s="748"/>
      <c r="AU73" s="748"/>
      <c r="AV73" s="748"/>
      <c r="AW73" s="748"/>
      <c r="AX73" s="748"/>
      <c r="AY73" s="748"/>
      <c r="AZ73" s="748"/>
      <c r="BA73" s="748"/>
      <c r="BB73" s="748"/>
      <c r="BC73" s="748"/>
      <c r="BD73" s="748"/>
      <c r="BE73" s="748"/>
      <c r="BF73" s="748"/>
      <c r="BG73" s="748"/>
      <c r="BH73" s="748"/>
      <c r="BI73" s="748"/>
      <c r="BJ73" s="748"/>
      <c r="BK73" s="748"/>
      <c r="BL73" s="748"/>
      <c r="BM73" s="748"/>
      <c r="BN73" s="748"/>
      <c r="BO73" s="748"/>
      <c r="BP73" s="748"/>
      <c r="BQ73" s="748"/>
      <c r="BR73" s="748"/>
      <c r="BS73" s="748"/>
      <c r="BT73" s="748"/>
      <c r="BU73" s="748"/>
      <c r="BV73" s="748"/>
      <c r="BW73" s="748"/>
      <c r="BX73" s="748"/>
      <c r="BY73" s="748"/>
      <c r="BZ73" s="748"/>
      <c r="CA73" s="748">
        <v>1</v>
      </c>
      <c r="CB73" s="748"/>
      <c r="CC73" s="748"/>
      <c r="CD73" s="748"/>
      <c r="CE73" s="748"/>
      <c r="CF73" s="748"/>
      <c r="CG73" s="748"/>
      <c r="CH73" s="748"/>
      <c r="CI73" s="748"/>
      <c r="CJ73" s="748"/>
      <c r="CK73" s="748"/>
      <c r="CL73" s="748"/>
      <c r="CM73" s="748"/>
      <c r="CN73" s="748"/>
      <c r="CO73" s="748"/>
      <c r="CP73" s="748"/>
      <c r="CQ73" s="748"/>
      <c r="CR73" s="748"/>
      <c r="CS73" s="748"/>
      <c r="CT73" s="748"/>
      <c r="CU73" s="748"/>
      <c r="CV73" s="748"/>
      <c r="CW73" s="748"/>
      <c r="CX73" s="748"/>
      <c r="CY73" s="748"/>
      <c r="CZ73" s="748"/>
      <c r="DA73" s="748"/>
      <c r="DB73" s="748"/>
      <c r="DC73" s="748"/>
      <c r="DD73" s="748"/>
      <c r="DE73" s="748"/>
      <c r="DF73" s="748"/>
      <c r="DG73" s="748"/>
      <c r="DH73" s="748"/>
      <c r="DI73" s="748"/>
      <c r="DJ73" s="748"/>
      <c r="DK73" s="748"/>
      <c r="DL73" s="748"/>
      <c r="DM73" s="748"/>
      <c r="DN73" s="748"/>
      <c r="DO73" s="748"/>
      <c r="DP73" s="748"/>
      <c r="DQ73" s="748"/>
      <c r="DR73" s="748"/>
      <c r="DS73" s="748"/>
      <c r="DT73" s="748"/>
      <c r="DU73" s="748"/>
      <c r="DV73" s="748"/>
      <c r="DW73" s="748"/>
      <c r="DX73" s="748"/>
      <c r="DY73" s="748"/>
      <c r="DZ73" s="748"/>
      <c r="EA73" s="748"/>
      <c r="EB73" s="748"/>
      <c r="EC73" s="748"/>
      <c r="ED73" s="748"/>
      <c r="EE73" s="748"/>
      <c r="EF73" s="748"/>
      <c r="EG73" s="748"/>
      <c r="EH73" s="748"/>
      <c r="EI73" s="748"/>
      <c r="EJ73" s="748"/>
      <c r="EK73" s="748"/>
      <c r="EL73" s="748"/>
      <c r="EM73" s="748"/>
      <c r="EN73" s="748"/>
      <c r="EO73" s="748"/>
      <c r="EP73" s="748"/>
      <c r="EQ73" s="748"/>
      <c r="ER73" s="748"/>
      <c r="ES73" s="748"/>
      <c r="ET73" s="748"/>
      <c r="EU73" s="748"/>
      <c r="EV73" s="748"/>
      <c r="EW73" s="748"/>
      <c r="EX73" s="748"/>
      <c r="EY73" s="800"/>
      <c r="EZ73" s="834" t="s">
        <v>1323</v>
      </c>
      <c r="FA73" s="801"/>
      <c r="FB73" s="899"/>
      <c r="FC73" s="756" t="s">
        <v>1232</v>
      </c>
    </row>
    <row r="74" spans="1:159" s="17" customFormat="1" ht="66" customHeight="1">
      <c r="A74" s="748"/>
      <c r="B74" s="1663" t="s">
        <v>1210</v>
      </c>
      <c r="C74" s="759" t="s">
        <v>1214</v>
      </c>
      <c r="D74" s="763" t="s">
        <v>1215</v>
      </c>
      <c r="E74" s="72">
        <f t="shared" si="12"/>
        <v>0</v>
      </c>
      <c r="F74" s="750">
        <v>0</v>
      </c>
      <c r="G74" s="750">
        <v>0</v>
      </c>
      <c r="H74" s="750">
        <v>1</v>
      </c>
      <c r="I74" s="798">
        <f t="shared" si="13"/>
        <v>0</v>
      </c>
      <c r="J74" s="798">
        <f t="shared" si="22"/>
        <v>0</v>
      </c>
      <c r="K74" s="798">
        <f t="shared" si="15"/>
        <v>0</v>
      </c>
      <c r="L74" s="798">
        <f t="shared" si="16"/>
        <v>0</v>
      </c>
      <c r="M74" s="798">
        <f t="shared" si="17"/>
        <v>0</v>
      </c>
      <c r="N74" s="798">
        <f t="shared" si="18"/>
        <v>0</v>
      </c>
      <c r="O74" s="798">
        <f t="shared" si="19"/>
        <v>0</v>
      </c>
      <c r="P74" s="798">
        <f t="shared" si="20"/>
        <v>0</v>
      </c>
      <c r="Q74" s="798"/>
      <c r="R74" s="72"/>
      <c r="S74" s="748"/>
      <c r="T74" s="748"/>
      <c r="U74" s="55"/>
      <c r="V74" s="55"/>
      <c r="W74" s="55"/>
      <c r="X74" s="55"/>
      <c r="Y74" s="748"/>
      <c r="Z74" s="748"/>
      <c r="AA74" s="748"/>
      <c r="AB74" s="748"/>
      <c r="AC74" s="748"/>
      <c r="AD74" s="748"/>
      <c r="AE74" s="748"/>
      <c r="AF74" s="748"/>
      <c r="AG74" s="748"/>
      <c r="AH74" s="748"/>
      <c r="AI74" s="748"/>
      <c r="AJ74" s="748"/>
      <c r="AK74" s="748"/>
      <c r="AL74" s="748"/>
      <c r="AM74" s="748"/>
      <c r="AN74" s="748"/>
      <c r="AO74" s="748"/>
      <c r="AP74" s="748"/>
      <c r="AQ74" s="748"/>
      <c r="AR74" s="748"/>
      <c r="AS74" s="748"/>
      <c r="AT74" s="748"/>
      <c r="AU74" s="748"/>
      <c r="AV74" s="748"/>
      <c r="AW74" s="748"/>
      <c r="AX74" s="748"/>
      <c r="AY74" s="748"/>
      <c r="AZ74" s="748"/>
      <c r="BA74" s="748"/>
      <c r="BB74" s="748"/>
      <c r="BC74" s="748"/>
      <c r="BD74" s="748"/>
      <c r="BE74" s="748"/>
      <c r="BF74" s="748"/>
      <c r="BG74" s="748"/>
      <c r="BH74" s="748"/>
      <c r="BI74" s="748"/>
      <c r="BJ74" s="748"/>
      <c r="BK74" s="748"/>
      <c r="BL74" s="748"/>
      <c r="BM74" s="748"/>
      <c r="BN74" s="748"/>
      <c r="BO74" s="748"/>
      <c r="BP74" s="748"/>
      <c r="BQ74" s="748"/>
      <c r="BR74" s="748"/>
      <c r="BS74" s="748"/>
      <c r="BT74" s="748"/>
      <c r="BU74" s="748"/>
      <c r="BV74" s="748"/>
      <c r="BW74" s="748"/>
      <c r="BX74" s="748"/>
      <c r="BY74" s="748"/>
      <c r="BZ74" s="748"/>
      <c r="CA74" s="748"/>
      <c r="CB74" s="748"/>
      <c r="CC74" s="748"/>
      <c r="CD74" s="748"/>
      <c r="CE74" s="748"/>
      <c r="CF74" s="748"/>
      <c r="CG74" s="748"/>
      <c r="CH74" s="748"/>
      <c r="CI74" s="748"/>
      <c r="CJ74" s="748"/>
      <c r="CK74" s="748"/>
      <c r="CL74" s="748"/>
      <c r="CM74" s="748"/>
      <c r="CN74" s="748"/>
      <c r="CO74" s="748"/>
      <c r="CP74" s="748"/>
      <c r="CQ74" s="748"/>
      <c r="CR74" s="748"/>
      <c r="CS74" s="748"/>
      <c r="CT74" s="748"/>
      <c r="CU74" s="748"/>
      <c r="CV74" s="748"/>
      <c r="CW74" s="748"/>
      <c r="CX74" s="748"/>
      <c r="CY74" s="748"/>
      <c r="CZ74" s="748"/>
      <c r="DA74" s="748"/>
      <c r="DB74" s="748"/>
      <c r="DC74" s="748"/>
      <c r="DD74" s="748"/>
      <c r="DE74" s="748"/>
      <c r="DF74" s="748"/>
      <c r="DG74" s="748"/>
      <c r="DH74" s="748"/>
      <c r="DI74" s="748"/>
      <c r="DJ74" s="748"/>
      <c r="DK74" s="748"/>
      <c r="DL74" s="748"/>
      <c r="DM74" s="748"/>
      <c r="DN74" s="748"/>
      <c r="DO74" s="748"/>
      <c r="DP74" s="748"/>
      <c r="DQ74" s="748"/>
      <c r="DR74" s="748"/>
      <c r="DS74" s="748"/>
      <c r="DT74" s="748"/>
      <c r="DU74" s="748"/>
      <c r="DV74" s="748"/>
      <c r="DW74" s="748"/>
      <c r="DX74" s="748"/>
      <c r="DY74" s="748"/>
      <c r="DZ74" s="748"/>
      <c r="EA74" s="748"/>
      <c r="EB74" s="748"/>
      <c r="EC74" s="748"/>
      <c r="ED74" s="748"/>
      <c r="EE74" s="748"/>
      <c r="EF74" s="748"/>
      <c r="EG74" s="748"/>
      <c r="EH74" s="748"/>
      <c r="EI74" s="748"/>
      <c r="EJ74" s="748"/>
      <c r="EK74" s="748"/>
      <c r="EL74" s="748"/>
      <c r="EM74" s="748"/>
      <c r="EN74" s="748"/>
      <c r="EO74" s="748"/>
      <c r="EP74" s="748"/>
      <c r="EQ74" s="748"/>
      <c r="ER74" s="748"/>
      <c r="ES74" s="748"/>
      <c r="ET74" s="748"/>
      <c r="EU74" s="748"/>
      <c r="EV74" s="748"/>
      <c r="EW74" s="748"/>
      <c r="EX74" s="748"/>
      <c r="EY74" s="800"/>
      <c r="EZ74" s="800" t="s">
        <v>1216</v>
      </c>
      <c r="FA74" s="801"/>
      <c r="FB74" s="899"/>
      <c r="FC74" s="756" t="s">
        <v>1217</v>
      </c>
    </row>
    <row r="75" spans="1:159" s="17" customFormat="1" ht="66" customHeight="1">
      <c r="A75" s="748"/>
      <c r="B75" s="1661"/>
      <c r="C75" s="163" t="s">
        <v>1213</v>
      </c>
      <c r="D75" s="900" t="s">
        <v>1211</v>
      </c>
      <c r="E75" s="72">
        <f t="shared" si="12"/>
        <v>0</v>
      </c>
      <c r="F75" s="71">
        <v>0</v>
      </c>
      <c r="G75" s="71">
        <v>0</v>
      </c>
      <c r="H75" s="71">
        <v>0</v>
      </c>
      <c r="I75" s="798">
        <f t="shared" si="13"/>
        <v>0</v>
      </c>
      <c r="J75" s="798">
        <f t="shared" si="22"/>
        <v>0</v>
      </c>
      <c r="K75" s="798">
        <f t="shared" si="15"/>
        <v>0</v>
      </c>
      <c r="L75" s="798">
        <f t="shared" si="16"/>
        <v>0</v>
      </c>
      <c r="M75" s="798">
        <f t="shared" si="17"/>
        <v>0</v>
      </c>
      <c r="N75" s="798">
        <f t="shared" si="18"/>
        <v>0</v>
      </c>
      <c r="O75" s="798">
        <f t="shared" si="19"/>
        <v>0</v>
      </c>
      <c r="P75" s="798">
        <f t="shared" si="20"/>
        <v>0</v>
      </c>
      <c r="Q75" s="798"/>
      <c r="R75" s="72"/>
      <c r="S75" s="938"/>
      <c r="T75" s="938"/>
      <c r="U75" s="966"/>
      <c r="V75" s="966"/>
      <c r="W75" s="966"/>
      <c r="X75" s="966"/>
      <c r="Y75" s="966"/>
      <c r="Z75" s="966"/>
      <c r="AA75" s="966"/>
      <c r="AB75" s="966"/>
      <c r="AC75" s="966"/>
      <c r="AD75" s="966"/>
      <c r="AE75" s="966"/>
      <c r="AF75" s="966"/>
      <c r="AG75" s="966"/>
      <c r="AH75" s="966"/>
      <c r="AI75" s="966"/>
      <c r="AJ75" s="966"/>
      <c r="AK75" s="966"/>
      <c r="AL75" s="966"/>
      <c r="AM75" s="966"/>
      <c r="AN75" s="966"/>
      <c r="AO75" s="966"/>
      <c r="AP75" s="966"/>
      <c r="AQ75" s="966"/>
      <c r="AR75" s="966"/>
      <c r="AS75" s="966"/>
      <c r="AT75" s="966"/>
      <c r="AU75" s="966"/>
      <c r="AV75" s="966"/>
      <c r="AW75" s="1087"/>
      <c r="AX75" s="966"/>
      <c r="AY75" s="966"/>
      <c r="AZ75" s="966"/>
      <c r="BA75" s="966"/>
      <c r="BB75" s="966"/>
      <c r="BC75" s="966"/>
      <c r="BD75" s="966"/>
      <c r="BE75" s="966"/>
      <c r="BF75" s="966"/>
      <c r="BG75" s="966"/>
      <c r="BH75" s="966"/>
      <c r="BI75" s="966"/>
      <c r="BJ75" s="966"/>
      <c r="BK75" s="1118"/>
      <c r="BL75" s="966"/>
      <c r="BM75" s="966"/>
      <c r="BN75" s="966"/>
      <c r="BO75" s="966"/>
      <c r="BP75" s="966"/>
      <c r="BQ75" s="966"/>
      <c r="BR75" s="966"/>
      <c r="BS75" s="966"/>
      <c r="BT75" s="966"/>
      <c r="BU75" s="966"/>
      <c r="BV75" s="966"/>
      <c r="BW75" s="966"/>
      <c r="BX75" s="966"/>
      <c r="BY75" s="966"/>
      <c r="BZ75" s="966"/>
      <c r="CA75" s="966"/>
      <c r="CB75" s="966"/>
      <c r="CC75" s="966"/>
      <c r="CD75" s="966"/>
      <c r="CE75" s="966"/>
      <c r="CF75" s="966"/>
      <c r="CG75" s="966"/>
      <c r="CH75" s="966"/>
      <c r="CI75" s="966"/>
      <c r="CJ75" s="966"/>
      <c r="CK75" s="966"/>
      <c r="CL75" s="966"/>
      <c r="CM75" s="966"/>
      <c r="CN75" s="966"/>
      <c r="CO75" s="966"/>
      <c r="CP75" s="966"/>
      <c r="CQ75" s="966"/>
      <c r="CR75" s="966"/>
      <c r="CS75" s="966"/>
      <c r="CT75" s="1284"/>
      <c r="CU75" s="966"/>
      <c r="CV75" s="966"/>
      <c r="CW75" s="966"/>
      <c r="CX75" s="966"/>
      <c r="CY75" s="966"/>
      <c r="CZ75" s="966"/>
      <c r="DA75" s="966"/>
      <c r="DB75" s="966"/>
      <c r="DC75" s="966"/>
      <c r="DD75" s="966"/>
      <c r="DE75" s="966"/>
      <c r="DF75" s="966"/>
      <c r="DG75" s="966"/>
      <c r="DH75" s="966"/>
      <c r="DI75" s="966"/>
      <c r="DJ75" s="966"/>
      <c r="DK75" s="966"/>
      <c r="DL75" s="966"/>
      <c r="DM75" s="966"/>
      <c r="DN75" s="966"/>
      <c r="DO75" s="966"/>
      <c r="DP75" s="966"/>
      <c r="DQ75" s="966"/>
      <c r="DR75" s="966"/>
      <c r="DS75" s="966"/>
      <c r="DT75" s="966"/>
      <c r="DU75" s="966"/>
      <c r="DV75" s="1415"/>
      <c r="DW75" s="1415"/>
      <c r="DX75" s="966"/>
      <c r="DY75" s="966"/>
      <c r="DZ75" s="966"/>
      <c r="EA75" s="966"/>
      <c r="EB75" s="966"/>
      <c r="EC75" s="966"/>
      <c r="ED75" s="966"/>
      <c r="EE75" s="966"/>
      <c r="EF75" s="966"/>
      <c r="EG75" s="966"/>
      <c r="EH75" s="966"/>
      <c r="EI75" s="966"/>
      <c r="EJ75" s="966"/>
      <c r="EK75" s="966"/>
      <c r="EL75" s="966"/>
      <c r="EM75" s="966"/>
      <c r="EN75" s="966"/>
      <c r="EO75" s="966"/>
      <c r="EP75" s="966"/>
      <c r="EQ75" s="1493"/>
      <c r="ER75" s="966"/>
      <c r="ES75" s="966"/>
      <c r="ET75" s="966"/>
      <c r="EU75" s="966"/>
      <c r="EV75" s="966"/>
      <c r="EW75" s="966"/>
      <c r="EX75" s="898"/>
      <c r="EY75" s="166"/>
      <c r="EZ75" s="166"/>
      <c r="FA75" s="901"/>
      <c r="FB75" s="902"/>
      <c r="FC75" s="176" t="s">
        <v>1212</v>
      </c>
    </row>
    <row r="76" spans="1:159" s="17" customFormat="1" ht="50.25" customHeight="1">
      <c r="A76" s="56"/>
      <c r="B76" s="1658" t="s">
        <v>842</v>
      </c>
      <c r="C76" s="107" t="s">
        <v>843</v>
      </c>
      <c r="D76" s="116" t="s">
        <v>1110</v>
      </c>
      <c r="E76" s="72">
        <f t="shared" si="12"/>
        <v>0</v>
      </c>
      <c r="F76" s="72">
        <f>SUM(S76:EX76)</f>
        <v>0</v>
      </c>
      <c r="G76" s="71">
        <v>0</v>
      </c>
      <c r="H76" s="71">
        <v>0</v>
      </c>
      <c r="I76" s="798">
        <f t="shared" si="13"/>
        <v>0</v>
      </c>
      <c r="J76" s="798">
        <f t="shared" si="22"/>
        <v>0</v>
      </c>
      <c r="K76" s="798">
        <f t="shared" si="15"/>
        <v>0</v>
      </c>
      <c r="L76" s="798">
        <f t="shared" si="16"/>
        <v>0</v>
      </c>
      <c r="M76" s="798">
        <f t="shared" si="17"/>
        <v>0</v>
      </c>
      <c r="N76" s="798">
        <f t="shared" si="18"/>
        <v>0</v>
      </c>
      <c r="O76" s="798">
        <f t="shared" si="19"/>
        <v>0</v>
      </c>
      <c r="P76" s="798">
        <f t="shared" si="20"/>
        <v>0</v>
      </c>
      <c r="Q76" s="798"/>
      <c r="R76" s="72"/>
      <c r="S76" s="778"/>
      <c r="T76" s="778"/>
      <c r="U76" s="953"/>
      <c r="V76" s="953"/>
      <c r="W76" s="953"/>
      <c r="X76" s="953"/>
      <c r="Y76" s="778"/>
      <c r="Z76" s="778"/>
      <c r="AA76" s="778"/>
      <c r="AB76" s="778"/>
      <c r="AC76" s="778"/>
      <c r="AD76" s="778"/>
      <c r="AE76" s="778"/>
      <c r="AF76" s="778"/>
      <c r="AG76" s="778"/>
      <c r="AH76" s="778"/>
      <c r="AI76" s="778"/>
      <c r="AJ76" s="778"/>
      <c r="AK76" s="778"/>
      <c r="AL76" s="778"/>
      <c r="AM76" s="778"/>
      <c r="AN76" s="778"/>
      <c r="AO76" s="778"/>
      <c r="AP76" s="778"/>
      <c r="AQ76" s="778"/>
      <c r="AR76" s="778"/>
      <c r="AS76" s="778"/>
      <c r="AT76" s="778"/>
      <c r="AU76" s="778"/>
      <c r="AV76" s="778"/>
      <c r="AW76" s="1085"/>
      <c r="AX76" s="778"/>
      <c r="AY76" s="778"/>
      <c r="AZ76" s="778"/>
      <c r="BA76" s="778"/>
      <c r="BB76" s="778"/>
      <c r="BC76" s="778"/>
      <c r="BD76" s="778"/>
      <c r="BE76" s="778"/>
      <c r="BF76" s="778"/>
      <c r="BG76" s="778"/>
      <c r="BH76" s="778"/>
      <c r="BI76" s="778"/>
      <c r="BJ76" s="778"/>
      <c r="BK76" s="1116"/>
      <c r="BL76" s="778"/>
      <c r="BM76" s="778"/>
      <c r="BN76" s="778"/>
      <c r="BO76" s="778"/>
      <c r="BP76" s="778"/>
      <c r="BQ76" s="778"/>
      <c r="BR76" s="778"/>
      <c r="BS76" s="778"/>
      <c r="BT76" s="778"/>
      <c r="BU76" s="778"/>
      <c r="BV76" s="778"/>
      <c r="BW76" s="778"/>
      <c r="BX76" s="778"/>
      <c r="BY76" s="778"/>
      <c r="BZ76" s="778"/>
      <c r="CA76" s="778"/>
      <c r="CB76" s="778"/>
      <c r="CC76" s="778"/>
      <c r="CD76" s="778"/>
      <c r="CE76" s="778"/>
      <c r="CF76" s="778"/>
      <c r="CG76" s="778"/>
      <c r="CH76" s="778"/>
      <c r="CI76" s="778"/>
      <c r="CJ76" s="778"/>
      <c r="CK76" s="778"/>
      <c r="CL76" s="778"/>
      <c r="CM76" s="778"/>
      <c r="CN76" s="778"/>
      <c r="CO76" s="778"/>
      <c r="CP76" s="778"/>
      <c r="CQ76" s="778"/>
      <c r="CR76" s="778"/>
      <c r="CS76" s="778"/>
      <c r="CT76" s="1282"/>
      <c r="CU76" s="778"/>
      <c r="CV76" s="778"/>
      <c r="CW76" s="778"/>
      <c r="CX76" s="778"/>
      <c r="CY76" s="778"/>
      <c r="CZ76" s="778"/>
      <c r="DA76" s="778"/>
      <c r="DB76" s="778"/>
      <c r="DC76" s="778"/>
      <c r="DD76" s="778"/>
      <c r="DE76" s="778"/>
      <c r="DF76" s="778"/>
      <c r="DG76" s="778"/>
      <c r="DH76" s="778"/>
      <c r="DI76" s="778"/>
      <c r="DJ76" s="778"/>
      <c r="DK76" s="778"/>
      <c r="DL76" s="778"/>
      <c r="DM76" s="778"/>
      <c r="DN76" s="778"/>
      <c r="DO76" s="778"/>
      <c r="DP76" s="778"/>
      <c r="DQ76" s="778"/>
      <c r="DR76" s="778"/>
      <c r="DS76" s="778"/>
      <c r="DT76" s="778"/>
      <c r="DU76" s="778"/>
      <c r="DV76" s="1413"/>
      <c r="DW76" s="1413"/>
      <c r="DX76" s="778"/>
      <c r="DY76" s="778"/>
      <c r="DZ76" s="778"/>
      <c r="EA76" s="778"/>
      <c r="EB76" s="778"/>
      <c r="EC76" s="778"/>
      <c r="ED76" s="778"/>
      <c r="EE76" s="778"/>
      <c r="EF76" s="778"/>
      <c r="EG76" s="778"/>
      <c r="EH76" s="778"/>
      <c r="EI76" s="778"/>
      <c r="EJ76" s="778"/>
      <c r="EK76" s="778"/>
      <c r="EL76" s="778"/>
      <c r="EM76" s="778"/>
      <c r="EN76" s="778"/>
      <c r="EO76" s="778"/>
      <c r="EP76" s="778"/>
      <c r="EQ76" s="1491"/>
      <c r="ER76" s="778"/>
      <c r="ES76" s="778"/>
      <c r="ET76" s="778"/>
      <c r="EU76" s="778"/>
      <c r="EV76" s="778"/>
      <c r="EW76" s="778"/>
      <c r="EX76" s="56"/>
      <c r="EY76" s="139"/>
      <c r="EZ76" s="139"/>
      <c r="FA76" s="140"/>
      <c r="FB76" s="173"/>
      <c r="FC76" s="151"/>
    </row>
    <row r="77" spans="1:159" s="17" customFormat="1" ht="93" customHeight="1">
      <c r="A77" s="55"/>
      <c r="B77" s="1660"/>
      <c r="C77" s="109" t="s">
        <v>843</v>
      </c>
      <c r="D77" s="117" t="s">
        <v>1111</v>
      </c>
      <c r="E77" s="72">
        <f t="shared" si="12"/>
        <v>0</v>
      </c>
      <c r="F77" s="72">
        <v>0</v>
      </c>
      <c r="G77" s="798">
        <v>0</v>
      </c>
      <c r="H77" s="750">
        <v>0</v>
      </c>
      <c r="I77" s="798">
        <f t="shared" si="13"/>
        <v>0</v>
      </c>
      <c r="J77" s="798">
        <f t="shared" si="22"/>
        <v>0</v>
      </c>
      <c r="K77" s="798">
        <f t="shared" si="15"/>
        <v>0</v>
      </c>
      <c r="L77" s="798">
        <f t="shared" si="16"/>
        <v>0</v>
      </c>
      <c r="M77" s="798">
        <f t="shared" si="17"/>
        <v>0</v>
      </c>
      <c r="N77" s="798">
        <f t="shared" si="18"/>
        <v>0</v>
      </c>
      <c r="O77" s="798">
        <f t="shared" si="19"/>
        <v>0</v>
      </c>
      <c r="P77" s="798">
        <f t="shared" si="20"/>
        <v>0</v>
      </c>
      <c r="Q77" s="798"/>
      <c r="R77" s="72"/>
      <c r="S77" s="748"/>
      <c r="T77" s="748"/>
      <c r="U77" s="55"/>
      <c r="V77" s="55"/>
      <c r="W77" s="55"/>
      <c r="X77" s="55"/>
      <c r="Y77" s="748"/>
      <c r="Z77" s="748"/>
      <c r="AA77" s="748"/>
      <c r="AB77" s="748"/>
      <c r="AC77" s="748"/>
      <c r="AD77" s="748"/>
      <c r="AE77" s="748"/>
      <c r="AF77" s="748"/>
      <c r="AG77" s="748"/>
      <c r="AH77" s="748"/>
      <c r="AI77" s="748"/>
      <c r="AJ77" s="748"/>
      <c r="AK77" s="748"/>
      <c r="AL77" s="748"/>
      <c r="AM77" s="748"/>
      <c r="AN77" s="748"/>
      <c r="AO77" s="748"/>
      <c r="AP77" s="748"/>
      <c r="AQ77" s="748"/>
      <c r="AR77" s="748"/>
      <c r="AS77" s="748"/>
      <c r="AT77" s="748"/>
      <c r="AU77" s="748"/>
      <c r="AV77" s="748"/>
      <c r="AW77" s="55"/>
      <c r="AX77" s="748"/>
      <c r="AY77" s="748"/>
      <c r="AZ77" s="748"/>
      <c r="BA77" s="748"/>
      <c r="BB77" s="748"/>
      <c r="BC77" s="748"/>
      <c r="BD77" s="748"/>
      <c r="BE77" s="748"/>
      <c r="BF77" s="748"/>
      <c r="BG77" s="748"/>
      <c r="BH77" s="748"/>
      <c r="BI77" s="748"/>
      <c r="BJ77" s="748"/>
      <c r="BK77" s="55"/>
      <c r="BL77" s="748"/>
      <c r="BM77" s="748"/>
      <c r="BN77" s="748"/>
      <c r="BO77" s="748"/>
      <c r="BP77" s="748"/>
      <c r="BQ77" s="748"/>
      <c r="BR77" s="748"/>
      <c r="BS77" s="748"/>
      <c r="BT77" s="748"/>
      <c r="BU77" s="748"/>
      <c r="BV77" s="748"/>
      <c r="BW77" s="748"/>
      <c r="BX77" s="748"/>
      <c r="BY77" s="748"/>
      <c r="BZ77" s="748"/>
      <c r="CA77" s="748"/>
      <c r="CB77" s="748"/>
      <c r="CC77" s="748"/>
      <c r="CD77" s="748"/>
      <c r="CE77" s="748"/>
      <c r="CF77" s="748"/>
      <c r="CG77" s="748"/>
      <c r="CH77" s="748"/>
      <c r="CI77" s="748"/>
      <c r="CJ77" s="748"/>
      <c r="CK77" s="748"/>
      <c r="CL77" s="748"/>
      <c r="CM77" s="748"/>
      <c r="CN77" s="748"/>
      <c r="CO77" s="748"/>
      <c r="CP77" s="748"/>
      <c r="CQ77" s="748"/>
      <c r="CR77" s="748"/>
      <c r="CS77" s="748"/>
      <c r="CT77" s="55"/>
      <c r="CU77" s="748"/>
      <c r="CV77" s="748"/>
      <c r="CW77" s="748"/>
      <c r="CX77" s="748"/>
      <c r="CY77" s="748"/>
      <c r="CZ77" s="748"/>
      <c r="DA77" s="748"/>
      <c r="DB77" s="748"/>
      <c r="DC77" s="748"/>
      <c r="DD77" s="748"/>
      <c r="DE77" s="748"/>
      <c r="DF77" s="748"/>
      <c r="DG77" s="748"/>
      <c r="DH77" s="748"/>
      <c r="DI77" s="748"/>
      <c r="DJ77" s="748"/>
      <c r="DK77" s="748"/>
      <c r="DL77" s="748"/>
      <c r="DM77" s="748"/>
      <c r="DN77" s="748"/>
      <c r="DO77" s="748"/>
      <c r="DP77" s="748"/>
      <c r="DQ77" s="748"/>
      <c r="DR77" s="748"/>
      <c r="DS77" s="748"/>
      <c r="DT77" s="748"/>
      <c r="DU77" s="748"/>
      <c r="DV77" s="55"/>
      <c r="DW77" s="55"/>
      <c r="DX77" s="748"/>
      <c r="DY77" s="748"/>
      <c r="DZ77" s="748"/>
      <c r="EA77" s="748"/>
      <c r="EB77" s="748"/>
      <c r="EC77" s="748"/>
      <c r="ED77" s="748"/>
      <c r="EE77" s="748"/>
      <c r="EF77" s="748"/>
      <c r="EG77" s="748"/>
      <c r="EH77" s="748"/>
      <c r="EI77" s="748"/>
      <c r="EJ77" s="748"/>
      <c r="EK77" s="748"/>
      <c r="EL77" s="748"/>
      <c r="EM77" s="748"/>
      <c r="EN77" s="748"/>
      <c r="EO77" s="748"/>
      <c r="EP77" s="748"/>
      <c r="EQ77" s="55"/>
      <c r="ER77" s="748"/>
      <c r="ES77" s="748"/>
      <c r="ET77" s="748"/>
      <c r="EU77" s="748"/>
      <c r="EV77" s="748"/>
      <c r="EW77" s="748"/>
      <c r="EX77" s="55"/>
      <c r="EY77" s="141" t="s">
        <v>1112</v>
      </c>
      <c r="EZ77" s="141"/>
      <c r="FA77" s="142" t="s">
        <v>1113</v>
      </c>
      <c r="FB77" s="172"/>
      <c r="FC77" s="152" t="s">
        <v>1114</v>
      </c>
    </row>
    <row r="78" spans="1:159" s="17" customFormat="1" ht="93" customHeight="1">
      <c r="A78" s="748"/>
      <c r="B78" s="1663"/>
      <c r="C78" s="759" t="s">
        <v>843</v>
      </c>
      <c r="D78" s="763" t="s">
        <v>1115</v>
      </c>
      <c r="E78" s="72">
        <f t="shared" si="12"/>
        <v>0</v>
      </c>
      <c r="F78" s="72">
        <v>0</v>
      </c>
      <c r="G78" s="798">
        <v>0</v>
      </c>
      <c r="H78" s="750">
        <v>0</v>
      </c>
      <c r="I78" s="798">
        <f t="shared" si="13"/>
        <v>0</v>
      </c>
      <c r="J78" s="798">
        <f t="shared" si="22"/>
        <v>0</v>
      </c>
      <c r="K78" s="798">
        <f t="shared" si="15"/>
        <v>0</v>
      </c>
      <c r="L78" s="798">
        <f t="shared" si="16"/>
        <v>0</v>
      </c>
      <c r="M78" s="798">
        <f t="shared" si="17"/>
        <v>0</v>
      </c>
      <c r="N78" s="798">
        <f t="shared" si="18"/>
        <v>0</v>
      </c>
      <c r="O78" s="798">
        <f t="shared" si="19"/>
        <v>0</v>
      </c>
      <c r="P78" s="798">
        <f t="shared" si="20"/>
        <v>0</v>
      </c>
      <c r="Q78" s="798"/>
      <c r="R78" s="72"/>
      <c r="S78" s="748"/>
      <c r="T78" s="748"/>
      <c r="U78" s="55"/>
      <c r="V78" s="55"/>
      <c r="W78" s="55"/>
      <c r="X78" s="55"/>
      <c r="Y78" s="748"/>
      <c r="Z78" s="748"/>
      <c r="AA78" s="748"/>
      <c r="AB78" s="748"/>
      <c r="AC78" s="748"/>
      <c r="AD78" s="748"/>
      <c r="AE78" s="748"/>
      <c r="AF78" s="748"/>
      <c r="AG78" s="748"/>
      <c r="AH78" s="748"/>
      <c r="AI78" s="748"/>
      <c r="AJ78" s="748"/>
      <c r="AK78" s="748"/>
      <c r="AL78" s="748"/>
      <c r="AM78" s="748"/>
      <c r="AN78" s="748"/>
      <c r="AO78" s="748"/>
      <c r="AP78" s="748"/>
      <c r="AQ78" s="748"/>
      <c r="AR78" s="748"/>
      <c r="AS78" s="748"/>
      <c r="AT78" s="748"/>
      <c r="AU78" s="748"/>
      <c r="AV78" s="748"/>
      <c r="AW78" s="748"/>
      <c r="AX78" s="748"/>
      <c r="AY78" s="748"/>
      <c r="AZ78" s="748"/>
      <c r="BA78" s="748"/>
      <c r="BB78" s="748"/>
      <c r="BC78" s="748"/>
      <c r="BD78" s="748"/>
      <c r="BE78" s="748"/>
      <c r="BF78" s="748"/>
      <c r="BG78" s="748"/>
      <c r="BH78" s="748"/>
      <c r="BI78" s="748"/>
      <c r="BJ78" s="748"/>
      <c r="BK78" s="748"/>
      <c r="BL78" s="748"/>
      <c r="BM78" s="748"/>
      <c r="BN78" s="748"/>
      <c r="BO78" s="748"/>
      <c r="BP78" s="748"/>
      <c r="BQ78" s="748"/>
      <c r="BR78" s="748"/>
      <c r="BS78" s="748"/>
      <c r="BT78" s="748"/>
      <c r="BU78" s="748"/>
      <c r="BV78" s="748"/>
      <c r="BW78" s="748"/>
      <c r="BX78" s="748"/>
      <c r="BY78" s="748"/>
      <c r="BZ78" s="748"/>
      <c r="CA78" s="748"/>
      <c r="CB78" s="748"/>
      <c r="CC78" s="748"/>
      <c r="CD78" s="748"/>
      <c r="CE78" s="748"/>
      <c r="CF78" s="748"/>
      <c r="CG78" s="748"/>
      <c r="CH78" s="748"/>
      <c r="CI78" s="748"/>
      <c r="CJ78" s="748"/>
      <c r="CK78" s="748"/>
      <c r="CL78" s="748"/>
      <c r="CM78" s="748"/>
      <c r="CN78" s="748"/>
      <c r="CO78" s="748"/>
      <c r="CP78" s="748"/>
      <c r="CQ78" s="748"/>
      <c r="CR78" s="748"/>
      <c r="CS78" s="748"/>
      <c r="CT78" s="748"/>
      <c r="CU78" s="748"/>
      <c r="CV78" s="748"/>
      <c r="CW78" s="748"/>
      <c r="CX78" s="748"/>
      <c r="CY78" s="748"/>
      <c r="CZ78" s="748"/>
      <c r="DA78" s="748"/>
      <c r="DB78" s="748"/>
      <c r="DC78" s="748"/>
      <c r="DD78" s="748"/>
      <c r="DE78" s="748"/>
      <c r="DF78" s="748"/>
      <c r="DG78" s="748"/>
      <c r="DH78" s="748"/>
      <c r="DI78" s="748"/>
      <c r="DJ78" s="748"/>
      <c r="DK78" s="748"/>
      <c r="DL78" s="748"/>
      <c r="DM78" s="748"/>
      <c r="DN78" s="748"/>
      <c r="DO78" s="748"/>
      <c r="DP78" s="748"/>
      <c r="DQ78" s="748"/>
      <c r="DR78" s="748"/>
      <c r="DS78" s="748"/>
      <c r="DT78" s="748"/>
      <c r="DU78" s="748"/>
      <c r="DV78" s="748"/>
      <c r="DW78" s="748"/>
      <c r="DX78" s="748"/>
      <c r="DY78" s="748"/>
      <c r="DZ78" s="748"/>
      <c r="EA78" s="748"/>
      <c r="EB78" s="748"/>
      <c r="EC78" s="748"/>
      <c r="ED78" s="748"/>
      <c r="EE78" s="748"/>
      <c r="EF78" s="748"/>
      <c r="EG78" s="748"/>
      <c r="EH78" s="748"/>
      <c r="EI78" s="748"/>
      <c r="EJ78" s="748"/>
      <c r="EK78" s="748"/>
      <c r="EL78" s="748"/>
      <c r="EM78" s="748"/>
      <c r="EN78" s="748"/>
      <c r="EO78" s="748"/>
      <c r="EP78" s="748"/>
      <c r="EQ78" s="748"/>
      <c r="ER78" s="748"/>
      <c r="ES78" s="748"/>
      <c r="ET78" s="748"/>
      <c r="EU78" s="748"/>
      <c r="EV78" s="748"/>
      <c r="EW78" s="748"/>
      <c r="EX78" s="748"/>
      <c r="EY78" s="141" t="s">
        <v>1158</v>
      </c>
      <c r="EZ78" s="141" t="s">
        <v>1115</v>
      </c>
      <c r="FA78" s="142"/>
      <c r="FB78" s="172"/>
      <c r="FC78" s="152" t="s">
        <v>847</v>
      </c>
    </row>
    <row r="79" spans="1:159" s="17" customFormat="1" ht="120" customHeight="1">
      <c r="A79" s="55"/>
      <c r="B79" s="1663"/>
      <c r="C79" s="759" t="s">
        <v>843</v>
      </c>
      <c r="D79" s="763" t="s">
        <v>1116</v>
      </c>
      <c r="E79" s="72">
        <f t="shared" si="12"/>
        <v>0</v>
      </c>
      <c r="F79" s="750">
        <v>0</v>
      </c>
      <c r="G79" s="750">
        <v>0</v>
      </c>
      <c r="H79" s="750">
        <v>0</v>
      </c>
      <c r="I79" s="750">
        <f t="shared" si="13"/>
        <v>0</v>
      </c>
      <c r="J79" s="798">
        <f t="shared" si="22"/>
        <v>0</v>
      </c>
      <c r="K79" s="798">
        <f t="shared" si="15"/>
        <v>0</v>
      </c>
      <c r="L79" s="798">
        <f t="shared" si="16"/>
        <v>0</v>
      </c>
      <c r="M79" s="798">
        <f t="shared" si="17"/>
        <v>0</v>
      </c>
      <c r="N79" s="798">
        <f t="shared" si="18"/>
        <v>0</v>
      </c>
      <c r="O79" s="798">
        <f t="shared" si="19"/>
        <v>0</v>
      </c>
      <c r="P79" s="798">
        <f t="shared" si="20"/>
        <v>0</v>
      </c>
      <c r="Q79" s="798"/>
      <c r="R79" s="72"/>
      <c r="S79" s="748"/>
      <c r="T79" s="748"/>
      <c r="U79" s="55"/>
      <c r="V79" s="55"/>
      <c r="W79" s="55"/>
      <c r="X79" s="55"/>
      <c r="Y79" s="748"/>
      <c r="Z79" s="748"/>
      <c r="AA79" s="748"/>
      <c r="AB79" s="748"/>
      <c r="AC79" s="748"/>
      <c r="AD79" s="748"/>
      <c r="AE79" s="748"/>
      <c r="AF79" s="748"/>
      <c r="AG79" s="748"/>
      <c r="AH79" s="748"/>
      <c r="AI79" s="748"/>
      <c r="AJ79" s="748"/>
      <c r="AK79" s="748"/>
      <c r="AL79" s="748"/>
      <c r="AM79" s="748"/>
      <c r="AN79" s="748"/>
      <c r="AO79" s="748"/>
      <c r="AP79" s="748"/>
      <c r="AQ79" s="748"/>
      <c r="AR79" s="748"/>
      <c r="AS79" s="748"/>
      <c r="AT79" s="748"/>
      <c r="AU79" s="748"/>
      <c r="AV79" s="748"/>
      <c r="AW79" s="55"/>
      <c r="AX79" s="748"/>
      <c r="AY79" s="748"/>
      <c r="AZ79" s="748"/>
      <c r="BA79" s="748"/>
      <c r="BB79" s="748"/>
      <c r="BC79" s="748"/>
      <c r="BD79" s="748"/>
      <c r="BE79" s="748"/>
      <c r="BF79" s="748"/>
      <c r="BG79" s="748"/>
      <c r="BH79" s="748"/>
      <c r="BI79" s="748"/>
      <c r="BJ79" s="748"/>
      <c r="BK79" s="55"/>
      <c r="BL79" s="748"/>
      <c r="BM79" s="748"/>
      <c r="BN79" s="748"/>
      <c r="BO79" s="748"/>
      <c r="BP79" s="748"/>
      <c r="BQ79" s="748"/>
      <c r="BR79" s="748"/>
      <c r="BS79" s="748"/>
      <c r="BT79" s="748"/>
      <c r="BU79" s="748"/>
      <c r="BV79" s="748"/>
      <c r="BW79" s="748"/>
      <c r="BX79" s="748"/>
      <c r="BY79" s="748"/>
      <c r="BZ79" s="748"/>
      <c r="CA79" s="748"/>
      <c r="CB79" s="748"/>
      <c r="CC79" s="748"/>
      <c r="CD79" s="748"/>
      <c r="CE79" s="748"/>
      <c r="CF79" s="748"/>
      <c r="CG79" s="748"/>
      <c r="CH79" s="748"/>
      <c r="CI79" s="748"/>
      <c r="CJ79" s="748"/>
      <c r="CK79" s="748"/>
      <c r="CL79" s="748"/>
      <c r="CM79" s="748"/>
      <c r="CN79" s="748"/>
      <c r="CO79" s="748"/>
      <c r="CP79" s="748"/>
      <c r="CQ79" s="748"/>
      <c r="CR79" s="748"/>
      <c r="CS79" s="748"/>
      <c r="CT79" s="748"/>
      <c r="CU79" s="748"/>
      <c r="CV79" s="748"/>
      <c r="CW79" s="748"/>
      <c r="CX79" s="748"/>
      <c r="CY79" s="748"/>
      <c r="CZ79" s="748"/>
      <c r="DA79" s="748"/>
      <c r="DB79" s="748"/>
      <c r="DC79" s="748"/>
      <c r="DD79" s="748"/>
      <c r="DE79" s="748"/>
      <c r="DF79" s="748"/>
      <c r="DG79" s="748"/>
      <c r="DH79" s="748"/>
      <c r="DI79" s="748"/>
      <c r="DJ79" s="748"/>
      <c r="DK79" s="748"/>
      <c r="DL79" s="748"/>
      <c r="DM79" s="748"/>
      <c r="DN79" s="748"/>
      <c r="DO79" s="748"/>
      <c r="DP79" s="748"/>
      <c r="DQ79" s="748"/>
      <c r="DR79" s="748"/>
      <c r="DS79" s="748"/>
      <c r="DT79" s="748"/>
      <c r="DU79" s="748"/>
      <c r="DV79" s="748"/>
      <c r="DW79" s="748"/>
      <c r="DX79" s="748"/>
      <c r="DY79" s="748"/>
      <c r="DZ79" s="748"/>
      <c r="EA79" s="748"/>
      <c r="EB79" s="748"/>
      <c r="EC79" s="748"/>
      <c r="ED79" s="748"/>
      <c r="EE79" s="748"/>
      <c r="EF79" s="748"/>
      <c r="EG79" s="748"/>
      <c r="EH79" s="748"/>
      <c r="EI79" s="748"/>
      <c r="EJ79" s="748"/>
      <c r="EK79" s="748"/>
      <c r="EL79" s="748"/>
      <c r="EM79" s="748"/>
      <c r="EN79" s="748"/>
      <c r="EO79" s="748"/>
      <c r="EP79" s="748"/>
      <c r="EQ79" s="748"/>
      <c r="ER79" s="748"/>
      <c r="ES79" s="748"/>
      <c r="ET79" s="748"/>
      <c r="EU79" s="748"/>
      <c r="EV79" s="748"/>
      <c r="EW79" s="748"/>
      <c r="EX79" s="748"/>
      <c r="EY79" s="800" t="s">
        <v>1117</v>
      </c>
      <c r="EZ79" s="141" t="s">
        <v>1118</v>
      </c>
      <c r="FA79" s="142" t="s">
        <v>1119</v>
      </c>
      <c r="FB79" s="172"/>
      <c r="FC79" s="152" t="s">
        <v>847</v>
      </c>
    </row>
    <row r="80" spans="1:159" s="17" customFormat="1" ht="114.75" customHeight="1">
      <c r="A80" s="55"/>
      <c r="B80" s="1660"/>
      <c r="C80" s="109" t="s">
        <v>843</v>
      </c>
      <c r="D80" s="117" t="s">
        <v>1120</v>
      </c>
      <c r="E80" s="72">
        <f t="shared" si="12"/>
        <v>0</v>
      </c>
      <c r="F80" s="72">
        <v>0</v>
      </c>
      <c r="G80" s="72">
        <v>0</v>
      </c>
      <c r="H80" s="72">
        <v>0</v>
      </c>
      <c r="I80" s="798">
        <f t="shared" si="13"/>
        <v>0</v>
      </c>
      <c r="J80" s="798">
        <f t="shared" si="22"/>
        <v>0</v>
      </c>
      <c r="K80" s="798">
        <f t="shared" si="15"/>
        <v>0</v>
      </c>
      <c r="L80" s="798">
        <f t="shared" si="16"/>
        <v>0</v>
      </c>
      <c r="M80" s="798">
        <f t="shared" si="17"/>
        <v>0</v>
      </c>
      <c r="N80" s="798">
        <f t="shared" si="18"/>
        <v>0</v>
      </c>
      <c r="O80" s="798">
        <f t="shared" si="19"/>
        <v>0</v>
      </c>
      <c r="P80" s="798">
        <f t="shared" si="20"/>
        <v>0</v>
      </c>
      <c r="Q80" s="798"/>
      <c r="R80" s="72"/>
      <c r="S80" s="748"/>
      <c r="T80" s="748"/>
      <c r="U80" s="55"/>
      <c r="V80" s="55"/>
      <c r="W80" s="55"/>
      <c r="X80" s="55"/>
      <c r="Y80" s="748"/>
      <c r="Z80" s="748"/>
      <c r="AA80" s="748"/>
      <c r="AB80" s="748"/>
      <c r="AC80" s="748"/>
      <c r="AD80" s="748"/>
      <c r="AE80" s="748"/>
      <c r="AF80" s="748"/>
      <c r="AG80" s="748"/>
      <c r="AH80" s="748"/>
      <c r="AI80" s="748"/>
      <c r="AJ80" s="748"/>
      <c r="AK80" s="748"/>
      <c r="AL80" s="748"/>
      <c r="AM80" s="748"/>
      <c r="AN80" s="748"/>
      <c r="AO80" s="748"/>
      <c r="AP80" s="748"/>
      <c r="AQ80" s="748"/>
      <c r="AR80" s="748"/>
      <c r="AS80" s="748"/>
      <c r="AT80" s="748"/>
      <c r="AU80" s="748"/>
      <c r="AV80" s="748"/>
      <c r="AW80" s="55"/>
      <c r="AX80" s="748"/>
      <c r="AY80" s="748"/>
      <c r="AZ80" s="748"/>
      <c r="BA80" s="748"/>
      <c r="BB80" s="748"/>
      <c r="BC80" s="748"/>
      <c r="BD80" s="748"/>
      <c r="BE80" s="748"/>
      <c r="BF80" s="748"/>
      <c r="BG80" s="748"/>
      <c r="BH80" s="748"/>
      <c r="BI80" s="748"/>
      <c r="BJ80" s="748"/>
      <c r="BK80" s="55"/>
      <c r="BL80" s="748"/>
      <c r="BM80" s="748"/>
      <c r="BN80" s="748"/>
      <c r="BO80" s="748"/>
      <c r="BP80" s="748"/>
      <c r="BQ80" s="748"/>
      <c r="BR80" s="748"/>
      <c r="BS80" s="748"/>
      <c r="BT80" s="748"/>
      <c r="BU80" s="748"/>
      <c r="BV80" s="748"/>
      <c r="BW80" s="748"/>
      <c r="BX80" s="748"/>
      <c r="BY80" s="748"/>
      <c r="BZ80" s="748"/>
      <c r="CA80" s="748"/>
      <c r="CB80" s="748"/>
      <c r="CC80" s="748"/>
      <c r="CD80" s="748"/>
      <c r="CE80" s="748"/>
      <c r="CF80" s="748"/>
      <c r="CG80" s="748"/>
      <c r="CH80" s="748"/>
      <c r="CI80" s="748"/>
      <c r="CJ80" s="748"/>
      <c r="CK80" s="748"/>
      <c r="CL80" s="748"/>
      <c r="CM80" s="748"/>
      <c r="CN80" s="748"/>
      <c r="CO80" s="748"/>
      <c r="CP80" s="748"/>
      <c r="CQ80" s="748"/>
      <c r="CR80" s="748"/>
      <c r="CS80" s="748"/>
      <c r="CT80" s="55"/>
      <c r="CU80" s="748"/>
      <c r="CV80" s="748"/>
      <c r="CW80" s="748"/>
      <c r="CX80" s="748"/>
      <c r="CY80" s="748"/>
      <c r="CZ80" s="748"/>
      <c r="DA80" s="748"/>
      <c r="DB80" s="748"/>
      <c r="DC80" s="748"/>
      <c r="DD80" s="748"/>
      <c r="DE80" s="748"/>
      <c r="DF80" s="748"/>
      <c r="DG80" s="748"/>
      <c r="DH80" s="748"/>
      <c r="DI80" s="748"/>
      <c r="DJ80" s="748"/>
      <c r="DK80" s="748"/>
      <c r="DL80" s="748"/>
      <c r="DM80" s="748"/>
      <c r="DN80" s="748"/>
      <c r="DO80" s="748"/>
      <c r="DP80" s="748"/>
      <c r="DQ80" s="748"/>
      <c r="DR80" s="748"/>
      <c r="DS80" s="748"/>
      <c r="DT80" s="748"/>
      <c r="DU80" s="748"/>
      <c r="DV80" s="55"/>
      <c r="DW80" s="55"/>
      <c r="DX80" s="748"/>
      <c r="DY80" s="748"/>
      <c r="DZ80" s="748"/>
      <c r="EA80" s="748"/>
      <c r="EB80" s="748"/>
      <c r="EC80" s="748"/>
      <c r="ED80" s="748"/>
      <c r="EE80" s="748"/>
      <c r="EF80" s="748"/>
      <c r="EG80" s="748"/>
      <c r="EH80" s="748"/>
      <c r="EI80" s="748"/>
      <c r="EJ80" s="748"/>
      <c r="EK80" s="748"/>
      <c r="EL80" s="748"/>
      <c r="EM80" s="748"/>
      <c r="EN80" s="748"/>
      <c r="EO80" s="748"/>
      <c r="EP80" s="748"/>
      <c r="EQ80" s="55"/>
      <c r="ER80" s="748"/>
      <c r="ES80" s="748"/>
      <c r="ET80" s="748"/>
      <c r="EU80" s="748"/>
      <c r="EV80" s="748"/>
      <c r="EW80" s="748"/>
      <c r="EX80" s="55"/>
      <c r="EY80" s="141" t="s">
        <v>1121</v>
      </c>
      <c r="EZ80" s="141" t="s">
        <v>1122</v>
      </c>
      <c r="FA80" s="142"/>
      <c r="FB80" s="172"/>
      <c r="FC80" s="152" t="s">
        <v>847</v>
      </c>
    </row>
    <row r="81" spans="1:159" s="15" customFormat="1" ht="125.25" customHeight="1">
      <c r="A81" s="103">
        <v>7</v>
      </c>
      <c r="B81" s="1661"/>
      <c r="C81" s="111" t="s">
        <v>848</v>
      </c>
      <c r="D81" s="118" t="s">
        <v>1104</v>
      </c>
      <c r="E81" s="72">
        <f t="shared" si="12"/>
        <v>0</v>
      </c>
      <c r="F81" s="72">
        <f>SUM(S81:EX81)</f>
        <v>0</v>
      </c>
      <c r="G81" s="798">
        <v>0</v>
      </c>
      <c r="H81" s="798">
        <v>0</v>
      </c>
      <c r="I81" s="798">
        <f t="shared" si="13"/>
        <v>0</v>
      </c>
      <c r="J81" s="798">
        <f t="shared" si="22"/>
        <v>0</v>
      </c>
      <c r="K81" s="798">
        <f t="shared" si="15"/>
        <v>0</v>
      </c>
      <c r="L81" s="798">
        <f t="shared" si="16"/>
        <v>0</v>
      </c>
      <c r="M81" s="798">
        <f t="shared" si="17"/>
        <v>0</v>
      </c>
      <c r="N81" s="798">
        <f t="shared" si="18"/>
        <v>0</v>
      </c>
      <c r="O81" s="798">
        <f t="shared" si="19"/>
        <v>0</v>
      </c>
      <c r="P81" s="798">
        <f t="shared" si="20"/>
        <v>0</v>
      </c>
      <c r="Q81" s="798"/>
      <c r="R81" s="72"/>
      <c r="S81" s="933"/>
      <c r="T81" s="933"/>
      <c r="U81" s="951"/>
      <c r="V81" s="951"/>
      <c r="W81" s="951"/>
      <c r="X81" s="951"/>
      <c r="Y81" s="968"/>
      <c r="Z81" s="973"/>
      <c r="AA81" s="979"/>
      <c r="AB81" s="979"/>
      <c r="AC81" s="979"/>
      <c r="AD81" s="979"/>
      <c r="AE81" s="979"/>
      <c r="AF81" s="979"/>
      <c r="AG81" s="989"/>
      <c r="AH81" s="991"/>
      <c r="AI81" s="998"/>
      <c r="AJ81" s="998"/>
      <c r="AK81" s="998"/>
      <c r="AL81" s="1005"/>
      <c r="AM81" s="1019"/>
      <c r="AN81" s="1025"/>
      <c r="AO81" s="1033"/>
      <c r="AP81" s="1047"/>
      <c r="AQ81" s="1056"/>
      <c r="AR81" s="1056"/>
      <c r="AS81" s="1061"/>
      <c r="AT81" s="1066"/>
      <c r="AU81" s="1072"/>
      <c r="AV81" s="1077"/>
      <c r="AW81" s="1081"/>
      <c r="AX81" s="1081"/>
      <c r="AY81" s="1081"/>
      <c r="AZ81" s="1081"/>
      <c r="BA81" s="1081"/>
      <c r="BB81" s="1081"/>
      <c r="BC81" s="1081"/>
      <c r="BD81" s="1081"/>
      <c r="BE81" s="1081"/>
      <c r="BF81" s="1081"/>
      <c r="BG81" s="1081"/>
      <c r="BH81" s="1081"/>
      <c r="BI81" s="1101"/>
      <c r="BJ81" s="1106"/>
      <c r="BK81" s="1113"/>
      <c r="BL81" s="1113"/>
      <c r="BM81" s="1113"/>
      <c r="BN81" s="1120"/>
      <c r="BO81" s="1124"/>
      <c r="BP81" s="1124"/>
      <c r="BQ81" s="1129"/>
      <c r="BR81" s="1141"/>
      <c r="BS81" s="1141"/>
      <c r="BT81" s="1141"/>
      <c r="BU81" s="1147"/>
      <c r="BV81" s="1152"/>
      <c r="BW81" s="1157"/>
      <c r="BX81" s="1157"/>
      <c r="BY81" s="1165"/>
      <c r="BZ81" s="1165"/>
      <c r="CA81" s="1165"/>
      <c r="CB81" s="1178"/>
      <c r="CC81" s="1185"/>
      <c r="CD81" s="1187"/>
      <c r="CE81" s="1194"/>
      <c r="CF81" s="1200"/>
      <c r="CG81" s="1200"/>
      <c r="CH81" s="1200"/>
      <c r="CI81" s="1211"/>
      <c r="CJ81" s="1217"/>
      <c r="CK81" s="1223"/>
      <c r="CL81" s="1237"/>
      <c r="CM81" s="1246"/>
      <c r="CN81" s="1246"/>
      <c r="CO81" s="1246"/>
      <c r="CP81" s="1252"/>
      <c r="CQ81" s="1257"/>
      <c r="CR81" s="1264"/>
      <c r="CS81" s="1270"/>
      <c r="CT81" s="1281"/>
      <c r="CU81" s="1281"/>
      <c r="CV81" s="1281"/>
      <c r="CW81" s="1285"/>
      <c r="CX81" s="1292"/>
      <c r="CY81" s="1300"/>
      <c r="CZ81" s="1306"/>
      <c r="DA81" s="1312"/>
      <c r="DB81" s="1312"/>
      <c r="DC81" s="1312"/>
      <c r="DD81" s="1320"/>
      <c r="DE81" s="1326"/>
      <c r="DF81" s="1332"/>
      <c r="DG81" s="1339"/>
      <c r="DH81" s="1339"/>
      <c r="DI81" s="1339"/>
      <c r="DJ81" s="1348"/>
      <c r="DK81" s="1352"/>
      <c r="DL81" s="1357"/>
      <c r="DM81" s="1364"/>
      <c r="DN81" s="1370"/>
      <c r="DO81" s="1383"/>
      <c r="DP81" s="1383"/>
      <c r="DQ81" s="1383"/>
      <c r="DR81" s="1383"/>
      <c r="DS81" s="1391"/>
      <c r="DT81" s="1399"/>
      <c r="DU81" s="1404"/>
      <c r="DV81" s="1411"/>
      <c r="DW81" s="1411"/>
      <c r="DX81" s="1411"/>
      <c r="DY81" s="1423"/>
      <c r="DZ81" s="1427"/>
      <c r="EA81" s="1434"/>
      <c r="EB81" s="1440"/>
      <c r="EC81" s="1447"/>
      <c r="ED81" s="1447"/>
      <c r="EE81" s="1452"/>
      <c r="EF81" s="1452"/>
      <c r="EG81" s="1452"/>
      <c r="EH81" s="1452"/>
      <c r="EI81" s="1452"/>
      <c r="EJ81" s="1452"/>
      <c r="EK81" s="1452"/>
      <c r="EL81" s="1458"/>
      <c r="EM81" s="1461"/>
      <c r="EN81" s="1466"/>
      <c r="EO81" s="1472"/>
      <c r="EP81" s="1478"/>
      <c r="EQ81" s="1485"/>
      <c r="ER81" s="1485"/>
      <c r="ES81" s="1485"/>
      <c r="ET81" s="1494"/>
      <c r="EU81" s="1501"/>
      <c r="EV81" s="1511"/>
      <c r="EW81" s="1517"/>
      <c r="EX81" s="67"/>
      <c r="EY81" s="166" t="s">
        <v>1123</v>
      </c>
      <c r="EZ81" s="166"/>
      <c r="FA81" s="167"/>
      <c r="FB81" s="174"/>
      <c r="FC81" s="175" t="s">
        <v>1124</v>
      </c>
    </row>
    <row r="82" spans="1:159" s="15" customFormat="1" ht="141" customHeight="1">
      <c r="A82" s="158">
        <v>10</v>
      </c>
      <c r="B82" s="159" t="s">
        <v>1125</v>
      </c>
      <c r="C82" s="109" t="s">
        <v>843</v>
      </c>
      <c r="D82" s="117" t="s">
        <v>1126</v>
      </c>
      <c r="E82" s="72">
        <f t="shared" si="12"/>
        <v>0</v>
      </c>
      <c r="F82" s="72">
        <v>0</v>
      </c>
      <c r="G82" s="798">
        <v>0</v>
      </c>
      <c r="H82" s="750">
        <v>0</v>
      </c>
      <c r="I82" s="798">
        <f t="shared" si="13"/>
        <v>0</v>
      </c>
      <c r="J82" s="798">
        <f t="shared" si="22"/>
        <v>0</v>
      </c>
      <c r="K82" s="798">
        <f t="shared" si="15"/>
        <v>0</v>
      </c>
      <c r="L82" s="798">
        <f t="shared" si="16"/>
        <v>0</v>
      </c>
      <c r="M82" s="798">
        <f t="shared" si="17"/>
        <v>0</v>
      </c>
      <c r="N82" s="798">
        <f t="shared" si="18"/>
        <v>0</v>
      </c>
      <c r="O82" s="798">
        <f t="shared" si="19"/>
        <v>0</v>
      </c>
      <c r="P82" s="798">
        <f t="shared" si="20"/>
        <v>0</v>
      </c>
      <c r="Q82" s="798"/>
      <c r="R82" s="72"/>
      <c r="S82" s="734"/>
      <c r="T82" s="734"/>
      <c r="U82" s="86"/>
      <c r="V82" s="86"/>
      <c r="W82" s="86"/>
      <c r="X82" s="86"/>
      <c r="Y82" s="734"/>
      <c r="Z82" s="734"/>
      <c r="AA82" s="734"/>
      <c r="AB82" s="734"/>
      <c r="AC82" s="734"/>
      <c r="AD82" s="734"/>
      <c r="AE82" s="734"/>
      <c r="AF82" s="734"/>
      <c r="AG82" s="734"/>
      <c r="AH82" s="734"/>
      <c r="AI82" s="734"/>
      <c r="AJ82" s="734"/>
      <c r="AK82" s="734"/>
      <c r="AL82" s="734"/>
      <c r="AM82" s="734"/>
      <c r="AN82" s="734"/>
      <c r="AO82" s="734"/>
      <c r="AP82" s="734"/>
      <c r="AQ82" s="734"/>
      <c r="AR82" s="734"/>
      <c r="AS82" s="734"/>
      <c r="AT82" s="734"/>
      <c r="AU82" s="734"/>
      <c r="AV82" s="734"/>
      <c r="AW82" s="86"/>
      <c r="AX82" s="734"/>
      <c r="AY82" s="734"/>
      <c r="AZ82" s="734"/>
      <c r="BA82" s="734"/>
      <c r="BB82" s="734"/>
      <c r="BC82" s="734"/>
      <c r="BD82" s="734"/>
      <c r="BE82" s="734"/>
      <c r="BF82" s="734"/>
      <c r="BG82" s="734"/>
      <c r="BH82" s="734"/>
      <c r="BI82" s="734"/>
      <c r="BJ82" s="734"/>
      <c r="BK82" s="86"/>
      <c r="BL82" s="734"/>
      <c r="BM82" s="734"/>
      <c r="BN82" s="734"/>
      <c r="BO82" s="734"/>
      <c r="BP82" s="734"/>
      <c r="BQ82" s="734"/>
      <c r="BR82" s="734"/>
      <c r="BS82" s="734"/>
      <c r="BT82" s="734"/>
      <c r="BU82" s="734"/>
      <c r="BV82" s="734"/>
      <c r="BW82" s="734"/>
      <c r="BX82" s="734"/>
      <c r="BY82" s="734"/>
      <c r="BZ82" s="734"/>
      <c r="CA82" s="734"/>
      <c r="CB82" s="734"/>
      <c r="CC82" s="734"/>
      <c r="CD82" s="734"/>
      <c r="CE82" s="734"/>
      <c r="CF82" s="734"/>
      <c r="CG82" s="734"/>
      <c r="CH82" s="734"/>
      <c r="CI82" s="734"/>
      <c r="CJ82" s="734"/>
      <c r="CK82" s="734"/>
      <c r="CL82" s="734"/>
      <c r="CM82" s="734"/>
      <c r="CN82" s="734"/>
      <c r="CO82" s="734"/>
      <c r="CP82" s="734"/>
      <c r="CQ82" s="734"/>
      <c r="CR82" s="734"/>
      <c r="CS82" s="734"/>
      <c r="CT82" s="86"/>
      <c r="CU82" s="734"/>
      <c r="CV82" s="734"/>
      <c r="CW82" s="734"/>
      <c r="CX82" s="734"/>
      <c r="CY82" s="734"/>
      <c r="CZ82" s="734"/>
      <c r="DA82" s="734"/>
      <c r="DB82" s="734"/>
      <c r="DC82" s="734"/>
      <c r="DD82" s="734"/>
      <c r="DE82" s="734"/>
      <c r="DF82" s="734"/>
      <c r="DG82" s="734"/>
      <c r="DH82" s="734"/>
      <c r="DI82" s="734"/>
      <c r="DJ82" s="734"/>
      <c r="DK82" s="734"/>
      <c r="DL82" s="734"/>
      <c r="DM82" s="734"/>
      <c r="DN82" s="734"/>
      <c r="DO82" s="734"/>
      <c r="DP82" s="734"/>
      <c r="DQ82" s="734"/>
      <c r="DR82" s="734"/>
      <c r="DS82" s="734"/>
      <c r="DT82" s="734"/>
      <c r="DU82" s="734"/>
      <c r="DV82" s="86"/>
      <c r="DW82" s="86"/>
      <c r="DX82" s="734"/>
      <c r="DY82" s="734"/>
      <c r="DZ82" s="734"/>
      <c r="EA82" s="734"/>
      <c r="EB82" s="734"/>
      <c r="EC82" s="734"/>
      <c r="ED82" s="734"/>
      <c r="EE82" s="734"/>
      <c r="EF82" s="734"/>
      <c r="EG82" s="734"/>
      <c r="EH82" s="734"/>
      <c r="EI82" s="734"/>
      <c r="EJ82" s="734"/>
      <c r="EK82" s="734"/>
      <c r="EL82" s="734"/>
      <c r="EM82" s="734"/>
      <c r="EN82" s="734"/>
      <c r="EO82" s="734"/>
      <c r="EP82" s="734"/>
      <c r="EQ82" s="86"/>
      <c r="ER82" s="734"/>
      <c r="ES82" s="734"/>
      <c r="ET82" s="734"/>
      <c r="EU82" s="734"/>
      <c r="EV82" s="734"/>
      <c r="EW82" s="734"/>
      <c r="EX82" s="86"/>
      <c r="EY82" s="168" t="s">
        <v>1127</v>
      </c>
      <c r="EZ82" s="169" t="s">
        <v>1128</v>
      </c>
      <c r="FA82" s="145"/>
      <c r="FB82" s="1"/>
      <c r="FC82" s="156" t="s">
        <v>1129</v>
      </c>
    </row>
    <row r="83" spans="1:159" s="15" customFormat="1" ht="141" customHeight="1">
      <c r="A83" s="158"/>
      <c r="B83" s="160" t="s">
        <v>1130</v>
      </c>
      <c r="C83" s="107" t="s">
        <v>848</v>
      </c>
      <c r="D83" s="114" t="s">
        <v>1131</v>
      </c>
      <c r="E83" s="72">
        <f t="shared" si="12"/>
        <v>0</v>
      </c>
      <c r="F83" s="72">
        <v>0</v>
      </c>
      <c r="G83" s="798">
        <v>0</v>
      </c>
      <c r="H83" s="750">
        <v>0</v>
      </c>
      <c r="I83" s="798">
        <f t="shared" si="13"/>
        <v>0</v>
      </c>
      <c r="J83" s="798">
        <f t="shared" si="22"/>
        <v>0</v>
      </c>
      <c r="K83" s="798">
        <f t="shared" si="15"/>
        <v>0</v>
      </c>
      <c r="L83" s="798">
        <f t="shared" si="16"/>
        <v>0</v>
      </c>
      <c r="M83" s="798">
        <f t="shared" si="17"/>
        <v>0</v>
      </c>
      <c r="N83" s="798">
        <f t="shared" si="18"/>
        <v>0</v>
      </c>
      <c r="O83" s="798">
        <f t="shared" si="19"/>
        <v>0</v>
      </c>
      <c r="P83" s="798">
        <f t="shared" si="20"/>
        <v>0</v>
      </c>
      <c r="Q83" s="798"/>
      <c r="R83" s="72"/>
      <c r="S83" s="734"/>
      <c r="T83" s="734"/>
      <c r="U83" s="86"/>
      <c r="V83" s="86"/>
      <c r="W83" s="86"/>
      <c r="X83" s="86"/>
      <c r="Y83" s="734"/>
      <c r="Z83" s="734"/>
      <c r="AA83" s="734"/>
      <c r="AB83" s="734"/>
      <c r="AC83" s="734"/>
      <c r="AD83" s="734"/>
      <c r="AE83" s="734"/>
      <c r="AF83" s="734"/>
      <c r="AG83" s="734"/>
      <c r="AH83" s="734"/>
      <c r="AI83" s="734"/>
      <c r="AJ83" s="734"/>
      <c r="AK83" s="734"/>
      <c r="AL83" s="734"/>
      <c r="AM83" s="734"/>
      <c r="AN83" s="734"/>
      <c r="AO83" s="734"/>
      <c r="AP83" s="734"/>
      <c r="AQ83" s="734"/>
      <c r="AR83" s="734"/>
      <c r="AS83" s="734"/>
      <c r="AT83" s="734"/>
      <c r="AU83" s="734"/>
      <c r="AV83" s="734"/>
      <c r="AW83" s="86"/>
      <c r="AX83" s="734"/>
      <c r="AY83" s="734"/>
      <c r="AZ83" s="734"/>
      <c r="BA83" s="734"/>
      <c r="BB83" s="734"/>
      <c r="BC83" s="734"/>
      <c r="BD83" s="734"/>
      <c r="BE83" s="734"/>
      <c r="BF83" s="734"/>
      <c r="BG83" s="734"/>
      <c r="BH83" s="734"/>
      <c r="BI83" s="734"/>
      <c r="BJ83" s="734"/>
      <c r="BK83" s="86"/>
      <c r="BL83" s="734"/>
      <c r="BM83" s="734"/>
      <c r="BN83" s="734"/>
      <c r="BO83" s="734"/>
      <c r="BP83" s="734"/>
      <c r="BQ83" s="734"/>
      <c r="BR83" s="734"/>
      <c r="BS83" s="734"/>
      <c r="BT83" s="734"/>
      <c r="BU83" s="734"/>
      <c r="BV83" s="734"/>
      <c r="BW83" s="734"/>
      <c r="BX83" s="734"/>
      <c r="BY83" s="734"/>
      <c r="BZ83" s="734"/>
      <c r="CA83" s="734"/>
      <c r="CB83" s="734"/>
      <c r="CC83" s="734"/>
      <c r="CD83" s="734"/>
      <c r="CE83" s="734"/>
      <c r="CF83" s="734"/>
      <c r="CG83" s="734"/>
      <c r="CH83" s="734"/>
      <c r="CI83" s="734"/>
      <c r="CJ83" s="734"/>
      <c r="CK83" s="734"/>
      <c r="CL83" s="734"/>
      <c r="CM83" s="734"/>
      <c r="CN83" s="734"/>
      <c r="CO83" s="734"/>
      <c r="CP83" s="734"/>
      <c r="CQ83" s="734"/>
      <c r="CR83" s="734"/>
      <c r="CS83" s="734"/>
      <c r="CT83" s="86"/>
      <c r="CU83" s="734"/>
      <c r="CV83" s="734"/>
      <c r="CW83" s="734"/>
      <c r="CX83" s="734"/>
      <c r="CY83" s="734"/>
      <c r="CZ83" s="734"/>
      <c r="DA83" s="734"/>
      <c r="DB83" s="734"/>
      <c r="DC83" s="734"/>
      <c r="DD83" s="734"/>
      <c r="DE83" s="734"/>
      <c r="DF83" s="734"/>
      <c r="DG83" s="734"/>
      <c r="DH83" s="734"/>
      <c r="DI83" s="734"/>
      <c r="DJ83" s="734"/>
      <c r="DK83" s="734"/>
      <c r="DL83" s="734"/>
      <c r="DM83" s="734"/>
      <c r="DN83" s="734"/>
      <c r="DO83" s="734"/>
      <c r="DP83" s="734"/>
      <c r="DQ83" s="734"/>
      <c r="DR83" s="734"/>
      <c r="DS83" s="734"/>
      <c r="DT83" s="734"/>
      <c r="DU83" s="734"/>
      <c r="DV83" s="86"/>
      <c r="DW83" s="86"/>
      <c r="DX83" s="734"/>
      <c r="DY83" s="734"/>
      <c r="DZ83" s="734"/>
      <c r="EA83" s="734"/>
      <c r="EB83" s="734"/>
      <c r="EC83" s="734"/>
      <c r="ED83" s="734"/>
      <c r="EE83" s="734"/>
      <c r="EF83" s="734"/>
      <c r="EG83" s="734"/>
      <c r="EH83" s="734"/>
      <c r="EI83" s="734"/>
      <c r="EJ83" s="734"/>
      <c r="EK83" s="734"/>
      <c r="EL83" s="734"/>
      <c r="EM83" s="734"/>
      <c r="EN83" s="734"/>
      <c r="EO83" s="734"/>
      <c r="EP83" s="734"/>
      <c r="EQ83" s="86"/>
      <c r="ER83" s="734"/>
      <c r="ES83" s="734"/>
      <c r="ET83" s="734"/>
      <c r="EU83" s="734"/>
      <c r="EV83" s="734"/>
      <c r="EW83" s="734"/>
      <c r="EX83" s="86"/>
      <c r="EY83" s="168"/>
      <c r="EZ83" s="169"/>
      <c r="FA83" s="145"/>
      <c r="FB83" s="1"/>
      <c r="FC83" s="156"/>
    </row>
    <row r="84" spans="1:159" s="15" customFormat="1" ht="140.25" customHeight="1">
      <c r="A84" s="161">
        <v>11</v>
      </c>
      <c r="B84" s="115" t="s">
        <v>1053</v>
      </c>
      <c r="C84" s="107"/>
      <c r="D84" s="162" t="s">
        <v>1132</v>
      </c>
      <c r="E84" s="72">
        <f t="shared" si="12"/>
        <v>0</v>
      </c>
      <c r="F84" s="72">
        <v>0</v>
      </c>
      <c r="G84" s="798">
        <v>0</v>
      </c>
      <c r="H84" s="750">
        <v>0</v>
      </c>
      <c r="I84" s="798">
        <f t="shared" si="13"/>
        <v>0</v>
      </c>
      <c r="J84" s="798">
        <f t="shared" si="22"/>
        <v>0</v>
      </c>
      <c r="K84" s="798">
        <f t="shared" si="15"/>
        <v>0</v>
      </c>
      <c r="L84" s="798">
        <f t="shared" si="16"/>
        <v>0</v>
      </c>
      <c r="M84" s="798">
        <f t="shared" si="17"/>
        <v>0</v>
      </c>
      <c r="N84" s="798">
        <f t="shared" si="18"/>
        <v>0</v>
      </c>
      <c r="O84" s="798">
        <f t="shared" si="19"/>
        <v>0</v>
      </c>
      <c r="P84" s="798">
        <f t="shared" si="20"/>
        <v>0</v>
      </c>
      <c r="Q84" s="798"/>
      <c r="R84" s="72"/>
      <c r="S84" s="773"/>
      <c r="T84" s="773"/>
      <c r="U84" s="950"/>
      <c r="V84" s="950"/>
      <c r="W84" s="950"/>
      <c r="X84" s="950"/>
      <c r="Y84" s="773"/>
      <c r="Z84" s="773"/>
      <c r="AA84" s="773"/>
      <c r="AB84" s="773"/>
      <c r="AC84" s="773"/>
      <c r="AD84" s="773"/>
      <c r="AE84" s="773"/>
      <c r="AF84" s="773"/>
      <c r="AG84" s="773"/>
      <c r="AH84" s="773"/>
      <c r="AI84" s="773"/>
      <c r="AJ84" s="773"/>
      <c r="AK84" s="773"/>
      <c r="AL84" s="773"/>
      <c r="AM84" s="773"/>
      <c r="AN84" s="773"/>
      <c r="AO84" s="773"/>
      <c r="AP84" s="773"/>
      <c r="AQ84" s="773"/>
      <c r="AR84" s="773"/>
      <c r="AS84" s="773"/>
      <c r="AT84" s="773"/>
      <c r="AU84" s="773"/>
      <c r="AV84" s="773"/>
      <c r="AW84" s="1080"/>
      <c r="AX84" s="773"/>
      <c r="AY84" s="773"/>
      <c r="AZ84" s="773"/>
      <c r="BA84" s="773"/>
      <c r="BB84" s="773"/>
      <c r="BC84" s="773"/>
      <c r="BD84" s="773"/>
      <c r="BE84" s="773"/>
      <c r="BF84" s="773"/>
      <c r="BG84" s="773"/>
      <c r="BH84" s="773"/>
      <c r="BI84" s="773"/>
      <c r="BJ84" s="773"/>
      <c r="BK84" s="1112"/>
      <c r="BL84" s="773"/>
      <c r="BM84" s="773"/>
      <c r="BN84" s="773"/>
      <c r="BO84" s="773"/>
      <c r="BP84" s="773"/>
      <c r="BQ84" s="773"/>
      <c r="BR84" s="773"/>
      <c r="BS84" s="773"/>
      <c r="BT84" s="773"/>
      <c r="BU84" s="773"/>
      <c r="BV84" s="773"/>
      <c r="BW84" s="773"/>
      <c r="BX84" s="773"/>
      <c r="BY84" s="773"/>
      <c r="BZ84" s="773"/>
      <c r="CA84" s="773"/>
      <c r="CB84" s="773"/>
      <c r="CC84" s="773"/>
      <c r="CD84" s="773"/>
      <c r="CE84" s="773"/>
      <c r="CF84" s="773"/>
      <c r="CG84" s="773"/>
      <c r="CH84" s="773"/>
      <c r="CI84" s="773"/>
      <c r="CJ84" s="773"/>
      <c r="CK84" s="773"/>
      <c r="CL84" s="773"/>
      <c r="CM84" s="773"/>
      <c r="CN84" s="773"/>
      <c r="CO84" s="773"/>
      <c r="CP84" s="773"/>
      <c r="CQ84" s="773"/>
      <c r="CR84" s="773"/>
      <c r="CS84" s="773"/>
      <c r="CT84" s="1280"/>
      <c r="CU84" s="773"/>
      <c r="CV84" s="773"/>
      <c r="CW84" s="773"/>
      <c r="CX84" s="773"/>
      <c r="CY84" s="773"/>
      <c r="CZ84" s="773"/>
      <c r="DA84" s="773"/>
      <c r="DB84" s="773"/>
      <c r="DC84" s="773"/>
      <c r="DD84" s="773"/>
      <c r="DE84" s="773"/>
      <c r="DF84" s="773"/>
      <c r="DG84" s="773"/>
      <c r="DH84" s="773"/>
      <c r="DI84" s="773"/>
      <c r="DJ84" s="773"/>
      <c r="DK84" s="773"/>
      <c r="DL84" s="773"/>
      <c r="DM84" s="773"/>
      <c r="DN84" s="773"/>
      <c r="DO84" s="773"/>
      <c r="DP84" s="773"/>
      <c r="DQ84" s="773"/>
      <c r="DR84" s="773"/>
      <c r="DS84" s="773"/>
      <c r="DT84" s="773"/>
      <c r="DU84" s="773"/>
      <c r="DV84" s="1410"/>
      <c r="DW84" s="1410"/>
      <c r="DX84" s="773"/>
      <c r="DY84" s="773"/>
      <c r="DZ84" s="773"/>
      <c r="EA84" s="773"/>
      <c r="EB84" s="773"/>
      <c r="EC84" s="773"/>
      <c r="ED84" s="773"/>
      <c r="EE84" s="773"/>
      <c r="EF84" s="773"/>
      <c r="EG84" s="773"/>
      <c r="EH84" s="773"/>
      <c r="EI84" s="773"/>
      <c r="EJ84" s="773"/>
      <c r="EK84" s="773"/>
      <c r="EL84" s="773"/>
      <c r="EM84" s="773"/>
      <c r="EN84" s="773"/>
      <c r="EO84" s="773"/>
      <c r="EP84" s="773"/>
      <c r="EQ84" s="1484"/>
      <c r="ER84" s="773"/>
      <c r="ES84" s="773"/>
      <c r="ET84" s="773"/>
      <c r="EU84" s="773"/>
      <c r="EV84" s="773"/>
      <c r="EW84" s="773"/>
      <c r="EX84" s="65"/>
      <c r="EY84" s="170" t="s">
        <v>1133</v>
      </c>
      <c r="EZ84" s="170" t="s">
        <v>1134</v>
      </c>
      <c r="FA84" s="139"/>
      <c r="FB84" s="2"/>
      <c r="FC84" s="156" t="s">
        <v>861</v>
      </c>
    </row>
    <row r="85" spans="1:159" s="15" customFormat="1" ht="127.5" customHeight="1">
      <c r="A85" s="941"/>
      <c r="B85" s="1663" t="s">
        <v>1147</v>
      </c>
      <c r="C85" s="759" t="s">
        <v>1148</v>
      </c>
      <c r="D85" s="760" t="s">
        <v>1149</v>
      </c>
      <c r="E85" s="72">
        <f t="shared" si="12"/>
        <v>0</v>
      </c>
      <c r="F85" s="750">
        <v>0</v>
      </c>
      <c r="G85" s="750">
        <v>0</v>
      </c>
      <c r="H85" s="750">
        <v>0</v>
      </c>
      <c r="I85" s="798">
        <f t="shared" si="13"/>
        <v>0</v>
      </c>
      <c r="J85" s="798">
        <f t="shared" si="22"/>
        <v>0</v>
      </c>
      <c r="K85" s="798">
        <f t="shared" si="15"/>
        <v>0</v>
      </c>
      <c r="L85" s="798">
        <f t="shared" si="16"/>
        <v>0</v>
      </c>
      <c r="M85" s="798">
        <f t="shared" si="17"/>
        <v>0</v>
      </c>
      <c r="N85" s="798">
        <f t="shared" si="18"/>
        <v>0</v>
      </c>
      <c r="O85" s="798">
        <f t="shared" si="19"/>
        <v>0</v>
      </c>
      <c r="P85" s="798">
        <f t="shared" si="20"/>
        <v>0</v>
      </c>
      <c r="Q85" s="798"/>
      <c r="R85" s="72"/>
      <c r="S85" s="734"/>
      <c r="T85" s="734"/>
      <c r="U85" s="86"/>
      <c r="V85" s="86"/>
      <c r="W85" s="86"/>
      <c r="X85" s="86"/>
      <c r="Y85" s="734"/>
      <c r="Z85" s="734"/>
      <c r="AA85" s="734"/>
      <c r="AB85" s="734"/>
      <c r="AC85" s="734"/>
      <c r="AD85" s="734"/>
      <c r="AE85" s="734"/>
      <c r="AF85" s="734"/>
      <c r="AG85" s="734"/>
      <c r="AH85" s="734"/>
      <c r="AI85" s="734"/>
      <c r="AJ85" s="734"/>
      <c r="AK85" s="734"/>
      <c r="AL85" s="734"/>
      <c r="AM85" s="734"/>
      <c r="AN85" s="734"/>
      <c r="AO85" s="734"/>
      <c r="AP85" s="734"/>
      <c r="AQ85" s="734"/>
      <c r="AR85" s="734"/>
      <c r="AS85" s="734"/>
      <c r="AT85" s="734"/>
      <c r="AU85" s="734"/>
      <c r="AV85" s="734"/>
      <c r="AW85" s="734"/>
      <c r="AX85" s="734"/>
      <c r="AY85" s="734"/>
      <c r="AZ85" s="734"/>
      <c r="BA85" s="734"/>
      <c r="BB85" s="734"/>
      <c r="BC85" s="734"/>
      <c r="BD85" s="734"/>
      <c r="BE85" s="734"/>
      <c r="BF85" s="734"/>
      <c r="BG85" s="734"/>
      <c r="BH85" s="734"/>
      <c r="BI85" s="734"/>
      <c r="BJ85" s="734"/>
      <c r="BK85" s="734"/>
      <c r="BL85" s="734"/>
      <c r="BM85" s="734"/>
      <c r="BN85" s="734"/>
      <c r="BO85" s="734"/>
      <c r="BP85" s="734"/>
      <c r="BQ85" s="734"/>
      <c r="BR85" s="734"/>
      <c r="BS85" s="734"/>
      <c r="BT85" s="734"/>
      <c r="BU85" s="734"/>
      <c r="BV85" s="734"/>
      <c r="BW85" s="734"/>
      <c r="BX85" s="734"/>
      <c r="BY85" s="734"/>
      <c r="BZ85" s="734"/>
      <c r="CA85" s="734"/>
      <c r="CB85" s="734"/>
      <c r="CC85" s="734"/>
      <c r="CD85" s="734"/>
      <c r="CE85" s="734"/>
      <c r="CF85" s="734"/>
      <c r="CG85" s="734"/>
      <c r="CH85" s="734"/>
      <c r="CI85" s="734"/>
      <c r="CJ85" s="734"/>
      <c r="CK85" s="734"/>
      <c r="CL85" s="734"/>
      <c r="CM85" s="734"/>
      <c r="CN85" s="734"/>
      <c r="CO85" s="734"/>
      <c r="CP85" s="734"/>
      <c r="CQ85" s="734"/>
      <c r="CR85" s="734"/>
      <c r="CS85" s="734"/>
      <c r="CT85" s="734"/>
      <c r="CU85" s="734"/>
      <c r="CV85" s="734"/>
      <c r="CW85" s="734"/>
      <c r="CX85" s="734"/>
      <c r="CY85" s="734"/>
      <c r="CZ85" s="734"/>
      <c r="DA85" s="734"/>
      <c r="DB85" s="734"/>
      <c r="DC85" s="734"/>
      <c r="DD85" s="734"/>
      <c r="DE85" s="734"/>
      <c r="DF85" s="734"/>
      <c r="DG85" s="734"/>
      <c r="DH85" s="734"/>
      <c r="DI85" s="734"/>
      <c r="DJ85" s="734"/>
      <c r="DK85" s="734"/>
      <c r="DL85" s="734"/>
      <c r="DM85" s="734"/>
      <c r="DN85" s="734"/>
      <c r="DO85" s="734"/>
      <c r="DP85" s="734"/>
      <c r="DQ85" s="734"/>
      <c r="DR85" s="734"/>
      <c r="DS85" s="734"/>
      <c r="DT85" s="734"/>
      <c r="DU85" s="734"/>
      <c r="DV85" s="734"/>
      <c r="DW85" s="734"/>
      <c r="DX85" s="734"/>
      <c r="DY85" s="734"/>
      <c r="DZ85" s="734"/>
      <c r="EA85" s="734"/>
      <c r="EB85" s="734"/>
      <c r="EC85" s="734"/>
      <c r="ED85" s="734"/>
      <c r="EE85" s="734"/>
      <c r="EF85" s="734"/>
      <c r="EG85" s="734"/>
      <c r="EH85" s="734"/>
      <c r="EI85" s="734"/>
      <c r="EJ85" s="734"/>
      <c r="EK85" s="734"/>
      <c r="EL85" s="734"/>
      <c r="EM85" s="734"/>
      <c r="EN85" s="734"/>
      <c r="EO85" s="734"/>
      <c r="EP85" s="734"/>
      <c r="EQ85" s="734"/>
      <c r="ER85" s="734"/>
      <c r="ES85" s="734"/>
      <c r="ET85" s="734"/>
      <c r="EU85" s="734"/>
      <c r="EV85" s="734"/>
      <c r="EW85" s="734"/>
      <c r="EX85" s="734"/>
      <c r="EY85" s="945" t="s">
        <v>1142</v>
      </c>
      <c r="EZ85" s="945"/>
      <c r="FA85" s="800"/>
      <c r="FB85" s="946"/>
      <c r="FC85" s="756" t="s">
        <v>1141</v>
      </c>
    </row>
    <row r="86" spans="1:159" s="15" customFormat="1" ht="127.5" customHeight="1">
      <c r="A86" s="942"/>
      <c r="B86" s="1664"/>
      <c r="C86" s="757" t="s">
        <v>1143</v>
      </c>
      <c r="D86" s="758" t="s">
        <v>1144</v>
      </c>
      <c r="E86" s="72">
        <f t="shared" si="12"/>
        <v>0</v>
      </c>
      <c r="F86" s="750">
        <v>0</v>
      </c>
      <c r="G86" s="750">
        <v>0</v>
      </c>
      <c r="H86" s="750">
        <v>0</v>
      </c>
      <c r="I86" s="798">
        <f t="shared" si="13"/>
        <v>0</v>
      </c>
      <c r="J86" s="798">
        <f t="shared" si="22"/>
        <v>0</v>
      </c>
      <c r="K86" s="798">
        <f t="shared" si="15"/>
        <v>0</v>
      </c>
      <c r="L86" s="798">
        <f t="shared" si="16"/>
        <v>0</v>
      </c>
      <c r="M86" s="798">
        <f t="shared" si="17"/>
        <v>0</v>
      </c>
      <c r="N86" s="798">
        <f t="shared" si="18"/>
        <v>0</v>
      </c>
      <c r="O86" s="798">
        <f t="shared" si="19"/>
        <v>0</v>
      </c>
      <c r="P86" s="798">
        <f t="shared" si="20"/>
        <v>0</v>
      </c>
      <c r="Q86" s="798"/>
      <c r="R86" s="72"/>
      <c r="S86" s="734"/>
      <c r="T86" s="734"/>
      <c r="U86" s="86"/>
      <c r="V86" s="86"/>
      <c r="W86" s="86"/>
      <c r="X86" s="86"/>
      <c r="Y86" s="734"/>
      <c r="Z86" s="734"/>
      <c r="AA86" s="734"/>
      <c r="AB86" s="734"/>
      <c r="AC86" s="734"/>
      <c r="AD86" s="734"/>
      <c r="AE86" s="734"/>
      <c r="AF86" s="734"/>
      <c r="AG86" s="734"/>
      <c r="AH86" s="734"/>
      <c r="AI86" s="734"/>
      <c r="AJ86" s="734"/>
      <c r="AK86" s="734"/>
      <c r="AL86" s="734"/>
      <c r="AM86" s="734"/>
      <c r="AN86" s="734"/>
      <c r="AO86" s="734"/>
      <c r="AP86" s="734"/>
      <c r="AQ86" s="734"/>
      <c r="AR86" s="734"/>
      <c r="AS86" s="734"/>
      <c r="AT86" s="734"/>
      <c r="AU86" s="734"/>
      <c r="AV86" s="734"/>
      <c r="AW86" s="734"/>
      <c r="AX86" s="734"/>
      <c r="AY86" s="734"/>
      <c r="AZ86" s="734"/>
      <c r="BA86" s="734"/>
      <c r="BB86" s="734"/>
      <c r="BC86" s="734"/>
      <c r="BD86" s="734"/>
      <c r="BE86" s="734"/>
      <c r="BF86" s="734"/>
      <c r="BG86" s="734"/>
      <c r="BH86" s="734"/>
      <c r="BI86" s="734"/>
      <c r="BJ86" s="734"/>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c r="CS86" s="734"/>
      <c r="CT86" s="734"/>
      <c r="CU86" s="734"/>
      <c r="CV86" s="734"/>
      <c r="CW86" s="734"/>
      <c r="CX86" s="734"/>
      <c r="CY86" s="734"/>
      <c r="CZ86" s="734"/>
      <c r="DA86" s="734"/>
      <c r="DB86" s="734"/>
      <c r="DC86" s="734"/>
      <c r="DD86" s="734"/>
      <c r="DE86" s="734"/>
      <c r="DF86" s="734"/>
      <c r="DG86" s="734"/>
      <c r="DH86" s="734"/>
      <c r="DI86" s="734"/>
      <c r="DJ86" s="734"/>
      <c r="DK86" s="734"/>
      <c r="DL86" s="734"/>
      <c r="DM86" s="734"/>
      <c r="DN86" s="734"/>
      <c r="DO86" s="734"/>
      <c r="DP86" s="734"/>
      <c r="DQ86" s="734"/>
      <c r="DR86" s="734"/>
      <c r="DS86" s="734"/>
      <c r="DT86" s="734"/>
      <c r="DU86" s="734"/>
      <c r="DV86" s="734"/>
      <c r="DW86" s="734"/>
      <c r="DX86" s="734"/>
      <c r="DY86" s="734"/>
      <c r="DZ86" s="734"/>
      <c r="EA86" s="734"/>
      <c r="EB86" s="734"/>
      <c r="EC86" s="734"/>
      <c r="ED86" s="734"/>
      <c r="EE86" s="734"/>
      <c r="EF86" s="734"/>
      <c r="EG86" s="734"/>
      <c r="EH86" s="734"/>
      <c r="EI86" s="734"/>
      <c r="EJ86" s="734"/>
      <c r="EK86" s="734"/>
      <c r="EL86" s="734"/>
      <c r="EM86" s="734"/>
      <c r="EN86" s="734"/>
      <c r="EO86" s="734"/>
      <c r="EP86" s="734"/>
      <c r="EQ86" s="734"/>
      <c r="ER86" s="734"/>
      <c r="ES86" s="734"/>
      <c r="ET86" s="734"/>
      <c r="EU86" s="734"/>
      <c r="EV86" s="734"/>
      <c r="EW86" s="734"/>
      <c r="EX86" s="734"/>
      <c r="EY86" s="945" t="s">
        <v>1153</v>
      </c>
      <c r="EZ86" s="945" t="s">
        <v>1145</v>
      </c>
      <c r="FA86" s="800"/>
      <c r="FB86" s="946"/>
      <c r="FC86" s="756" t="s">
        <v>1146</v>
      </c>
    </row>
    <row r="87" spans="1:159" s="15" customFormat="1" ht="127.5" customHeight="1">
      <c r="A87" s="943"/>
      <c r="B87" s="1663"/>
      <c r="C87" s="759" t="s">
        <v>1150</v>
      </c>
      <c r="D87" s="760" t="s">
        <v>1151</v>
      </c>
      <c r="E87" s="72">
        <f t="shared" si="12"/>
        <v>0</v>
      </c>
      <c r="F87" s="750">
        <v>0</v>
      </c>
      <c r="G87" s="750">
        <v>0</v>
      </c>
      <c r="H87" s="750">
        <v>0</v>
      </c>
      <c r="I87" s="798">
        <f t="shared" si="13"/>
        <v>0</v>
      </c>
      <c r="J87" s="798">
        <f t="shared" si="22"/>
        <v>0</v>
      </c>
      <c r="K87" s="798">
        <f t="shared" si="15"/>
        <v>0</v>
      </c>
      <c r="L87" s="798">
        <f t="shared" si="16"/>
        <v>0</v>
      </c>
      <c r="M87" s="798">
        <f t="shared" si="17"/>
        <v>0</v>
      </c>
      <c r="N87" s="798">
        <f t="shared" si="18"/>
        <v>0</v>
      </c>
      <c r="O87" s="798">
        <f t="shared" si="19"/>
        <v>0</v>
      </c>
      <c r="P87" s="798">
        <f t="shared" si="20"/>
        <v>0</v>
      </c>
      <c r="Q87" s="798"/>
      <c r="R87" s="72"/>
      <c r="S87" s="734"/>
      <c r="T87" s="734"/>
      <c r="U87" s="86"/>
      <c r="V87" s="86"/>
      <c r="W87" s="86"/>
      <c r="X87" s="86"/>
      <c r="Y87" s="734"/>
      <c r="Z87" s="734"/>
      <c r="AA87" s="734"/>
      <c r="AB87" s="734"/>
      <c r="AC87" s="734"/>
      <c r="AD87" s="734"/>
      <c r="AE87" s="734"/>
      <c r="AF87" s="734"/>
      <c r="AG87" s="734"/>
      <c r="AH87" s="734"/>
      <c r="AI87" s="734"/>
      <c r="AJ87" s="734"/>
      <c r="AK87" s="734"/>
      <c r="AL87" s="734"/>
      <c r="AM87" s="734"/>
      <c r="AN87" s="734"/>
      <c r="AO87" s="734"/>
      <c r="AP87" s="734"/>
      <c r="AQ87" s="734"/>
      <c r="AR87" s="734"/>
      <c r="AS87" s="734"/>
      <c r="AT87" s="734"/>
      <c r="AU87" s="734"/>
      <c r="AV87" s="734"/>
      <c r="AW87" s="734"/>
      <c r="AX87" s="734"/>
      <c r="AY87" s="734"/>
      <c r="AZ87" s="734"/>
      <c r="BA87" s="734"/>
      <c r="BB87" s="734"/>
      <c r="BC87" s="734"/>
      <c r="BD87" s="734"/>
      <c r="BE87" s="734"/>
      <c r="BF87" s="734"/>
      <c r="BG87" s="734"/>
      <c r="BH87" s="734"/>
      <c r="BI87" s="734"/>
      <c r="BJ87" s="734"/>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c r="CS87" s="734"/>
      <c r="CT87" s="734"/>
      <c r="CU87" s="734"/>
      <c r="CV87" s="734"/>
      <c r="CW87" s="734"/>
      <c r="CX87" s="734"/>
      <c r="CY87" s="734"/>
      <c r="CZ87" s="734"/>
      <c r="DA87" s="734"/>
      <c r="DB87" s="734"/>
      <c r="DC87" s="734"/>
      <c r="DD87" s="734"/>
      <c r="DE87" s="734"/>
      <c r="DF87" s="734"/>
      <c r="DG87" s="734"/>
      <c r="DH87" s="734"/>
      <c r="DI87" s="734"/>
      <c r="DJ87" s="734"/>
      <c r="DK87" s="734"/>
      <c r="DL87" s="734"/>
      <c r="DM87" s="734"/>
      <c r="DN87" s="734"/>
      <c r="DO87" s="734"/>
      <c r="DP87" s="734"/>
      <c r="DQ87" s="734"/>
      <c r="DR87" s="734"/>
      <c r="DS87" s="734"/>
      <c r="DT87" s="734"/>
      <c r="DU87" s="734"/>
      <c r="DV87" s="734"/>
      <c r="DW87" s="734"/>
      <c r="DX87" s="734"/>
      <c r="DY87" s="734"/>
      <c r="DZ87" s="734"/>
      <c r="EA87" s="734"/>
      <c r="EB87" s="734"/>
      <c r="EC87" s="734"/>
      <c r="ED87" s="734"/>
      <c r="EE87" s="734"/>
      <c r="EF87" s="734"/>
      <c r="EG87" s="734"/>
      <c r="EH87" s="734"/>
      <c r="EI87" s="734"/>
      <c r="EJ87" s="734"/>
      <c r="EK87" s="734"/>
      <c r="EL87" s="734"/>
      <c r="EM87" s="734"/>
      <c r="EN87" s="734"/>
      <c r="EO87" s="734"/>
      <c r="EP87" s="734"/>
      <c r="EQ87" s="734"/>
      <c r="ER87" s="734"/>
      <c r="ES87" s="734"/>
      <c r="ET87" s="734"/>
      <c r="EU87" s="734"/>
      <c r="EV87" s="734"/>
      <c r="EW87" s="734"/>
      <c r="EX87" s="734"/>
      <c r="EY87" s="945"/>
      <c r="EZ87" s="945" t="s">
        <v>1135</v>
      </c>
      <c r="FA87" s="800"/>
      <c r="FB87" s="946"/>
      <c r="FC87" s="756" t="s">
        <v>1075</v>
      </c>
    </row>
    <row r="88" spans="1:159" s="15" customFormat="1" ht="164.25" customHeight="1">
      <c r="A88" s="943"/>
      <c r="B88" s="1663"/>
      <c r="C88" s="759" t="s">
        <v>1152</v>
      </c>
      <c r="D88" s="760" t="s">
        <v>1162</v>
      </c>
      <c r="E88" s="72">
        <f t="shared" si="12"/>
        <v>0</v>
      </c>
      <c r="F88" s="750">
        <v>0</v>
      </c>
      <c r="G88" s="750">
        <v>0</v>
      </c>
      <c r="H88" s="750">
        <v>0</v>
      </c>
      <c r="I88" s="798">
        <f t="shared" si="13"/>
        <v>0</v>
      </c>
      <c r="J88" s="798">
        <f t="shared" si="22"/>
        <v>0</v>
      </c>
      <c r="K88" s="798">
        <f t="shared" si="15"/>
        <v>0</v>
      </c>
      <c r="L88" s="798">
        <f t="shared" si="16"/>
        <v>0</v>
      </c>
      <c r="M88" s="798">
        <f t="shared" si="17"/>
        <v>0</v>
      </c>
      <c r="N88" s="798">
        <f t="shared" si="18"/>
        <v>0</v>
      </c>
      <c r="O88" s="798">
        <f t="shared" si="19"/>
        <v>0</v>
      </c>
      <c r="P88" s="798">
        <f t="shared" si="20"/>
        <v>0</v>
      </c>
      <c r="Q88" s="798"/>
      <c r="R88" s="72"/>
      <c r="S88" s="734"/>
      <c r="T88" s="734"/>
      <c r="U88" s="86"/>
      <c r="V88" s="86"/>
      <c r="W88" s="86"/>
      <c r="X88" s="86"/>
      <c r="Y88" s="734"/>
      <c r="Z88" s="734"/>
      <c r="AA88" s="734"/>
      <c r="AB88" s="734"/>
      <c r="AC88" s="734"/>
      <c r="AD88" s="734"/>
      <c r="AE88" s="734"/>
      <c r="AF88" s="734"/>
      <c r="AG88" s="734"/>
      <c r="AH88" s="734"/>
      <c r="AI88" s="734"/>
      <c r="AJ88" s="734"/>
      <c r="AK88" s="734"/>
      <c r="AL88" s="734"/>
      <c r="AM88" s="734"/>
      <c r="AN88" s="734"/>
      <c r="AO88" s="734"/>
      <c r="AP88" s="734"/>
      <c r="AQ88" s="734"/>
      <c r="AR88" s="734"/>
      <c r="AS88" s="734"/>
      <c r="AT88" s="734"/>
      <c r="AU88" s="734"/>
      <c r="AV88" s="734"/>
      <c r="AW88" s="734"/>
      <c r="AX88" s="734"/>
      <c r="AY88" s="734"/>
      <c r="AZ88" s="734"/>
      <c r="BA88" s="734"/>
      <c r="BB88" s="734"/>
      <c r="BC88" s="734"/>
      <c r="BD88" s="734"/>
      <c r="BE88" s="734"/>
      <c r="BF88" s="734"/>
      <c r="BG88" s="734"/>
      <c r="BH88" s="734"/>
      <c r="BI88" s="734"/>
      <c r="BJ88" s="734"/>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c r="CS88" s="734"/>
      <c r="CT88" s="734"/>
      <c r="CU88" s="734"/>
      <c r="CV88" s="734"/>
      <c r="CW88" s="734"/>
      <c r="CX88" s="734"/>
      <c r="CY88" s="734"/>
      <c r="CZ88" s="734"/>
      <c r="DA88" s="734"/>
      <c r="DB88" s="734"/>
      <c r="DC88" s="734"/>
      <c r="DD88" s="734"/>
      <c r="DE88" s="734"/>
      <c r="DF88" s="734"/>
      <c r="DG88" s="734"/>
      <c r="DH88" s="734"/>
      <c r="DI88" s="734"/>
      <c r="DJ88" s="734"/>
      <c r="DK88" s="734"/>
      <c r="DL88" s="734"/>
      <c r="DM88" s="734"/>
      <c r="DN88" s="734"/>
      <c r="DO88" s="734"/>
      <c r="DP88" s="734"/>
      <c r="DQ88" s="734"/>
      <c r="DR88" s="734"/>
      <c r="DS88" s="734"/>
      <c r="DT88" s="734"/>
      <c r="DU88" s="734"/>
      <c r="DV88" s="734"/>
      <c r="DW88" s="734"/>
      <c r="DX88" s="734"/>
      <c r="DY88" s="734"/>
      <c r="DZ88" s="734"/>
      <c r="EA88" s="734"/>
      <c r="EB88" s="734"/>
      <c r="EC88" s="734"/>
      <c r="ED88" s="734"/>
      <c r="EE88" s="734"/>
      <c r="EF88" s="734"/>
      <c r="EG88" s="734"/>
      <c r="EH88" s="734"/>
      <c r="EI88" s="734"/>
      <c r="EJ88" s="734"/>
      <c r="EK88" s="734"/>
      <c r="EL88" s="734"/>
      <c r="EM88" s="734"/>
      <c r="EN88" s="734"/>
      <c r="EO88" s="734"/>
      <c r="EP88" s="734"/>
      <c r="EQ88" s="734"/>
      <c r="ER88" s="734"/>
      <c r="ES88" s="734"/>
      <c r="ET88" s="734"/>
      <c r="EU88" s="734"/>
      <c r="EV88" s="734"/>
      <c r="EW88" s="734"/>
      <c r="EX88" s="734"/>
      <c r="EY88" s="945" t="s">
        <v>1136</v>
      </c>
      <c r="EZ88" s="945" t="s">
        <v>1137</v>
      </c>
      <c r="FA88" s="800"/>
      <c r="FB88" s="946"/>
      <c r="FC88" s="756" t="s">
        <v>1161</v>
      </c>
    </row>
    <row r="89" spans="1:159" s="15" customFormat="1" ht="303.75" customHeight="1">
      <c r="A89" s="944">
        <v>12</v>
      </c>
      <c r="B89" s="1663"/>
      <c r="C89" s="759" t="s">
        <v>1152</v>
      </c>
      <c r="D89" s="763" t="s">
        <v>1157</v>
      </c>
      <c r="E89" s="72">
        <f t="shared" si="12"/>
        <v>0</v>
      </c>
      <c r="F89" s="750">
        <v>0</v>
      </c>
      <c r="G89" s="750">
        <v>0</v>
      </c>
      <c r="H89" s="750">
        <v>0</v>
      </c>
      <c r="I89" s="750">
        <f t="shared" si="13"/>
        <v>0</v>
      </c>
      <c r="J89" s="750">
        <f t="shared" si="22"/>
        <v>0</v>
      </c>
      <c r="K89" s="750">
        <f t="shared" si="15"/>
        <v>0</v>
      </c>
      <c r="L89" s="750">
        <f t="shared" si="16"/>
        <v>0</v>
      </c>
      <c r="M89" s="750">
        <f t="shared" si="17"/>
        <v>0</v>
      </c>
      <c r="N89" s="750">
        <f t="shared" si="18"/>
        <v>0</v>
      </c>
      <c r="O89" s="750">
        <f t="shared" si="19"/>
        <v>0</v>
      </c>
      <c r="P89" s="750">
        <f t="shared" si="20"/>
        <v>0</v>
      </c>
      <c r="Q89" s="750"/>
      <c r="R89" s="750"/>
      <c r="S89" s="734"/>
      <c r="T89" s="734"/>
      <c r="U89" s="86"/>
      <c r="V89" s="86"/>
      <c r="W89" s="86"/>
      <c r="X89" s="86"/>
      <c r="Y89" s="734"/>
      <c r="Z89" s="734"/>
      <c r="AA89" s="734"/>
      <c r="AB89" s="734"/>
      <c r="AC89" s="734"/>
      <c r="AD89" s="734"/>
      <c r="AE89" s="734"/>
      <c r="AF89" s="734"/>
      <c r="AG89" s="734"/>
      <c r="AH89" s="734"/>
      <c r="AI89" s="734"/>
      <c r="AJ89" s="734"/>
      <c r="AK89" s="734"/>
      <c r="AL89" s="734"/>
      <c r="AM89" s="734"/>
      <c r="AN89" s="734"/>
      <c r="AO89" s="734"/>
      <c r="AP89" s="734"/>
      <c r="AQ89" s="734"/>
      <c r="AR89" s="734"/>
      <c r="AS89" s="734"/>
      <c r="AT89" s="734"/>
      <c r="AU89" s="734"/>
      <c r="AV89" s="734"/>
      <c r="AW89" s="734"/>
      <c r="AX89" s="734"/>
      <c r="AY89" s="734"/>
      <c r="AZ89" s="734"/>
      <c r="BA89" s="734"/>
      <c r="BB89" s="734"/>
      <c r="BC89" s="734"/>
      <c r="BD89" s="734"/>
      <c r="BE89" s="734"/>
      <c r="BF89" s="734"/>
      <c r="BG89" s="734"/>
      <c r="BH89" s="734"/>
      <c r="BI89" s="734"/>
      <c r="BJ89" s="734"/>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c r="CS89" s="734"/>
      <c r="CT89" s="734"/>
      <c r="CU89" s="734"/>
      <c r="CV89" s="734"/>
      <c r="CW89" s="734"/>
      <c r="CX89" s="734"/>
      <c r="CY89" s="734"/>
      <c r="CZ89" s="734"/>
      <c r="DA89" s="734"/>
      <c r="DB89" s="734"/>
      <c r="DC89" s="734"/>
      <c r="DD89" s="734"/>
      <c r="DE89" s="734"/>
      <c r="DF89" s="734"/>
      <c r="DG89" s="734"/>
      <c r="DH89" s="734"/>
      <c r="DI89" s="734"/>
      <c r="DJ89" s="734"/>
      <c r="DK89" s="734"/>
      <c r="DL89" s="734"/>
      <c r="DM89" s="734"/>
      <c r="DN89" s="734"/>
      <c r="DO89" s="734"/>
      <c r="DP89" s="734"/>
      <c r="DQ89" s="734"/>
      <c r="DR89" s="734"/>
      <c r="DS89" s="734"/>
      <c r="DT89" s="734"/>
      <c r="DU89" s="734"/>
      <c r="DV89" s="734"/>
      <c r="DW89" s="734"/>
      <c r="DX89" s="734"/>
      <c r="DY89" s="734"/>
      <c r="DZ89" s="734"/>
      <c r="EA89" s="734"/>
      <c r="EB89" s="734"/>
      <c r="EC89" s="734"/>
      <c r="ED89" s="734"/>
      <c r="EE89" s="734"/>
      <c r="EF89" s="734"/>
      <c r="EG89" s="734"/>
      <c r="EH89" s="734"/>
      <c r="EI89" s="734"/>
      <c r="EJ89" s="734"/>
      <c r="EK89" s="734"/>
      <c r="EL89" s="734"/>
      <c r="EM89" s="734"/>
      <c r="EN89" s="734"/>
      <c r="EO89" s="734"/>
      <c r="EP89" s="734"/>
      <c r="EQ89" s="734"/>
      <c r="ER89" s="734"/>
      <c r="ES89" s="734"/>
      <c r="ET89" s="734"/>
      <c r="EU89" s="734"/>
      <c r="EV89" s="734"/>
      <c r="EW89" s="734"/>
      <c r="EX89" s="734"/>
      <c r="EY89" s="947" t="s">
        <v>1138</v>
      </c>
      <c r="EZ89" s="947" t="s">
        <v>1155</v>
      </c>
      <c r="FA89" s="947"/>
      <c r="FB89" s="800" t="s">
        <v>937</v>
      </c>
      <c r="FC89" s="948" t="s">
        <v>1139</v>
      </c>
    </row>
    <row r="90" spans="1:159" ht="124.5" customHeight="1">
      <c r="D90" s="21"/>
    </row>
    <row r="104" spans="1:18">
      <c r="A104"/>
      <c r="E104"/>
      <c r="F104"/>
      <c r="G104"/>
      <c r="H104"/>
      <c r="I104"/>
      <c r="J104"/>
      <c r="K104"/>
      <c r="L104"/>
      <c r="M104"/>
      <c r="N104"/>
      <c r="O104"/>
      <c r="P104"/>
      <c r="Q104"/>
      <c r="R104"/>
    </row>
  </sheetData>
  <autoFilter ref="A49:FC89">
    <filterColumn colId="4"/>
    <filterColumn colId="5"/>
    <filterColumn colId="6"/>
    <filterColumn colId="7"/>
    <filterColumn colId="8"/>
    <filterColumn colId="9"/>
    <filterColumn colId="10"/>
    <filterColumn colId="11"/>
    <filterColumn colId="12"/>
    <filterColumn colId="18"/>
    <filterColumn colId="19"/>
    <filterColumn colId="20"/>
    <filterColumn colId="21"/>
    <filterColumn colId="22"/>
    <filterColumn colId="23"/>
    <filterColumn colId="24"/>
    <filterColumn colId="25"/>
    <filterColumn colId="26"/>
    <filterColumn colId="27"/>
    <filterColumn colId="28"/>
    <filterColumn colId="29"/>
    <filterColumn colId="30"/>
    <filterColumn colId="31"/>
    <filterColumn colId="32"/>
    <filterColumn colId="33"/>
    <filterColumn colId="34"/>
    <filterColumn colId="35"/>
    <filterColumn colId="36"/>
    <filterColumn colId="37"/>
    <filterColumn colId="38"/>
    <filterColumn colId="39"/>
    <filterColumn colId="40"/>
    <filterColumn colId="41"/>
    <filterColumn colId="42"/>
    <filterColumn colId="43"/>
    <filterColumn colId="44"/>
    <filterColumn colId="45"/>
    <filterColumn colId="46"/>
    <filterColumn colId="47"/>
    <filterColumn colId="48"/>
    <filterColumn colId="49"/>
    <filterColumn colId="50"/>
    <filterColumn colId="51"/>
    <filterColumn colId="52"/>
    <filterColumn colId="53"/>
    <filterColumn colId="54"/>
    <filterColumn colId="55"/>
    <filterColumn colId="56"/>
    <filterColumn colId="57"/>
    <filterColumn colId="58"/>
    <filterColumn colId="59"/>
    <filterColumn colId="60"/>
    <filterColumn colId="61"/>
    <filterColumn colId="62"/>
    <filterColumn colId="63"/>
    <filterColumn colId="64"/>
    <filterColumn colId="65"/>
    <filterColumn colId="66"/>
    <filterColumn colId="67"/>
    <filterColumn colId="68"/>
    <filterColumn colId="69"/>
    <filterColumn colId="70"/>
    <filterColumn colId="71"/>
    <filterColumn colId="72"/>
    <filterColumn colId="73"/>
    <filterColumn colId="74"/>
    <filterColumn colId="75"/>
    <filterColumn colId="76"/>
    <filterColumn colId="77"/>
    <filterColumn colId="78"/>
    <filterColumn colId="79"/>
    <filterColumn colId="80"/>
    <filterColumn colId="81"/>
    <filterColumn colId="82"/>
    <filterColumn colId="83"/>
    <filterColumn colId="84"/>
    <filterColumn colId="85"/>
    <filterColumn colId="86"/>
    <filterColumn colId="87"/>
    <filterColumn colId="88"/>
    <filterColumn colId="89"/>
    <filterColumn colId="90"/>
    <filterColumn colId="91"/>
    <filterColumn colId="92"/>
    <filterColumn colId="93"/>
    <filterColumn colId="94"/>
    <filterColumn colId="95"/>
    <filterColumn colId="96"/>
    <filterColumn colId="97"/>
    <filterColumn colId="98"/>
    <filterColumn colId="99"/>
    <filterColumn colId="100"/>
    <filterColumn colId="101"/>
    <filterColumn colId="102"/>
    <filterColumn colId="103"/>
    <filterColumn colId="104"/>
    <filterColumn colId="105"/>
    <filterColumn colId="106"/>
    <filterColumn colId="107"/>
    <filterColumn colId="108"/>
    <filterColumn colId="109"/>
    <filterColumn colId="110"/>
    <filterColumn colId="111"/>
    <filterColumn colId="112"/>
    <filterColumn colId="113"/>
    <filterColumn colId="114"/>
    <filterColumn colId="115"/>
    <filterColumn colId="116"/>
    <filterColumn colId="117"/>
    <filterColumn colId="118"/>
    <filterColumn colId="119"/>
    <filterColumn colId="120"/>
    <filterColumn colId="121"/>
    <filterColumn colId="122"/>
    <filterColumn colId="123"/>
    <filterColumn colId="124"/>
    <filterColumn colId="125"/>
    <filterColumn colId="126"/>
    <filterColumn colId="127"/>
    <filterColumn colId="128"/>
    <filterColumn colId="129"/>
    <filterColumn colId="130"/>
    <filterColumn colId="131"/>
    <filterColumn colId="132"/>
    <filterColumn colId="133"/>
    <filterColumn colId="134"/>
    <filterColumn colId="135"/>
    <filterColumn colId="136"/>
    <filterColumn colId="137"/>
    <filterColumn colId="138"/>
    <filterColumn colId="139"/>
    <filterColumn colId="140"/>
    <filterColumn colId="141"/>
    <filterColumn colId="142"/>
    <filterColumn colId="143"/>
    <filterColumn colId="144"/>
    <filterColumn colId="145"/>
    <filterColumn colId="146"/>
    <filterColumn colId="147"/>
    <filterColumn colId="148"/>
    <filterColumn colId="149"/>
    <filterColumn colId="150"/>
    <filterColumn colId="151"/>
    <filterColumn colId="152"/>
    <filterColumn colId="153"/>
    <extLst/>
  </autoFilter>
  <mergeCells count="28">
    <mergeCell ref="FC46:FC48"/>
    <mergeCell ref="O46:O48"/>
    <mergeCell ref="P46:P48"/>
    <mergeCell ref="Q46:Q48"/>
    <mergeCell ref="R46:R48"/>
    <mergeCell ref="FB47:FB48"/>
    <mergeCell ref="D47:D48"/>
    <mergeCell ref="E46:E48"/>
    <mergeCell ref="N46:N48"/>
    <mergeCell ref="F46:F48"/>
    <mergeCell ref="G46:G48"/>
    <mergeCell ref="H46:H48"/>
    <mergeCell ref="I46:I48"/>
    <mergeCell ref="J46:J48"/>
    <mergeCell ref="K46:K48"/>
    <mergeCell ref="L46:L48"/>
    <mergeCell ref="M46:M48"/>
    <mergeCell ref="B58:B63"/>
    <mergeCell ref="B65:B71"/>
    <mergeCell ref="B76:B81"/>
    <mergeCell ref="B85:B89"/>
    <mergeCell ref="C47:C48"/>
    <mergeCell ref="B74:B75"/>
    <mergeCell ref="A46:A48"/>
    <mergeCell ref="B37:B39"/>
    <mergeCell ref="B46:B48"/>
    <mergeCell ref="B50:B54"/>
    <mergeCell ref="B55:B56"/>
  </mergeCells>
  <phoneticPr fontId="7" type="noConversion"/>
  <conditionalFormatting sqref="S50:EX89">
    <cfRule type="cellIs" dxfId="2" priority="3" stopIfTrue="1" operator="equal">
      <formula>"C"</formula>
    </cfRule>
    <cfRule type="cellIs" dxfId="1" priority="4" stopIfTrue="1" operator="equal">
      <formula>"R"</formula>
    </cfRule>
  </conditionalFormatting>
  <conditionalFormatting sqref="FB47:FB48">
    <cfRule type="cellIs" dxfId="0" priority="15" stopIfTrue="1" operator="equal">
      <formula>"tbc"</formula>
    </cfRule>
  </conditionalFormatting>
  <pageMargins left="0.69930555555555596" right="0.69930555555555596" top="0.75" bottom="0.75" header="0.3" footer="0.3"/>
  <drawing r:id="rId1"/>
  <legacyDrawing r:id="rId2"/>
</worksheet>
</file>

<file path=xl/worksheets/sheet6.xml><?xml version="1.0" encoding="utf-8"?>
<worksheet xmlns="http://schemas.openxmlformats.org/spreadsheetml/2006/main" xmlns:r="http://schemas.openxmlformats.org/officeDocument/2006/relationships">
  <dimension ref="A1"/>
  <sheetViews>
    <sheetView showGridLines="0" showRowColHeaders="0" zoomScale="95" zoomScaleNormal="95" workbookViewId="0"/>
  </sheetViews>
  <sheetFormatPr defaultColWidth="10.28515625" defaultRowHeight="12.75"/>
  <sheetData/>
  <phoneticPr fontId="7" type="noConversion"/>
  <pageMargins left="0.69930555555555596" right="0.69930555555555596" top="0.75" bottom="0.75" header="0.3" footer="0.3"/>
  <drawing r:id="rId1"/>
</worksheet>
</file>

<file path=xl/worksheets/sheet7.xml><?xml version="1.0" encoding="utf-8"?>
<worksheet xmlns="http://schemas.openxmlformats.org/spreadsheetml/2006/main" xmlns:r="http://schemas.openxmlformats.org/officeDocument/2006/relationships">
  <dimension ref="A1"/>
  <sheetViews>
    <sheetView workbookViewId="0"/>
  </sheetViews>
  <sheetFormatPr defaultColWidth="9" defaultRowHeight="12.75"/>
  <sheetData/>
  <phoneticPr fontId="7" type="noConversion"/>
  <pageMargins left="0.69930555555555596" right="0.69930555555555596" top="0.75" bottom="0.75" header="0.3" footer="0.3"/>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ColWidth="9" defaultRowHeight="12.75"/>
  <sheetData/>
  <phoneticPr fontId="7" type="noConversion"/>
  <pageMargins left="0.69930555555555596" right="0.69930555555555596" top="0.75" bottom="0.75" header="0.3" footer="0.3"/>
</worksheet>
</file>

<file path=xl/worksheets/sheet9.xml><?xml version="1.0" encoding="utf-8"?>
<worksheet xmlns="http://schemas.openxmlformats.org/spreadsheetml/2006/main" xmlns:r="http://schemas.openxmlformats.org/officeDocument/2006/relationships">
  <dimension ref="A1"/>
  <sheetViews>
    <sheetView workbookViewId="0"/>
  </sheetViews>
  <sheetFormatPr defaultColWidth="9" defaultRowHeight="12.75"/>
  <sheetData/>
  <phoneticPr fontId="7" type="noConversion"/>
  <pageMargins left="0.69930555555555596" right="0.69930555555555596" top="0.75" bottom="0.75" header="0.3" footer="0.3"/>
</worksheet>
</file>

<file path=xl/worksheets/sheet10.xml><?xml version="1.0" encoding="utf-8"?>
<worksheet xmlns="http://schemas.openxmlformats.org/spreadsheetml/2006/main" xmlns:r="http://schemas.openxmlformats.org/officeDocument/2006/relationships">
  <dimension ref="A1"/>
  <sheetViews>
    <sheetView workbookViewId="0"/>
  </sheetViews>
  <sheetFormatPr defaultColWidth="9" defaultRowHeight="12.75"/>
  <sheetData/>
  <phoneticPr fontId="7" type="noConversion"/>
  <pageMargins left="0.69930555555555596" right="0.69930555555555596" top="0.75" bottom="0.75" header="0.3" footer="0.3"/>
</worksheet>
</file>

<file path=xl/worksheets/sheet11.xml><?xml version="1.0" encoding="utf-8"?>
<worksheet xmlns="http://schemas.openxmlformats.org/spreadsheetml/2006/main" xmlns:r="http://schemas.openxmlformats.org/officeDocument/2006/relationships">
  <dimension ref="A1"/>
  <sheetViews>
    <sheetView workbookViewId="0"/>
  </sheetViews>
  <sheetFormatPr defaultColWidth="9" defaultRowHeight="12.75"/>
  <sheetData/>
  <phoneticPr fontId="7" type="noConversion"/>
  <pageMargins left="0.69930555555555596" right="0.69930555555555596"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4</vt:i4>
      </vt:variant>
    </vt:vector>
  </HeadingPairs>
  <TitlesOfParts>
    <vt:vector size="15" baseType="lpstr">
      <vt:lpstr>PMT</vt:lpstr>
      <vt:lpstr>TT PAYNTER CHART_1a (2)</vt:lpstr>
      <vt:lpstr>CX743</vt:lpstr>
      <vt:lpstr>N35X(N352)</vt:lpstr>
      <vt:lpstr>u375</vt:lpstr>
      <vt:lpstr>Chart1</vt:lpstr>
      <vt:lpstr>Sheet1</vt:lpstr>
      <vt:lpstr>Sheet2</vt:lpstr>
      <vt:lpstr>Sheet3</vt:lpstr>
      <vt:lpstr>Sheet4</vt:lpstr>
      <vt:lpstr>Sheet5</vt:lpstr>
      <vt:lpstr>'N35X(N352)'!Print_Area</vt:lpstr>
      <vt:lpstr>PMT!Print_Area</vt:lpstr>
      <vt:lpstr>'TT PAYNTER CHART_1a (2)'!Print_Area</vt:lpstr>
      <vt:lpstr>'TT PAYNTER CHART_1a (2)'!Print_Titles</vt:lpstr>
    </vt:vector>
  </TitlesOfParts>
  <Company>Ford Motor Company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Oeztuerk, Hueseyin (H.)</dc:creator>
  <cp:lastModifiedBy>dwang5</cp:lastModifiedBy>
  <cp:lastPrinted>2016-05-13T05:32:00Z</cp:lastPrinted>
  <dcterms:created xsi:type="dcterms:W3CDTF">2013-06-18T12:58:00Z</dcterms:created>
  <dcterms:modified xsi:type="dcterms:W3CDTF">2019-05-17T07:35:03Z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0x01010095689D4AF7EDE842BBDEAFD667C8E148</vt:lpwstr>
  </property>
  <property fmtid="{D5CDD505-2E9C-101B-9397-08002B2CF9AE}" pid="3" name="KSOProductBuildVer">
    <vt:lpwstr>2052-10.1.0.7468</vt:lpwstr>
  </property>
</Properties>
</file>